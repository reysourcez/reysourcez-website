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nduan" sheetId="1" state="visible" r:id="rId1"/>
    <sheet xmlns:r="http://schemas.openxmlformats.org/officeDocument/2006/relationships" name="Tetapan" sheetId="2" state="visible" r:id="rId2"/>
    <sheet xmlns:r="http://schemas.openxmlformats.org/officeDocument/2006/relationships" name="Kamus_Istilah" sheetId="3" state="visible" r:id="rId3"/>
    <sheet xmlns:r="http://schemas.openxmlformats.org/officeDocument/2006/relationships" name="Akaun" sheetId="4" state="visible" r:id="rId4"/>
    <sheet xmlns:r="http://schemas.openxmlformats.org/officeDocument/2006/relationships" name="Baki_Pembukaan" sheetId="5" state="visible" r:id="rId5"/>
    <sheet xmlns:r="http://schemas.openxmlformats.org/officeDocument/2006/relationships" name="Daftar_Aset_Tetap" sheetId="6" state="visible" r:id="rId6"/>
    <sheet xmlns:r="http://schemas.openxmlformats.org/officeDocument/2006/relationships" name="Transaksi" sheetId="7" state="visible" r:id="rId7"/>
    <sheet xmlns:r="http://schemas.openxmlformats.org/officeDocument/2006/relationships" name="Baris_Transaksi" sheetId="8" state="visible" r:id="rId8"/>
    <sheet xmlns:r="http://schemas.openxmlformats.org/officeDocument/2006/relationships" name="Log_Perubahan" sheetId="9" state="visible" r:id="rId9"/>
    <sheet xmlns:r="http://schemas.openxmlformats.org/officeDocument/2006/relationships" name="Imbangan_Duga" sheetId="10" state="visible" r:id="rId10"/>
    <sheet xmlns:r="http://schemas.openxmlformats.org/officeDocument/2006/relationships" name="UR" sheetId="11" state="visible" r:id="rId11"/>
    <sheet xmlns:r="http://schemas.openxmlformats.org/officeDocument/2006/relationships" name="APK" sheetId="12" state="visible" r:id="rId12"/>
    <sheet xmlns:r="http://schemas.openxmlformats.org/officeDocument/2006/relationships" name="KKK" sheetId="13" state="visible" r:id="rId13"/>
    <sheet xmlns:r="http://schemas.openxmlformats.org/officeDocument/2006/relationships" name="AT" sheetId="14" state="visible" r:id="rId14"/>
    <sheet xmlns:r="http://schemas.openxmlformats.org/officeDocument/2006/relationships" name="Wang_Runcit" sheetId="15" state="visible" r:id="rId15"/>
    <sheet xmlns:r="http://schemas.openxmlformats.org/officeDocument/2006/relationships" name="Cetak" sheetId="16" state="visible" r:id="rId16"/>
  </sheets>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quot;RM &quot;#,##0.00"/>
    <numFmt numFmtId="167" formatCode="yyyy-mm-dd"/>
    <numFmt numFmtId="168" formatCode="m/d/yyyy h:mm:ss"/>
  </numFmts>
  <fonts count="22">
    <font>
      <name val="Calibri"/>
      <color theme="1"/>
      <sz val="11"/>
      <scheme val="minor"/>
    </font>
    <font>
      <name val="Arial"/>
      <b val="1"/>
      <color rgb="FF1F6F5C"/>
      <sz val="14"/>
    </font>
    <font>
      <name val="Arial"/>
      <b val="1"/>
      <color rgb="FF1F6F5C"/>
      <sz val="16"/>
    </font>
    <font>
      <name val="Calibri"/>
      <color theme="1"/>
      <sz val="11"/>
    </font>
    <font>
      <name val="Arial"/>
      <color theme="1"/>
      <sz val="10"/>
    </font>
    <font>
      <name val="Arial"/>
      <i val="1"/>
      <color rgb="FF5C6D64"/>
      <sz val="10"/>
    </font>
    <font>
      <name val="Arial"/>
      <b val="1"/>
      <color rgb="FF1F6F5C"/>
      <sz val="12"/>
    </font>
    <font>
      <name val="Arial"/>
      <b val="1"/>
      <color rgb="FFFFFFFF"/>
      <sz val="10"/>
    </font>
    <font>
      <name val="Arial"/>
      <b val="1"/>
      <color rgb="FFC0392B"/>
      <sz val="10"/>
    </font>
    <font>
      <name val="Arial"/>
      <b val="1"/>
      <color theme="1"/>
      <sz val="10"/>
    </font>
    <font>
      <name val="Arial"/>
      <color rgb="FF808080"/>
      <sz val="9"/>
    </font>
    <font>
      <name val="Arial"/>
      <i val="1"/>
      <color rgb="FF808080"/>
      <sz val="9"/>
    </font>
    <font>
      <name val="Arial"/>
      <color rgb="FF808080"/>
      <sz val="10"/>
    </font>
    <font>
      <name val="Arial"/>
      <i val="1"/>
      <color rgb="FFC0392B"/>
      <sz val="9"/>
    </font>
    <font>
      <name val="Arial"/>
      <b val="1"/>
      <color rgb="FFFFFFFF"/>
      <sz val="9"/>
    </font>
    <font>
      <name val="Calibri"/>
      <b val="1"/>
      <color theme="1"/>
      <scheme val="minor"/>
    </font>
    <font>
      <name val="Calibri"/>
      <color theme="1"/>
      <scheme val="minor"/>
    </font>
    <font>
      <name val="Arial"/>
      <b val="1"/>
      <color rgb="FF1F6F5C"/>
      <sz val="11"/>
    </font>
    <font>
      <name val="Arial"/>
      <color rgb="FF5C6D64"/>
      <sz val="11"/>
    </font>
    <font>
      <name val="Arial"/>
      <b val="1"/>
      <color rgb="FF1F6F5C"/>
      <sz val="10"/>
    </font>
    <font>
      <name val="Arial"/>
      <color rgb="FF000000"/>
      <sz val="10"/>
    </font>
    <font>
      <name val="Arial"/>
      <b val="1"/>
      <color rgb="FF000000"/>
      <sz val="10"/>
    </font>
  </fonts>
  <fills count="6">
    <fill>
      <patternFill/>
    </fill>
    <fill>
      <patternFill patternType="lightGray"/>
    </fill>
    <fill>
      <patternFill patternType="solid">
        <fgColor rgb="FF1F6F5C"/>
        <bgColor rgb="FF1F6F5C"/>
      </patternFill>
    </fill>
    <fill>
      <patternFill patternType="solid">
        <fgColor rgb="FFF1F1EF"/>
        <bgColor rgb="FFF1F1EF"/>
      </patternFill>
    </fill>
    <fill>
      <patternFill patternType="solid">
        <fgColor rgb="FFFFFF00"/>
        <bgColor rgb="FFFFFF00"/>
      </patternFill>
    </fill>
    <fill>
      <patternFill patternType="solid">
        <fgColor rgb="FFDCEAE4"/>
        <bgColor rgb="FFDCEAE4"/>
      </patternFill>
    </fill>
  </fills>
  <borders count="3">
    <border/>
    <border>
      <left/>
      <right/>
      <top/>
      <bottom/>
    </border>
    <border>
      <left style="thin">
        <color rgb="FFD8DCD3"/>
      </left>
      <right style="thin">
        <color rgb="FFD8DCD3"/>
      </right>
      <top style="thin">
        <color rgb="FFD8DCD3"/>
      </top>
      <bottom style="thin">
        <color rgb="FFD8DCD3"/>
      </bottom>
    </border>
  </borders>
  <cellStyleXfs count="1">
    <xf numFmtId="0" fontId="0" fillId="0" borderId="0"/>
  </cellStyleXfs>
  <cellXfs count="71">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top" wrapText="1"/>
    </xf>
    <xf numFmtId="0" fontId="5" fillId="0" borderId="0" applyAlignment="1" pivotButton="0" quotePrefix="0" xfId="0">
      <alignment vertical="bottom"/>
    </xf>
    <xf numFmtId="0" fontId="6" fillId="0" borderId="0" applyAlignment="1" pivotButton="0" quotePrefix="0" xfId="0">
      <alignment vertical="top" wrapText="1"/>
    </xf>
    <xf numFmtId="0" fontId="7" fillId="2" borderId="1" applyAlignment="1" pivotButton="0" quotePrefix="0" xfId="0">
      <alignment vertical="center" wrapText="1"/>
    </xf>
    <xf numFmtId="0" fontId="8" fillId="0" borderId="0" applyAlignment="1" pivotButton="0" quotePrefix="0" xfId="0">
      <alignment vertical="top" wrapText="1"/>
    </xf>
    <xf numFmtId="0" fontId="4" fillId="0" borderId="2" applyAlignment="1" pivotButton="0" quotePrefix="0" xfId="0">
      <alignment vertical="bottom"/>
    </xf>
    <xf numFmtId="0" fontId="9" fillId="0" borderId="2" applyAlignment="1" pivotButton="0" quotePrefix="0" xfId="0">
      <alignment vertical="bottom"/>
    </xf>
    <xf numFmtId="0" fontId="10" fillId="0" borderId="2" applyAlignment="1" pivotButton="0" quotePrefix="0" xfId="0">
      <alignment vertical="bottom"/>
    </xf>
    <xf numFmtId="1" fontId="4" fillId="0" borderId="2" applyAlignment="1" pivotButton="0" quotePrefix="0" xfId="0">
      <alignment vertical="bottom"/>
    </xf>
    <xf numFmtId="0" fontId="10" fillId="3" borderId="2" applyAlignment="1" pivotButton="0" quotePrefix="0" xfId="0">
      <alignment vertical="bottom"/>
    </xf>
    <xf numFmtId="0" fontId="4" fillId="4" borderId="2" applyAlignment="1" pivotButton="0" quotePrefix="0" xfId="0">
      <alignment vertical="bottom"/>
    </xf>
    <xf numFmtId="0" fontId="10" fillId="0" borderId="2" applyAlignment="1" pivotButton="0" quotePrefix="0" xfId="0">
      <alignment vertical="top" wrapText="1"/>
    </xf>
    <xf numFmtId="0" fontId="4" fillId="0" borderId="0" applyAlignment="1" pivotButton="0" quotePrefix="0" xfId="0">
      <alignment vertical="bottom"/>
    </xf>
    <xf numFmtId="164" fontId="10" fillId="3" borderId="2" applyAlignment="1" pivotButton="0" quotePrefix="0" xfId="0">
      <alignment vertical="bottom"/>
    </xf>
    <xf numFmtId="164" fontId="4" fillId="4" borderId="2" applyAlignment="1" pivotButton="0" quotePrefix="0" xfId="0">
      <alignment vertical="bottom"/>
    </xf>
    <xf numFmtId="0" fontId="11" fillId="0" borderId="2" applyAlignment="1" pivotButton="0" quotePrefix="0" xfId="0">
      <alignment vertical="bottom"/>
    </xf>
    <xf numFmtId="0" fontId="12" fillId="0" borderId="0" applyAlignment="1" pivotButton="0" quotePrefix="0" xfId="0">
      <alignment vertical="bottom"/>
    </xf>
    <xf numFmtId="0" fontId="10" fillId="0" borderId="0" applyAlignment="1" pivotButton="0" quotePrefix="0" xfId="0">
      <alignment vertical="bottom"/>
    </xf>
    <xf numFmtId="0" fontId="13" fillId="0" borderId="2" applyAlignment="1" pivotButton="0" quotePrefix="0" xfId="0">
      <alignment vertical="bottom"/>
    </xf>
    <xf numFmtId="0" fontId="3" fillId="0" borderId="0" applyAlignment="1" pivotButton="0" quotePrefix="0" xfId="0">
      <alignment vertical="top" wrapText="1"/>
    </xf>
    <xf numFmtId="0" fontId="5" fillId="0" borderId="0" applyAlignment="1" pivotButton="0" quotePrefix="0" xfId="0">
      <alignment vertical="top" wrapText="1"/>
    </xf>
    <xf numFmtId="0" fontId="3" fillId="0" borderId="2" applyAlignment="1" pivotButton="0" quotePrefix="0" xfId="0">
      <alignment vertical="bottom"/>
    </xf>
    <xf numFmtId="0" fontId="14" fillId="2" borderId="1" applyAlignment="1" pivotButton="0" quotePrefix="0" xfId="0">
      <alignment horizontal="center" vertical="center" wrapText="1"/>
    </xf>
    <xf numFmtId="165" fontId="3" fillId="0" borderId="2" applyAlignment="1" pivotButton="0" quotePrefix="0" xfId="0">
      <alignment vertical="bottom"/>
    </xf>
    <xf numFmtId="166" fontId="3" fillId="0" borderId="2" applyAlignment="1" pivotButton="0" quotePrefix="0" xfId="0">
      <alignment vertical="bottom"/>
    </xf>
    <xf numFmtId="0" fontId="8" fillId="0" borderId="0" applyAlignment="1" pivotButton="0" quotePrefix="0" xfId="0">
      <alignment vertical="bottom"/>
    </xf>
    <xf numFmtId="0" fontId="3" fillId="0" borderId="0" applyAlignment="1" pivotButton="0" quotePrefix="0" xfId="0">
      <alignment vertical="bottom"/>
    </xf>
    <xf numFmtId="167" fontId="3" fillId="0" borderId="0" applyAlignment="1" pivotButton="0" quotePrefix="0" xfId="0">
      <alignment vertical="bottom"/>
    </xf>
    <xf numFmtId="0" fontId="9" fillId="0" borderId="0" applyAlignment="1" pivotButton="0" quotePrefix="0" xfId="0">
      <alignment vertical="bottom"/>
    </xf>
    <xf numFmtId="166" fontId="9" fillId="0" borderId="0" applyAlignment="1" pivotButton="0" quotePrefix="0" xfId="0">
      <alignment vertical="bottom"/>
    </xf>
    <xf numFmtId="0" fontId="9" fillId="5" borderId="1" applyAlignment="1" pivotButton="0" quotePrefix="0" xfId="0">
      <alignment vertical="bottom"/>
    </xf>
    <xf numFmtId="166" fontId="9" fillId="5" borderId="1" applyAlignment="1" pivotButton="0" quotePrefix="0" xfId="0">
      <alignment vertical="bottom"/>
    </xf>
    <xf numFmtId="166" fontId="3" fillId="0" borderId="0" applyAlignment="1" pivotButton="0" quotePrefix="0" xfId="0">
      <alignment vertical="bottom"/>
    </xf>
    <xf numFmtId="0" fontId="11" fillId="0" borderId="0" applyAlignment="1" pivotButton="0" quotePrefix="0" xfId="0">
      <alignment vertical="top" wrapText="1"/>
    </xf>
    <xf numFmtId="0" fontId="4" fillId="0" borderId="2" applyAlignment="1" pivotButton="0" quotePrefix="0" xfId="0">
      <alignment vertical="bottom"/>
    </xf>
    <xf numFmtId="166" fontId="4" fillId="0" borderId="2" applyAlignment="1" pivotButton="0" quotePrefix="0" xfId="0">
      <alignment vertical="bottom"/>
    </xf>
    <xf numFmtId="166" fontId="4" fillId="0" borderId="2" applyAlignment="1" pivotButton="0" quotePrefix="0" xfId="0">
      <alignment vertical="bottom"/>
    </xf>
    <xf numFmtId="0" fontId="3" fillId="0" borderId="0" applyAlignment="1" pivotButton="0" quotePrefix="0" xfId="0">
      <alignment vertical="bottom"/>
    </xf>
    <xf numFmtId="0" fontId="15" fillId="0" borderId="0" pivotButton="0" quotePrefix="0" xfId="0"/>
    <xf numFmtId="168" fontId="16" fillId="0" borderId="0" pivotButton="0" quotePrefix="0" xfId="0"/>
    <xf numFmtId="0" fontId="16" fillId="0" borderId="0" pivotButton="0" quotePrefix="0" xfId="0"/>
    <xf numFmtId="0" fontId="17" fillId="0" borderId="0" applyAlignment="1" pivotButton="0" quotePrefix="0" xfId="0">
      <alignment vertical="bottom"/>
    </xf>
    <xf numFmtId="0" fontId="9" fillId="5" borderId="2" applyAlignment="1" pivotButton="0" quotePrefix="0" xfId="0">
      <alignment vertical="bottom"/>
    </xf>
    <xf numFmtId="166" fontId="9" fillId="5" borderId="2" applyAlignment="1" pivotButton="0" quotePrefix="0" xfId="0">
      <alignment vertical="bottom"/>
    </xf>
    <xf numFmtId="166" fontId="4" fillId="0" borderId="0" applyAlignment="1" pivotButton="0" quotePrefix="0" xfId="0">
      <alignment vertical="bottom"/>
    </xf>
    <xf numFmtId="166" fontId="3" fillId="4" borderId="1" applyAlignment="1" pivotButton="0" quotePrefix="0" xfId="0">
      <alignment vertical="bottom"/>
    </xf>
    <xf numFmtId="166" fontId="9" fillId="0" borderId="2" applyAlignment="1" pivotButton="0" quotePrefix="0" xfId="0">
      <alignment vertical="bottom"/>
    </xf>
    <xf numFmtId="166" fontId="11" fillId="0" borderId="2" applyAlignment="1" pivotButton="0" quotePrefix="0" xfId="0">
      <alignment vertical="bottom"/>
    </xf>
    <xf numFmtId="166" fontId="4" fillId="4" borderId="2" applyAlignment="1" pivotButton="0" quotePrefix="0" xfId="0">
      <alignment vertical="bottom"/>
    </xf>
    <xf numFmtId="166" fontId="4" fillId="5" borderId="2" applyAlignment="1" pivotButton="0" quotePrefix="0" xfId="0">
      <alignment vertical="bottom"/>
    </xf>
    <xf numFmtId="0" fontId="4" fillId="5" borderId="2" applyAlignment="1" pivotButton="0" quotePrefix="0" xfId="0">
      <alignment vertical="bottom"/>
    </xf>
    <xf numFmtId="0" fontId="18" fillId="0" borderId="0" applyAlignment="1" pivotButton="0" quotePrefix="0" xfId="0">
      <alignment vertical="bottom"/>
    </xf>
    <xf numFmtId="0" fontId="11" fillId="0" borderId="0" applyAlignment="1" pivotButton="0" quotePrefix="0" xfId="0">
      <alignment vertical="bottom"/>
    </xf>
    <xf numFmtId="0" fontId="19" fillId="0" borderId="0" applyAlignment="1" pivotButton="0" quotePrefix="0" xfId="0">
      <alignment vertical="bottom"/>
    </xf>
    <xf numFmtId="0" fontId="20" fillId="0" borderId="0" applyAlignment="1" pivotButton="0" quotePrefix="0" xfId="0">
      <alignment vertical="bottom"/>
    </xf>
    <xf numFmtId="0" fontId="21" fillId="0" borderId="0" applyAlignment="1" pivotButton="0" quotePrefix="0" xfId="0">
      <alignment vertical="bottom"/>
    </xf>
    <xf numFmtId="0" fontId="0" fillId="0" borderId="0" pivotButton="0" quotePrefix="0" xfId="0"/>
    <xf numFmtId="0" fontId="9" fillId="0" borderId="2" applyAlignment="1" pivotButton="0" quotePrefix="0" xfId="0">
      <alignment vertical="bottom"/>
    </xf>
    <xf numFmtId="0" fontId="10" fillId="3" borderId="2" applyAlignment="1" pivotButton="0" quotePrefix="0" xfId="0">
      <alignment vertical="bottom"/>
    </xf>
    <xf numFmtId="0" fontId="4" fillId="4" borderId="2" applyAlignment="1" pivotButton="0" quotePrefix="0" xfId="0">
      <alignment vertical="bottom"/>
    </xf>
    <xf numFmtId="0" fontId="10" fillId="0" borderId="2" applyAlignment="1" pivotButton="0" quotePrefix="0" xfId="0">
      <alignment vertical="bottom"/>
    </xf>
    <xf numFmtId="0" fontId="17" fillId="0" borderId="0" applyAlignment="1" pivotButton="0" quotePrefix="0" xfId="0">
      <alignment vertical="bottom"/>
    </xf>
    <xf numFmtId="0" fontId="3" fillId="0" borderId="0" applyAlignment="1" pivotButton="0" quotePrefix="0" xfId="0">
      <alignment vertical="bottom"/>
    </xf>
    <xf numFmtId="0" fontId="4" fillId="0" borderId="2" applyAlignment="1" pivotButton="0" quotePrefix="0" xfId="0">
      <alignment vertical="bottom"/>
    </xf>
    <xf numFmtId="166" fontId="4" fillId="0" borderId="2" applyAlignment="1" pivotButton="0" quotePrefix="0" xfId="0">
      <alignment vertical="bottom"/>
    </xf>
    <xf numFmtId="0" fontId="9" fillId="5" borderId="2" applyAlignment="1" pivotButton="0" quotePrefix="0" xfId="0">
      <alignment vertical="bottom"/>
    </xf>
    <xf numFmtId="166" fontId="9" fillId="5" borderId="2"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1000"/>
  <sheetViews>
    <sheetView showGridLines="0" workbookViewId="0">
      <selection activeCell="A1" sqref="A1"/>
    </sheetView>
  </sheetViews>
  <sheetFormatPr baseColWidth="8" defaultColWidth="14.43" defaultRowHeight="15" customHeight="1"/>
  <cols>
    <col width="100" customWidth="1" style="60" min="1" max="1"/>
    <col width="8.710000000000001" customWidth="1" style="60" min="2" max="26"/>
  </cols>
  <sheetData>
    <row r="1" ht="19.5" customHeight="1" s="60">
      <c r="A1" s="2" t="inlineStr">
        <is>
          <t>APZACCT — PANDUAN ASAS SISTEM PERAKAUNAN KOPERASI (BUKAN FORMAT SKM EASY COOP)</t>
        </is>
      </c>
    </row>
    <row r="2" ht="15" customHeight="1" s="60">
      <c r="A2" s="4" t="n"/>
    </row>
    <row r="3" ht="15" customHeight="1" s="60">
      <c r="A3" s="6" t="inlineStr">
        <is>
          <t>Apa buku kerja ini</t>
        </is>
      </c>
    </row>
    <row r="4" ht="49.5" customHeight="1" s="60">
      <c r="A4" s="4" t="inlineStr">
        <is>
          <t>Asas (foundation) untuk sistem baharu — struktur sendiri, ikut prinsip perakaunan berganda standard. Format penyata rasmi (KKK/UR/AT) kekal ikut bentuk SKM harapkan; cara data dimasukkan yang berubah sepenuhnya.</t>
        </is>
      </c>
    </row>
    <row r="5" ht="15" customHeight="1" s="60">
      <c r="A5" s="4" t="n"/>
    </row>
    <row r="6" ht="15" customHeight="1" s="60">
      <c r="A6" s="6" t="inlineStr">
        <is>
          <t>Cara helaian berkait</t>
        </is>
      </c>
    </row>
    <row r="7" ht="49.5" customHeight="1" s="60">
      <c r="A7" s="4" t="inlineStr">
        <is>
          <t>Akaun -&gt; Transaksi + Baris_Transaksi -&gt; Imbangan_Duga (auto SUMIF) -&gt; UR dan KKK (auto daripada Imbangan_Duga) -&gt; AT (auto daripada UR + Baris_Transaksi, kaedah tidak langsung). Tiada nombor ditaip terus ke UR/KKK/AT — semua formula.</t>
        </is>
      </c>
    </row>
    <row r="8" ht="15" customHeight="1" s="60">
      <c r="A8" s="4" t="n"/>
    </row>
    <row r="9" ht="15" customHeight="1" s="60">
      <c r="A9" s="8" t="inlineStr">
        <is>
          <t>PRINSIP PENTING: Akaun mula LEAN, bukan penuh macam EASY COOP</t>
        </is>
      </c>
    </row>
    <row r="10" ht="49.5" customHeight="1" s="60">
      <c r="A10" s="4" t="inlineStr">
        <is>
          <t>Percubaan awal migrasi semua 97 kategori sebenar daripada AKAUN_INDEX lama telah DITARIK BALIK. Sebab: kebanyakan kategori itu (Jualan-Akuakultur, Jualan-Pembangunan Hartanah, dll.) cuma relevan untuk koperasi yang benar-benar buat perniagaan itu — bina lebih awal daripada perlu bermakna akaun kosong bertimbun, sama macam masalah asal EASY COOP. Akaun sekarang cuma 29 akaun teras (tunai, bank, modal syer, rizab, perbelanjaan pentadbiran wajib, dll.) yang hampir semua koperasi perlukan tanpa mengira jenis perniagaan. Akaun khusus perniagaan (pinjaman ahli, jualan runcit, sewaan, dll.) TIDAK dibina sehingga disahkan koperasi ini benar-benar buat aktiviti itu.</t>
        </is>
      </c>
    </row>
    <row r="11" ht="15" customHeight="1" s="60">
      <c r="A11" s="4" t="n"/>
    </row>
    <row r="12" ht="15" customHeight="1" s="60">
      <c r="A12" s="8" t="inlineStr">
        <is>
          <t>SAHKAN sebelum diguna sebenar</t>
        </is>
      </c>
    </row>
    <row r="13" ht="49.5" customHeight="1" s="60">
      <c r="A13" s="4" t="inlineStr">
        <is>
          <t>Akaun 2030 "Akaun Deposit Koperasi": fail rujukan sebenar (Koperasi Ikram Miri) letak ADK di bawah ASET, bukan Liabiliti — anggapan asal mungkin salah arah. Akaun 4020 "Faedah / Hibah Bank": nama neutral buat masa ini, tunggu pengesahan sama ada koperasi ini konvensional (Faedah) atau patuh Syariah (Hibah).</t>
        </is>
      </c>
    </row>
    <row r="14" ht="15" customHeight="1" s="60">
      <c r="A14" s="4" t="n"/>
    </row>
    <row r="15" ht="15" customHeight="1" s="60">
      <c r="A15" s="6" t="inlineStr">
        <is>
          <t>Baki Bersih (Imbangan_Duga lajur H)</t>
        </is>
      </c>
    </row>
    <row r="16" ht="49.5" customHeight="1" s="60">
      <c r="A16" s="4" t="inlineStr">
        <is>
          <t>Lajur bertanda: positif = ikut baki normal akaun, negatif = kedudukan kontra. UR/KKK rujuk lajur ini supaya akaun kontra (jika ditambah kelak) automatik tolak daripada jumlah kumpulannya, bukan tambah.</t>
        </is>
      </c>
    </row>
    <row r="17" ht="15" customHeight="1" s="60">
      <c r="A17" s="4" t="n"/>
    </row>
    <row r="18" ht="15" customHeight="1" s="60">
      <c r="A18" s="6" t="inlineStr">
        <is>
          <t>Apa yang BELUM dibina</t>
        </is>
      </c>
    </row>
    <row r="19" ht="49.5" customHeight="1" s="60">
      <c r="A19" s="4" t="inlineStr">
        <is>
          <t>Peruntukan/liabiliti berasingan untuk Zakat, Cukai, Dividen, Honorarium (kini perbelanjaan terus sahaja — fail rujukan sebenar guna akruan/peruntukan, lebih tepat tapi lebih rumit). Pengiraan Zakat sebenar (modal kerja Syar’iyyah) — jauh lebih terperinci daripada satu akaun perbelanjaan. Bajet vs Sebenar. Wizard/laman web, imbas resit AI, paparan audit, migrasi data tahun lepas sebenar (bukan contoh).</t>
        </is>
      </c>
    </row>
    <row r="20" ht="15" customHeight="1" s="60">
      <c r="A20" s="4" t="n"/>
    </row>
    <row r="21" ht="15" customHeight="1" s="60">
      <c r="A21" s="6" t="inlineStr">
        <is>
          <t>Rujukan pantas</t>
        </is>
      </c>
    </row>
    <row r="22" ht="49.5" customHeight="1" s="60">
      <c r="A22" s="4" t="inlineStr">
        <is>
          <t>Maksud istilah: Kamus_Istilah. Tukar nama koperasi/tetapan lain tanpa sentuh formula: Tetapan, lajur kuning sahaja.</t>
        </is>
      </c>
    </row>
    <row r="23" ht="15" customHeight="1" s="60">
      <c r="A23" s="4" t="n"/>
    </row>
    <row r="24" ht="15" customHeight="1" s="60">
      <c r="A24" s="4" t="n"/>
    </row>
    <row r="25" ht="60" customHeight="1" s="60">
      <c r="A25" s="4" t="n"/>
    </row>
    <row r="26" ht="15" customHeight="1" s="60">
      <c r="A26" s="4" t="n"/>
    </row>
    <row r="27" ht="15" customHeight="1" s="60">
      <c r="A27" s="4" t="n"/>
    </row>
    <row r="28" ht="60" customHeight="1" s="60">
      <c r="A28" s="4" t="n"/>
    </row>
    <row r="29" ht="15" customHeight="1" s="60">
      <c r="A29" s="4" t="n"/>
    </row>
    <row r="30" ht="15" customHeight="1" s="60">
      <c r="A30" s="4" t="n"/>
    </row>
    <row r="31" ht="60" customHeight="1" s="60">
      <c r="A31" s="4" t="n"/>
    </row>
    <row r="32" ht="15" customHeight="1" s="60">
      <c r="A32" s="16" t="n"/>
    </row>
    <row r="33" ht="15" customHeight="1" s="60">
      <c r="A33" s="16" t="n"/>
    </row>
    <row r="34" ht="15" customHeight="1" s="60">
      <c r="A34" s="16" t="n"/>
    </row>
    <row r="35" ht="15" customHeight="1" s="60">
      <c r="A35" s="16" t="n"/>
    </row>
    <row r="36" ht="15" customHeight="1" s="60">
      <c r="A36" s="16" t="n"/>
    </row>
    <row r="37" ht="15" customHeight="1" s="60">
      <c r="A37" s="16" t="n"/>
    </row>
    <row r="38" ht="15" customHeight="1" s="60">
      <c r="A38" s="16" t="n"/>
    </row>
    <row r="39" ht="15" customHeight="1" s="60">
      <c r="A39" s="16" t="n"/>
    </row>
    <row r="40" ht="15" customHeight="1" s="60">
      <c r="A40" s="16" t="n"/>
    </row>
    <row r="41" ht="15" customHeight="1" s="60">
      <c r="A41" s="16" t="n"/>
    </row>
    <row r="42" ht="15" customHeight="1" s="60">
      <c r="A42" s="16" t="n"/>
    </row>
    <row r="43" ht="15" customHeight="1" s="60">
      <c r="A43" s="16" t="n"/>
    </row>
    <row r="44" ht="15" customHeight="1" s="60">
      <c r="A44" s="16" t="n"/>
    </row>
    <row r="45" ht="15" customHeight="1" s="60">
      <c r="A45" s="16" t="n"/>
    </row>
    <row r="46" ht="15" customHeight="1" s="60">
      <c r="A46" s="16" t="n"/>
    </row>
    <row r="47" ht="15" customHeight="1" s="60">
      <c r="A47" s="16" t="n"/>
    </row>
    <row r="48" ht="15" customHeight="1" s="60">
      <c r="A48" s="16" t="n"/>
    </row>
    <row r="49" ht="15" customHeight="1" s="60">
      <c r="A49" s="16" t="n"/>
    </row>
    <row r="50" ht="15" customHeight="1" s="60">
      <c r="A50" s="16" t="n"/>
    </row>
    <row r="51" ht="15" customHeight="1" s="60">
      <c r="A51" s="16" t="n"/>
    </row>
    <row r="52" ht="15" customHeight="1" s="60">
      <c r="A52" s="16" t="n"/>
    </row>
    <row r="53" ht="15" customHeight="1" s="60">
      <c r="A53" s="16" t="n"/>
    </row>
    <row r="54" ht="15" customHeight="1" s="60">
      <c r="A54" s="16" t="n"/>
    </row>
    <row r="55" ht="15" customHeight="1" s="60">
      <c r="A55" s="16" t="n"/>
    </row>
    <row r="56" ht="15" customHeight="1" s="60">
      <c r="A56" s="16" t="n"/>
    </row>
    <row r="57" ht="15" customHeight="1" s="60">
      <c r="A57" s="16" t="n"/>
    </row>
    <row r="58" ht="15" customHeight="1" s="60">
      <c r="A58" s="16" t="n"/>
    </row>
    <row r="59" ht="15" customHeight="1" s="60">
      <c r="A59" s="16" t="n"/>
    </row>
    <row r="60" ht="15" customHeight="1" s="60">
      <c r="A60" s="16" t="n"/>
    </row>
    <row r="61" ht="15" customHeight="1" s="60">
      <c r="A61" s="16" t="n"/>
    </row>
    <row r="62" ht="15" customHeight="1" s="60">
      <c r="A62" s="16" t="n"/>
    </row>
    <row r="63" ht="15" customHeight="1" s="60">
      <c r="A63" s="16" t="n"/>
    </row>
    <row r="64" ht="15" customHeight="1" s="60">
      <c r="A64" s="16" t="n"/>
    </row>
    <row r="65" ht="15" customHeight="1" s="60">
      <c r="A65" s="16" t="n"/>
    </row>
    <row r="66" ht="15" customHeight="1" s="60">
      <c r="A66" s="16" t="n"/>
    </row>
    <row r="67" ht="15" customHeight="1" s="60">
      <c r="A67" s="16" t="n"/>
    </row>
    <row r="68" ht="15" customHeight="1" s="60">
      <c r="A68" s="16" t="n"/>
    </row>
    <row r="69" ht="15" customHeight="1" s="60">
      <c r="A69" s="16" t="n"/>
    </row>
    <row r="70" ht="15" customHeight="1" s="60">
      <c r="A70" s="16" t="n"/>
    </row>
    <row r="71" ht="15" customHeight="1" s="60">
      <c r="A71" s="16" t="n"/>
    </row>
    <row r="72" ht="15" customHeight="1" s="60">
      <c r="A72" s="16" t="n"/>
    </row>
    <row r="73" ht="15" customHeight="1" s="60">
      <c r="A73" s="16" t="n"/>
    </row>
    <row r="74" ht="15" customHeight="1" s="60">
      <c r="A74" s="16" t="n"/>
    </row>
    <row r="75" ht="15" customHeight="1" s="60">
      <c r="A75" s="16" t="n"/>
    </row>
    <row r="76" ht="15" customHeight="1" s="60">
      <c r="A76" s="16" t="n"/>
    </row>
    <row r="77" ht="15" customHeight="1" s="60">
      <c r="A77" s="16" t="n"/>
    </row>
    <row r="78" ht="15" customHeight="1" s="60">
      <c r="A78" s="16" t="n"/>
    </row>
    <row r="79" ht="15" customHeight="1" s="60">
      <c r="A79" s="16" t="n"/>
    </row>
    <row r="80" ht="15" customHeight="1" s="60">
      <c r="A80" s="16" t="n"/>
    </row>
    <row r="81" ht="15" customHeight="1" s="60">
      <c r="A81" s="16" t="n"/>
    </row>
    <row r="82" ht="15" customHeight="1" s="60">
      <c r="A82" s="16" t="n"/>
    </row>
    <row r="83" ht="15" customHeight="1" s="60">
      <c r="A83" s="16" t="n"/>
    </row>
    <row r="84" ht="15" customHeight="1" s="60">
      <c r="A84" s="16" t="n"/>
    </row>
    <row r="85" ht="15" customHeight="1" s="60">
      <c r="A85" s="16" t="n"/>
    </row>
    <row r="86" ht="15" customHeight="1" s="60">
      <c r="A86" s="16" t="n"/>
    </row>
    <row r="87" ht="15" customHeight="1" s="60">
      <c r="A87" s="16" t="n"/>
    </row>
    <row r="88" ht="15" customHeight="1" s="60">
      <c r="A88" s="16" t="n"/>
    </row>
    <row r="89" ht="15" customHeight="1" s="60">
      <c r="A89" s="16" t="n"/>
    </row>
    <row r="90" ht="15" customHeight="1" s="60">
      <c r="A90" s="16" t="n"/>
    </row>
    <row r="91" ht="15" customHeight="1" s="60">
      <c r="A91" s="16" t="n"/>
    </row>
    <row r="92" ht="15" customHeight="1" s="60">
      <c r="A92" s="16" t="n"/>
    </row>
    <row r="93" ht="15" customHeight="1" s="60">
      <c r="A93" s="16" t="n"/>
    </row>
    <row r="94" ht="15" customHeight="1" s="60">
      <c r="A94" s="16" t="n"/>
    </row>
    <row r="95" ht="15" customHeight="1" s="60">
      <c r="A95" s="16" t="n"/>
    </row>
    <row r="96" ht="15" customHeight="1" s="60">
      <c r="A96" s="16" t="n"/>
    </row>
    <row r="97" ht="15" customHeight="1" s="60">
      <c r="A97" s="16" t="n"/>
    </row>
    <row r="98" ht="15" customHeight="1" s="60">
      <c r="A98" s="16" t="n"/>
    </row>
    <row r="99" ht="15" customHeight="1" s="60">
      <c r="A99" s="16" t="n"/>
    </row>
    <row r="100" ht="15" customHeight="1" s="60">
      <c r="A100" s="16" t="n"/>
    </row>
    <row r="101" ht="15" customHeight="1" s="60">
      <c r="A101" s="16" t="n"/>
    </row>
    <row r="102" ht="15" customHeight="1" s="60">
      <c r="A102" s="16" t="n"/>
    </row>
    <row r="103" ht="15" customHeight="1" s="60">
      <c r="A103" s="16" t="n"/>
    </row>
    <row r="104" ht="15" customHeight="1" s="60">
      <c r="A104" s="16" t="n"/>
    </row>
    <row r="105" ht="15" customHeight="1" s="60">
      <c r="A105" s="16" t="n"/>
    </row>
    <row r="106" ht="15" customHeight="1" s="60">
      <c r="A106" s="16" t="n"/>
    </row>
    <row r="107" ht="15" customHeight="1" s="60">
      <c r="A107" s="16" t="n"/>
    </row>
    <row r="108" ht="15" customHeight="1" s="60">
      <c r="A108" s="16" t="n"/>
    </row>
    <row r="109" ht="15" customHeight="1" s="60">
      <c r="A109" s="16" t="n"/>
    </row>
    <row r="110" ht="15" customHeight="1" s="60">
      <c r="A110" s="16" t="n"/>
    </row>
    <row r="111" ht="15" customHeight="1" s="60">
      <c r="A111" s="16" t="n"/>
    </row>
    <row r="112" ht="15" customHeight="1" s="60">
      <c r="A112" s="16" t="n"/>
    </row>
    <row r="113" ht="15" customHeight="1" s="60">
      <c r="A113" s="16" t="n"/>
    </row>
    <row r="114" ht="15" customHeight="1" s="60">
      <c r="A114" s="16" t="n"/>
    </row>
    <row r="115" ht="15" customHeight="1" s="60">
      <c r="A115" s="16" t="n"/>
    </row>
    <row r="116" ht="15" customHeight="1" s="60">
      <c r="A116" s="16" t="n"/>
    </row>
    <row r="117" ht="15" customHeight="1" s="60">
      <c r="A117" s="16" t="n"/>
    </row>
    <row r="118" ht="15" customHeight="1" s="60">
      <c r="A118" s="16" t="n"/>
    </row>
    <row r="119" ht="15" customHeight="1" s="60">
      <c r="A119" s="16" t="n"/>
    </row>
    <row r="120" ht="15" customHeight="1" s="60">
      <c r="A120" s="16" t="n"/>
    </row>
    <row r="121" ht="15" customHeight="1" s="60">
      <c r="A121" s="16" t="n"/>
    </row>
    <row r="122" ht="15" customHeight="1" s="60">
      <c r="A122" s="16" t="n"/>
    </row>
    <row r="123" ht="15" customHeight="1" s="60">
      <c r="A123" s="16" t="n"/>
    </row>
    <row r="124" ht="15" customHeight="1" s="60">
      <c r="A124" s="16" t="n"/>
    </row>
    <row r="125" ht="15" customHeight="1" s="60">
      <c r="A125" s="16" t="n"/>
    </row>
    <row r="126" ht="15" customHeight="1" s="60">
      <c r="A126" s="16" t="n"/>
    </row>
    <row r="127" ht="15" customHeight="1" s="60">
      <c r="A127" s="16" t="n"/>
    </row>
    <row r="128" ht="15" customHeight="1" s="60">
      <c r="A128" s="16" t="n"/>
    </row>
    <row r="129" ht="15" customHeight="1" s="60">
      <c r="A129" s="16" t="n"/>
    </row>
    <row r="130" ht="15" customHeight="1" s="60">
      <c r="A130" s="16" t="n"/>
    </row>
    <row r="131" ht="15" customHeight="1" s="60">
      <c r="A131" s="16" t="n"/>
    </row>
    <row r="132" ht="15" customHeight="1" s="60">
      <c r="A132" s="16" t="n"/>
    </row>
    <row r="133" ht="15" customHeight="1" s="60">
      <c r="A133" s="16" t="n"/>
    </row>
    <row r="134" ht="15" customHeight="1" s="60">
      <c r="A134" s="16" t="n"/>
    </row>
    <row r="135" ht="15" customHeight="1" s="60">
      <c r="A135" s="16" t="n"/>
    </row>
    <row r="136" ht="15" customHeight="1" s="60">
      <c r="A136" s="16" t="n"/>
    </row>
    <row r="137" ht="15" customHeight="1" s="60">
      <c r="A137" s="16" t="n"/>
    </row>
    <row r="138" ht="15" customHeight="1" s="60">
      <c r="A138" s="16" t="n"/>
    </row>
    <row r="139" ht="15" customHeight="1" s="60">
      <c r="A139" s="16" t="n"/>
    </row>
    <row r="140" ht="15" customHeight="1" s="60">
      <c r="A140" s="16" t="n"/>
    </row>
    <row r="141" ht="15" customHeight="1" s="60">
      <c r="A141" s="16" t="n"/>
    </row>
    <row r="142" ht="15" customHeight="1" s="60">
      <c r="A142" s="16" t="n"/>
    </row>
    <row r="143" ht="15" customHeight="1" s="60">
      <c r="A143" s="16" t="n"/>
    </row>
    <row r="144" ht="15" customHeight="1" s="60">
      <c r="A144" s="16" t="n"/>
    </row>
    <row r="145" ht="15" customHeight="1" s="60">
      <c r="A145" s="16" t="n"/>
    </row>
    <row r="146" ht="15" customHeight="1" s="60">
      <c r="A146" s="16" t="n"/>
    </row>
    <row r="147" ht="15" customHeight="1" s="60">
      <c r="A147" s="16" t="n"/>
    </row>
    <row r="148" ht="15" customHeight="1" s="60">
      <c r="A148" s="16" t="n"/>
    </row>
    <row r="149" ht="15" customHeight="1" s="60">
      <c r="A149" s="16" t="n"/>
    </row>
    <row r="150" ht="15" customHeight="1" s="60">
      <c r="A150" s="16" t="n"/>
    </row>
    <row r="151" ht="15" customHeight="1" s="60">
      <c r="A151" s="16" t="n"/>
    </row>
    <row r="152" ht="15" customHeight="1" s="60">
      <c r="A152" s="16" t="n"/>
    </row>
    <row r="153" ht="15" customHeight="1" s="60">
      <c r="A153" s="16" t="n"/>
    </row>
    <row r="154" ht="15" customHeight="1" s="60">
      <c r="A154" s="16" t="n"/>
    </row>
    <row r="155" ht="15" customHeight="1" s="60">
      <c r="A155" s="16" t="n"/>
    </row>
    <row r="156" ht="15" customHeight="1" s="60">
      <c r="A156" s="16" t="n"/>
    </row>
    <row r="157" ht="15" customHeight="1" s="60">
      <c r="A157" s="16" t="n"/>
    </row>
    <row r="158" ht="15" customHeight="1" s="60">
      <c r="A158" s="16" t="n"/>
    </row>
    <row r="159" ht="15" customHeight="1" s="60">
      <c r="A159" s="16" t="n"/>
    </row>
    <row r="160" ht="15" customHeight="1" s="60">
      <c r="A160" s="16" t="n"/>
    </row>
    <row r="161" ht="15" customHeight="1" s="60">
      <c r="A161" s="16" t="n"/>
    </row>
    <row r="162" ht="15" customHeight="1" s="60">
      <c r="A162" s="16" t="n"/>
    </row>
    <row r="163" ht="15" customHeight="1" s="60">
      <c r="A163" s="16" t="n"/>
    </row>
    <row r="164" ht="15" customHeight="1" s="60">
      <c r="A164" s="16" t="n"/>
    </row>
    <row r="165" ht="15" customHeight="1" s="60">
      <c r="A165" s="16" t="n"/>
    </row>
    <row r="166" ht="15" customHeight="1" s="60">
      <c r="A166" s="16" t="n"/>
    </row>
    <row r="167" ht="15" customHeight="1" s="60">
      <c r="A167" s="16" t="n"/>
    </row>
    <row r="168" ht="15" customHeight="1" s="60">
      <c r="A168" s="16" t="n"/>
    </row>
    <row r="169" ht="15" customHeight="1" s="60">
      <c r="A169" s="16" t="n"/>
    </row>
    <row r="170" ht="15" customHeight="1" s="60">
      <c r="A170" s="16" t="n"/>
    </row>
    <row r="171" ht="15" customHeight="1" s="60">
      <c r="A171" s="16" t="n"/>
    </row>
    <row r="172" ht="15" customHeight="1" s="60">
      <c r="A172" s="16" t="n"/>
    </row>
    <row r="173" ht="15" customHeight="1" s="60">
      <c r="A173" s="16" t="n"/>
    </row>
    <row r="174" ht="15" customHeight="1" s="60">
      <c r="A174" s="16" t="n"/>
    </row>
    <row r="175" ht="15" customHeight="1" s="60">
      <c r="A175" s="16" t="n"/>
    </row>
    <row r="176" ht="15" customHeight="1" s="60">
      <c r="A176" s="16" t="n"/>
    </row>
    <row r="177" ht="15" customHeight="1" s="60">
      <c r="A177" s="16" t="n"/>
    </row>
    <row r="178" ht="15" customHeight="1" s="60">
      <c r="A178" s="16" t="n"/>
    </row>
    <row r="179" ht="15" customHeight="1" s="60">
      <c r="A179" s="16" t="n"/>
    </row>
    <row r="180" ht="15" customHeight="1" s="60">
      <c r="A180" s="16" t="n"/>
    </row>
    <row r="181" ht="15" customHeight="1" s="60">
      <c r="A181" s="16" t="n"/>
    </row>
    <row r="182" ht="15" customHeight="1" s="60">
      <c r="A182" s="16" t="n"/>
    </row>
    <row r="183" ht="15" customHeight="1" s="60">
      <c r="A183" s="16" t="n"/>
    </row>
    <row r="184" ht="15" customHeight="1" s="60">
      <c r="A184" s="16" t="n"/>
    </row>
    <row r="185" ht="15" customHeight="1" s="60">
      <c r="A185" s="16" t="n"/>
    </row>
    <row r="186" ht="15" customHeight="1" s="60">
      <c r="A186" s="16" t="n"/>
    </row>
    <row r="187" ht="15" customHeight="1" s="60">
      <c r="A187" s="16" t="n"/>
    </row>
    <row r="188" ht="15" customHeight="1" s="60">
      <c r="A188" s="16" t="n"/>
    </row>
    <row r="189" ht="15" customHeight="1" s="60">
      <c r="A189" s="16" t="n"/>
    </row>
    <row r="190" ht="15" customHeight="1" s="60">
      <c r="A190" s="16" t="n"/>
    </row>
    <row r="191" ht="15" customHeight="1" s="60">
      <c r="A191" s="16" t="n"/>
    </row>
    <row r="192" ht="15" customHeight="1" s="60">
      <c r="A192" s="16" t="n"/>
    </row>
    <row r="193" ht="15" customHeight="1" s="60">
      <c r="A193" s="16" t="n"/>
    </row>
    <row r="194" ht="15" customHeight="1" s="60">
      <c r="A194" s="16" t="n"/>
    </row>
    <row r="195" ht="15" customHeight="1" s="60">
      <c r="A195" s="16" t="n"/>
    </row>
    <row r="196" ht="15" customHeight="1" s="60">
      <c r="A196" s="16" t="n"/>
    </row>
    <row r="197" ht="15" customHeight="1" s="60">
      <c r="A197" s="16" t="n"/>
    </row>
    <row r="198" ht="15" customHeight="1" s="60">
      <c r="A198" s="16" t="n"/>
    </row>
    <row r="199" ht="15" customHeight="1" s="60">
      <c r="A199" s="16" t="n"/>
    </row>
    <row r="200" ht="15" customHeight="1" s="60">
      <c r="A200" s="16" t="n"/>
    </row>
    <row r="201" ht="15.75" customHeight="1" s="60">
      <c r="A201" s="41" t="n"/>
    </row>
    <row r="202" ht="15" customHeight="1" s="60">
      <c r="A202" s="6" t="inlineStr">
        <is>
          <t>KEMASKINI — akaun perniagaan sebenar + Tambah Akaun</t>
        </is>
      </c>
    </row>
    <row r="203" ht="54.75" customHeight="1" s="60">
      <c r="A203" s="4" t="inlineStr">
        <is>
          <t>Akaun Deposit Koperasi dibetulkan kepada Aset Bukan Semasa (sahkan oleh tangkapan skrin format KKK rasmi). Faedah dan Hibah kini dua akaun berasingan (konvensional + Islamik, kedua-dua dipakai). Ditambah akaun untuk Runcit, Perkhidmatan, Latihan, F&amp;B, dan Perindustrian (sembelihan ayam halal) — disahkan terus oleh koperasi, bukan anggapan.</t>
        </is>
      </c>
    </row>
    <row r="204" ht="15" customHeight="1" s="60">
      <c r="A204" s="23" t="n"/>
    </row>
    <row r="205" ht="15" customHeight="1" s="60">
      <c r="A205" s="6" t="inlineStr">
        <is>
          <t>Tambah Akaun — fungsi tambah akaun tanpa had slot</t>
        </is>
      </c>
    </row>
    <row r="206" ht="54.75" customHeight="1" s="60">
      <c r="A206" s="4" t="inlineStr">
        <is>
          <t>Imbangan_Duga kini pra-isi formula sampai baris 150 — akaun baharu di Akaun automatik dikira di semua penyata sebaik sahaja ada transaksi, tiada helaian lain perlu disentuh. Skrip EASYCOOP_v2_Tambah_Akaun.gs (fail berasingan) sediakan cara guna: menu &gt; Tambah Akaun &gt; jawab 4 soalan (jenis, aktiviti perniagaan, nama BM, nama EN) &gt; kod seterusnya dikira automatik ikut julat 1000/2000/3000/4000/5000. Perlu Google Sheets + Apps Script untuk jalankan — belum diuji dalam persekitaran sebenar, sahkan bila sudah pasang.</t>
        </is>
      </c>
    </row>
    <row r="207" ht="15.75" customHeight="1" s="60">
      <c r="A207" s="41" t="n"/>
    </row>
    <row r="208" ht="15" customHeight="1" s="60">
      <c r="A208" s="6" t="inlineStr">
        <is>
          <t>KEMASKINI — Wang Runcit, julat dilebarkan, Web API</t>
        </is>
      </c>
    </row>
    <row r="209" ht="60" customHeight="1" s="60">
      <c r="A209" s="4" t="inlineStr">
        <is>
          <t>Wang Runcit (kod 1080) kini akaun berasingan dengan helaian Wang_Runcit sendiri untuk semak baki buku lawan pengiraan fizikal - itulah cara nampak kebocoran, bukan cuma rekod perbelanjaan. Semua rujukan Baris_Transaksi dilebarkan daripada baris 17 kepada baris 500 (Imbangan_Duga dan AT) supaya transaksi sebenar yang ditambah melalui Web API turut dikira, bukan senyap diabaikan. EASYCOOP_v2_WebAPI.gs (fail berasingan) beri wizard sesuatu sebenar untuk sambung - doGet pulangkan senarai akaun, doPost simpan satu transaksi seimbang. Data contoh kini berlabel CONTOH- supaya tak tertukar dengan data sebenar - padam baris CONTOH sebelum masuk baki sebenar.</t>
        </is>
      </c>
    </row>
    <row r="210" ht="15.75" customHeight="1" s="60">
      <c r="A210" s="41" t="n"/>
    </row>
    <row r="211" ht="15" customHeight="1" s="60">
      <c r="A211" s="6" t="inlineStr">
        <is>
          <t>KEMASKINI — APK, prabayar/terakru, penghutang</t>
        </is>
      </c>
    </row>
    <row r="212" ht="64.5" customHeight="1" s="60">
      <c r="A212" s="4" t="inlineStr">
        <is>
          <t>APK (Akaun Pembahagian Keuntungan) ditambah selepas semak fail SKM sebenar - Honorarium Lembaga, KWA Pendidikan, KWA Pembangunan, Cukai dan Zakat DIPINDAH keluar daripada UR (mereka bukan perbelanjaan operasi, mereka pembahagian lebihan yang sudah diperoleh). Kadar Rizab Statutori/KWA kini di Tetapan, boleh ubah. APK!B28 ialah UNJURAN sahaja untuk Lembaga putuskan - pos transaksi sebenar (Debit Lebihan Terkumpul, Kredit setiap akaun liabiliti berkaitan) selepas diluluskan, barulah KKK berubah.</t>
        </is>
      </c>
    </row>
    <row r="213" ht="15" customHeight="1" s="60">
      <c r="A213" s="23" t="n"/>
    </row>
    <row r="214" ht="15" customHeight="1" s="60">
      <c r="A214" s="6" t="inlineStr">
        <is>
          <t>Penghutang, Pemiutang, Prabayar/Terakru</t>
        </is>
      </c>
    </row>
    <row r="215" ht="64.5" customHeight="1" s="60">
      <c r="A215" s="4" t="inlineStr">
        <is>
          <t>Pelbagai Penghutang (1090) ditambah - guna bila jualan/perkhidmatan diberi tapi bayaran belum diterima (Debit Penghutang, Kredit Hasil; bila dibayar: Debit Bank, Kredit Penghutang). Perbelanjaan Prabayar (1100) dan Pendapatan Terakru (1110) ialah Aset. Perbelanjaan Terakru (2050) dan Pendapatan Belum Diperoleh (2060) ialah Liabiliti. Semua boleh dipos macam transaksi biasa, bila-bila masa - tak perlu proses pelarasan berasingan hujung tahun macam fail SKM punya helaian Pelarasan.</t>
        </is>
      </c>
    </row>
    <row r="216" ht="15.75" customHeight="1" s="60">
      <c r="A216" s="41" t="n"/>
    </row>
    <row r="217" ht="15" customHeight="1" s="60">
      <c r="A217" s="6" t="inlineStr">
        <is>
          <t>KEMASKINI — Cetak, Diagnosis, Ringkasan AI</t>
        </is>
      </c>
    </row>
    <row r="218" ht="60" customHeight="1" s="60">
      <c r="A218" s="4" t="inlineStr">
        <is>
          <t>Helaian Cetak (baharu) cerminkan KKK/UR/APK/AT secara langsung (formula, bukan salinan) dengan ruang khas untuk ringkasan AI di bahagian atas. APZacct_Laporan.gs bawa 3 fungsi menu: Cetak Penyata Kewangan (eksport Cetak sahaja ke PDF, tak sentuh helaian lain langsung), Diagnosis Ketidakseimbangan (semakan automatik: baki setiap transaksi, kod akaun sah, baris tak berpasangan), dan Jana Ringkasan AI (perlukan GEMINI_API_KEY di Script Properties, tulis terus ke Cetak!A6).</t>
        </is>
      </c>
    </row>
    <row r="219" ht="15.75" customHeight="1" s="60">
      <c r="A219" s="41" t="n"/>
    </row>
    <row r="220" ht="15" customHeight="1" s="60">
      <c r="A220" s="6" t="inlineStr">
        <is>
          <t>KEMASKINI — Baki Pembukaan, Log Perubahan, Susut Nilai</t>
        </is>
      </c>
    </row>
    <row r="221" ht="90" customHeight="1" s="60">
      <c r="A221" s="4" t="inlineStr">
        <is>
          <t>Baki_Pembukaan (helaian baharu) + APZacct_BakiPembukaan.gs: cara sebenar masukkan baki teraudit tahun lepas - satu transaksi seimbang, dan secara automatik kemaskini Tetapan!C18 supaya pengecualian baki pembukaan di AT betul (dulu terikat keras kepada "CONTOH-0000"). APZacct_LogPerubahan.gs: ubah data yang sudah dipos (jumlah, kod akaun, jenis akaun) kini perlukan sebab, direkod dalam helaian Log_Perubahan - bukan kunci keras, tapi tiada perubahan senyap. Daftar_Aset_Tetap (helaian baharu): daftar aset individu, sokong Garis Lurus dan Baki Berkurangan, disahkan tepat kepada sen untuk caj tahunan (angka terkumpul mungkin beza sikit disebabkan cara YEARFRAC kira hari - lihat nota dalam helaian). Ditambah juga akaun kontra 1045 (Susut Nilai Terkumpul) dan 1095 (Peruntukan Hutang Ragu, wajib GP23 untuk pinjaman). Wizard kini kesan perkataan seperti "tahunan"/"insurans"/"sewa" dan tawar pilihan tukar ke akaun Prabayar/Terakru sebelum simpan - PENTING: PENTING semua onOpen() diselaraskan ke SATU fail (APZacct_Menu.gs) - fail lain sebelum ini masing-masing ada onOpen sendiri, bermakna cuma SATU menu yang muncul walaupun semua fail ditampal. Ini dibetulkan.</t>
        </is>
      </c>
    </row>
    <row r="222" ht="15.75" customHeight="1" s="60">
      <c r="A222" s="41" t="n"/>
    </row>
    <row r="223" ht="15.75" customHeight="1" s="60">
      <c r="A223" s="41" t="n"/>
    </row>
    <row r="224" ht="15.75" customHeight="1" s="60">
      <c r="A224" s="41" t="n"/>
    </row>
    <row r="225" ht="15.75" customHeight="1" s="60">
      <c r="A225" s="41" t="n"/>
    </row>
    <row r="226" ht="15.75" customHeight="1" s="60">
      <c r="A226" s="41" t="n"/>
    </row>
    <row r="227" ht="15.75" customHeight="1" s="60">
      <c r="A227" s="41" t="n"/>
    </row>
    <row r="228" ht="15.75" customHeight="1" s="60">
      <c r="A228" s="41" t="n"/>
    </row>
    <row r="229" ht="15.75" customHeight="1" s="60">
      <c r="A229" s="41" t="n"/>
    </row>
    <row r="230" ht="15.75" customHeight="1" s="60">
      <c r="A230" s="41" t="n"/>
    </row>
    <row r="231" ht="15.75" customHeight="1" s="60">
      <c r="A231" s="41" t="n"/>
    </row>
    <row r="232" ht="15.75" customHeight="1" s="60">
      <c r="A232" s="41" t="n"/>
    </row>
    <row r="233" ht="15.75" customHeight="1" s="60">
      <c r="A233" s="41" t="n"/>
    </row>
    <row r="234" ht="15.75" customHeight="1" s="60">
      <c r="A234" s="41" t="n"/>
    </row>
    <row r="235" ht="15.75" customHeight="1" s="60">
      <c r="A235" s="41" t="n"/>
    </row>
    <row r="236" ht="15.75" customHeight="1" s="60">
      <c r="A236" s="41" t="n"/>
    </row>
    <row r="237" ht="15.75" customHeight="1" s="60">
      <c r="A237" s="41" t="n"/>
    </row>
    <row r="238" ht="15.75" customHeight="1" s="60">
      <c r="A238" s="41" t="n"/>
    </row>
    <row r="239" ht="15.75" customHeight="1" s="60">
      <c r="A239" s="41" t="n"/>
    </row>
    <row r="240" ht="15.75" customHeight="1" s="60">
      <c r="A240" s="41" t="n"/>
    </row>
    <row r="241" ht="15.75" customHeight="1" s="60">
      <c r="A241" s="41" t="n"/>
    </row>
    <row r="242" ht="15.75" customHeight="1" s="60">
      <c r="A242" s="41" t="n"/>
    </row>
    <row r="243" ht="15.75" customHeight="1" s="60">
      <c r="A243" s="41" t="n"/>
    </row>
    <row r="244" ht="15.75" customHeight="1" s="60">
      <c r="A244" s="41" t="n"/>
    </row>
    <row r="245" ht="15.75" customHeight="1" s="60">
      <c r="A245" s="41" t="n"/>
    </row>
    <row r="246" ht="15.75" customHeight="1" s="60">
      <c r="A246" s="41" t="n"/>
    </row>
    <row r="247" ht="15.75" customHeight="1" s="60">
      <c r="A247" s="41" t="n"/>
    </row>
    <row r="248" ht="15.75" customHeight="1" s="60">
      <c r="A248" s="41" t="n"/>
    </row>
    <row r="249" ht="15.75" customHeight="1" s="60">
      <c r="A249" s="41" t="n"/>
    </row>
    <row r="250" ht="15.75" customHeight="1" s="60">
      <c r="A250" s="41" t="n"/>
    </row>
    <row r="251" ht="15.75" customHeight="1" s="60">
      <c r="A251" s="41" t="n"/>
    </row>
    <row r="252" ht="15.75" customHeight="1" s="60">
      <c r="A252" s="41" t="n"/>
    </row>
    <row r="253" ht="15.75" customHeight="1" s="60">
      <c r="A253" s="41" t="n"/>
    </row>
    <row r="254" ht="15.75" customHeight="1" s="60">
      <c r="A254" s="41" t="n"/>
    </row>
    <row r="255" ht="15.75" customHeight="1" s="60">
      <c r="A255" s="41" t="n"/>
    </row>
    <row r="256" ht="15.75" customHeight="1" s="60">
      <c r="A256" s="41" t="n"/>
    </row>
    <row r="257" ht="15.75" customHeight="1" s="60">
      <c r="A257" s="41" t="n"/>
    </row>
    <row r="258" ht="15.75" customHeight="1" s="60">
      <c r="A258" s="41" t="n"/>
    </row>
    <row r="259" ht="15.75" customHeight="1" s="60">
      <c r="A259" s="41" t="n"/>
    </row>
    <row r="260" ht="15.75" customHeight="1" s="60">
      <c r="A260" s="41" t="n"/>
    </row>
    <row r="261" ht="15.75" customHeight="1" s="60">
      <c r="A261" s="41" t="n"/>
    </row>
    <row r="262" ht="15.75" customHeight="1" s="60">
      <c r="A262" s="41" t="n"/>
    </row>
    <row r="263" ht="15.75" customHeight="1" s="60">
      <c r="A263" s="41" t="n"/>
    </row>
    <row r="264" ht="15.75" customHeight="1" s="60">
      <c r="A264" s="41" t="n"/>
    </row>
    <row r="265" ht="15.75" customHeight="1" s="60">
      <c r="A265" s="41" t="n"/>
    </row>
    <row r="266" ht="15.75" customHeight="1" s="60">
      <c r="A266" s="41" t="n"/>
    </row>
    <row r="267" ht="15.75" customHeight="1" s="60">
      <c r="A267" s="41" t="n"/>
    </row>
    <row r="268" ht="15.75" customHeight="1" s="60">
      <c r="A268" s="41" t="n"/>
    </row>
    <row r="269" ht="15.75" customHeight="1" s="60">
      <c r="A269" s="41" t="n"/>
    </row>
    <row r="270" ht="15.75" customHeight="1" s="60">
      <c r="A270" s="41" t="n"/>
    </row>
    <row r="271" ht="15.75" customHeight="1" s="60">
      <c r="A271" s="41" t="n"/>
    </row>
    <row r="272" ht="15.75" customHeight="1" s="60">
      <c r="A272" s="41" t="n"/>
    </row>
    <row r="273" ht="15.75" customHeight="1" s="60">
      <c r="A273" s="41" t="n"/>
    </row>
    <row r="274" ht="15.75" customHeight="1" s="60">
      <c r="A274" s="41" t="n"/>
    </row>
    <row r="275" ht="15.75" customHeight="1" s="60">
      <c r="A275" s="41" t="n"/>
    </row>
    <row r="276" ht="15.75" customHeight="1" s="60">
      <c r="A276" s="41" t="n"/>
    </row>
    <row r="277" ht="15.75" customHeight="1" s="60">
      <c r="A277" s="41" t="n"/>
    </row>
    <row r="278" ht="15.75" customHeight="1" s="60">
      <c r="A278" s="41" t="n"/>
    </row>
    <row r="279" ht="15.75" customHeight="1" s="60">
      <c r="A279" s="41" t="n"/>
    </row>
    <row r="280" ht="15.75" customHeight="1" s="60">
      <c r="A280" s="41" t="n"/>
    </row>
    <row r="281" ht="15.75" customHeight="1" s="60">
      <c r="A281" s="41" t="n"/>
    </row>
    <row r="282" ht="15.75" customHeight="1" s="60">
      <c r="A282" s="41" t="n"/>
    </row>
    <row r="283" ht="15.75" customHeight="1" s="60">
      <c r="A283" s="41" t="n"/>
    </row>
    <row r="284" ht="15.75" customHeight="1" s="60">
      <c r="A284" s="41" t="n"/>
    </row>
    <row r="285" ht="15.75" customHeight="1" s="60">
      <c r="A285" s="41" t="n"/>
    </row>
    <row r="286" ht="15.75" customHeight="1" s="60">
      <c r="A286" s="41" t="n"/>
    </row>
    <row r="287" ht="15.75" customHeight="1" s="60">
      <c r="A287" s="41" t="n"/>
    </row>
    <row r="288" ht="15.75" customHeight="1" s="60">
      <c r="A288" s="41" t="n"/>
    </row>
    <row r="289" ht="15.75" customHeight="1" s="60">
      <c r="A289" s="41" t="n"/>
    </row>
    <row r="290" ht="15.75" customHeight="1" s="60">
      <c r="A290" s="41" t="n"/>
    </row>
    <row r="291" ht="15.75" customHeight="1" s="60">
      <c r="A291" s="41" t="n"/>
    </row>
    <row r="292" ht="15.75" customHeight="1" s="60">
      <c r="A292" s="41" t="n"/>
    </row>
    <row r="293" ht="15.75" customHeight="1" s="60">
      <c r="A293" s="41" t="n"/>
    </row>
    <row r="294" ht="15.75" customHeight="1" s="60">
      <c r="A294" s="41" t="n"/>
    </row>
    <row r="295" ht="15.75" customHeight="1" s="60">
      <c r="A295" s="41" t="n"/>
    </row>
    <row r="296" ht="15.75" customHeight="1" s="60">
      <c r="A296" s="41" t="n"/>
    </row>
    <row r="297" ht="15.75" customHeight="1" s="60">
      <c r="A297" s="41" t="n"/>
    </row>
    <row r="298" ht="15.75" customHeight="1" s="60">
      <c r="A298" s="41" t="n"/>
    </row>
    <row r="299" ht="15.75" customHeight="1" s="60">
      <c r="A299" s="41" t="n"/>
    </row>
    <row r="300" ht="15.75" customHeight="1" s="60">
      <c r="A300" s="41" t="n"/>
    </row>
    <row r="301" ht="15.75" customHeight="1" s="60">
      <c r="A301" s="41" t="n"/>
    </row>
    <row r="302" ht="15.75" customHeight="1" s="60">
      <c r="A302" s="41" t="n"/>
    </row>
    <row r="303" ht="15.75" customHeight="1" s="60">
      <c r="A303" s="41" t="n"/>
    </row>
    <row r="304" ht="15.75" customHeight="1" s="60">
      <c r="A304" s="41" t="n"/>
    </row>
    <row r="305" ht="15.75" customHeight="1" s="60">
      <c r="A305" s="41" t="n"/>
    </row>
    <row r="306" ht="15.75" customHeight="1" s="60">
      <c r="A306" s="41" t="n"/>
    </row>
    <row r="307" ht="15.75" customHeight="1" s="60">
      <c r="A307" s="41" t="n"/>
    </row>
    <row r="308" ht="15.75" customHeight="1" s="60">
      <c r="A308" s="41" t="n"/>
    </row>
    <row r="309" ht="15.75" customHeight="1" s="60">
      <c r="A309" s="41" t="n"/>
    </row>
    <row r="310" ht="15.75" customHeight="1" s="60">
      <c r="A310" s="41" t="n"/>
    </row>
    <row r="311" ht="15.75" customHeight="1" s="60">
      <c r="A311" s="41" t="n"/>
    </row>
    <row r="312" ht="15.75" customHeight="1" s="60">
      <c r="A312" s="41" t="n"/>
    </row>
    <row r="313" ht="15.75" customHeight="1" s="60">
      <c r="A313" s="41" t="n"/>
    </row>
    <row r="314" ht="15.75" customHeight="1" s="60">
      <c r="A314" s="41" t="n"/>
    </row>
    <row r="315" ht="15.75" customHeight="1" s="60">
      <c r="A315" s="41" t="n"/>
    </row>
    <row r="316" ht="15.75" customHeight="1" s="60">
      <c r="A316" s="41" t="n"/>
    </row>
    <row r="317" ht="15.75" customHeight="1" s="60">
      <c r="A317" s="41" t="n"/>
    </row>
    <row r="318" ht="15.75" customHeight="1" s="60">
      <c r="A318" s="41" t="n"/>
    </row>
    <row r="319" ht="15.75" customHeight="1" s="60">
      <c r="A319" s="41" t="n"/>
    </row>
    <row r="320" ht="15.75" customHeight="1" s="60">
      <c r="A320" s="41" t="n"/>
    </row>
    <row r="321" ht="15.75" customHeight="1" s="60">
      <c r="A321" s="41" t="n"/>
    </row>
    <row r="322" ht="15.75" customHeight="1" s="60">
      <c r="A322" s="41" t="n"/>
    </row>
    <row r="323" ht="15.75" customHeight="1" s="60">
      <c r="A323" s="41" t="n"/>
    </row>
    <row r="324" ht="15.75" customHeight="1" s="60">
      <c r="A324" s="41" t="n"/>
    </row>
    <row r="325" ht="15.75" customHeight="1" s="60">
      <c r="A325" s="41" t="n"/>
    </row>
    <row r="326" ht="15.75" customHeight="1" s="60">
      <c r="A326" s="41" t="n"/>
    </row>
    <row r="327" ht="15.75" customHeight="1" s="60">
      <c r="A327" s="41" t="n"/>
    </row>
    <row r="328" ht="15.75" customHeight="1" s="60">
      <c r="A328" s="41" t="n"/>
    </row>
    <row r="329" ht="15.75" customHeight="1" s="60">
      <c r="A329" s="41" t="n"/>
    </row>
    <row r="330" ht="15.75" customHeight="1" s="60">
      <c r="A330" s="41" t="n"/>
    </row>
    <row r="331" ht="15.75" customHeight="1" s="60">
      <c r="A331" s="41" t="n"/>
    </row>
    <row r="332" ht="15.75" customHeight="1" s="60">
      <c r="A332" s="41" t="n"/>
    </row>
    <row r="333" ht="15.75" customHeight="1" s="60">
      <c r="A333" s="41" t="n"/>
    </row>
    <row r="334" ht="15.75" customHeight="1" s="60">
      <c r="A334" s="41" t="n"/>
    </row>
    <row r="335" ht="15.75" customHeight="1" s="60">
      <c r="A335" s="41" t="n"/>
    </row>
    <row r="336" ht="15.75" customHeight="1" s="60">
      <c r="A336" s="41" t="n"/>
    </row>
    <row r="337" ht="15.75" customHeight="1" s="60">
      <c r="A337" s="41" t="n"/>
    </row>
    <row r="338" ht="15.75" customHeight="1" s="60">
      <c r="A338" s="41" t="n"/>
    </row>
    <row r="339" ht="15.75" customHeight="1" s="60">
      <c r="A339" s="41" t="n"/>
    </row>
    <row r="340" ht="15.75" customHeight="1" s="60">
      <c r="A340" s="41" t="n"/>
    </row>
    <row r="341" ht="15.75" customHeight="1" s="60">
      <c r="A341" s="41" t="n"/>
    </row>
    <row r="342" ht="15.75" customHeight="1" s="60">
      <c r="A342" s="41" t="n"/>
    </row>
    <row r="343" ht="15.75" customHeight="1" s="60">
      <c r="A343" s="41" t="n"/>
    </row>
    <row r="344" ht="15.75" customHeight="1" s="60">
      <c r="A344" s="41" t="n"/>
    </row>
    <row r="345" ht="15.75" customHeight="1" s="60">
      <c r="A345" s="41" t="n"/>
    </row>
    <row r="346" ht="15.75" customHeight="1" s="60">
      <c r="A346" s="41" t="n"/>
    </row>
    <row r="347" ht="15.75" customHeight="1" s="60">
      <c r="A347" s="41" t="n"/>
    </row>
    <row r="348" ht="15.75" customHeight="1" s="60">
      <c r="A348" s="41" t="n"/>
    </row>
    <row r="349" ht="15.75" customHeight="1" s="60">
      <c r="A349" s="41" t="n"/>
    </row>
    <row r="350" ht="15.75" customHeight="1" s="60">
      <c r="A350" s="41" t="n"/>
    </row>
    <row r="351" ht="15.75" customHeight="1" s="60">
      <c r="A351" s="41" t="n"/>
    </row>
    <row r="352" ht="15.75" customHeight="1" s="60">
      <c r="A352" s="41" t="n"/>
    </row>
    <row r="353" ht="15.75" customHeight="1" s="60">
      <c r="A353" s="41" t="n"/>
    </row>
    <row r="354" ht="15.75" customHeight="1" s="60">
      <c r="A354" s="41" t="n"/>
    </row>
    <row r="355" ht="15.75" customHeight="1" s="60">
      <c r="A355" s="41" t="n"/>
    </row>
    <row r="356" ht="15.75" customHeight="1" s="60">
      <c r="A356" s="41" t="n"/>
    </row>
    <row r="357" ht="15.75" customHeight="1" s="60">
      <c r="A357" s="41" t="n"/>
    </row>
    <row r="358" ht="15.75" customHeight="1" s="60">
      <c r="A358" s="41" t="n"/>
    </row>
    <row r="359" ht="15.75" customHeight="1" s="60">
      <c r="A359" s="41" t="n"/>
    </row>
    <row r="360" ht="15.75" customHeight="1" s="60">
      <c r="A360" s="41" t="n"/>
    </row>
    <row r="361" ht="15.75" customHeight="1" s="60">
      <c r="A361" s="41" t="n"/>
    </row>
    <row r="362" ht="15.75" customHeight="1" s="60">
      <c r="A362" s="41" t="n"/>
    </row>
    <row r="363" ht="15.75" customHeight="1" s="60">
      <c r="A363" s="41" t="n"/>
    </row>
    <row r="364" ht="15.75" customHeight="1" s="60">
      <c r="A364" s="41" t="n"/>
    </row>
    <row r="365" ht="15.75" customHeight="1" s="60">
      <c r="A365" s="41" t="n"/>
    </row>
    <row r="366" ht="15.75" customHeight="1" s="60">
      <c r="A366" s="41" t="n"/>
    </row>
    <row r="367" ht="15.75" customHeight="1" s="60">
      <c r="A367" s="41" t="n"/>
    </row>
    <row r="368" ht="15.75" customHeight="1" s="60">
      <c r="A368" s="41" t="n"/>
    </row>
    <row r="369" ht="15.75" customHeight="1" s="60">
      <c r="A369" s="41" t="n"/>
    </row>
    <row r="370" ht="15.75" customHeight="1" s="60">
      <c r="A370" s="41" t="n"/>
    </row>
    <row r="371" ht="15.75" customHeight="1" s="60">
      <c r="A371" s="41" t="n"/>
    </row>
    <row r="372" ht="15.75" customHeight="1" s="60">
      <c r="A372" s="41" t="n"/>
    </row>
    <row r="373" ht="15.75" customHeight="1" s="60">
      <c r="A373" s="41" t="n"/>
    </row>
    <row r="374" ht="15.75" customHeight="1" s="60">
      <c r="A374" s="41" t="n"/>
    </row>
    <row r="375" ht="15.75" customHeight="1" s="60">
      <c r="A375" s="41" t="n"/>
    </row>
    <row r="376" ht="15.75" customHeight="1" s="60">
      <c r="A376" s="41" t="n"/>
    </row>
    <row r="377" ht="15.75" customHeight="1" s="60">
      <c r="A377" s="41" t="n"/>
    </row>
    <row r="378" ht="15.75" customHeight="1" s="60">
      <c r="A378" s="41" t="n"/>
    </row>
    <row r="379" ht="15.75" customHeight="1" s="60">
      <c r="A379" s="41" t="n"/>
    </row>
    <row r="380" ht="15.75" customHeight="1" s="60">
      <c r="A380" s="41" t="n"/>
    </row>
    <row r="381" ht="15.75" customHeight="1" s="60">
      <c r="A381" s="41" t="n"/>
    </row>
    <row r="382" ht="15.75" customHeight="1" s="60">
      <c r="A382" s="41" t="n"/>
    </row>
    <row r="383" ht="15.75" customHeight="1" s="60">
      <c r="A383" s="41" t="n"/>
    </row>
    <row r="384" ht="15.75" customHeight="1" s="60">
      <c r="A384" s="41" t="n"/>
    </row>
    <row r="385" ht="15.75" customHeight="1" s="60">
      <c r="A385" s="41" t="n"/>
    </row>
    <row r="386" ht="15.75" customHeight="1" s="60">
      <c r="A386" s="41" t="n"/>
    </row>
    <row r="387" ht="15.75" customHeight="1" s="60">
      <c r="A387" s="41" t="n"/>
    </row>
    <row r="388" ht="15.75" customHeight="1" s="60">
      <c r="A388" s="41" t="n"/>
    </row>
    <row r="389" ht="15.75" customHeight="1" s="60">
      <c r="A389" s="41" t="n"/>
    </row>
    <row r="390" ht="15.75" customHeight="1" s="60">
      <c r="A390" s="41" t="n"/>
    </row>
    <row r="391" ht="15.75" customHeight="1" s="60">
      <c r="A391" s="41" t="n"/>
    </row>
    <row r="392" ht="15.75" customHeight="1" s="60">
      <c r="A392" s="41" t="n"/>
    </row>
    <row r="393" ht="15.75" customHeight="1" s="60">
      <c r="A393" s="41" t="n"/>
    </row>
    <row r="394" ht="15.75" customHeight="1" s="60">
      <c r="A394" s="41" t="n"/>
    </row>
    <row r="395" ht="15.75" customHeight="1" s="60">
      <c r="A395" s="41" t="n"/>
    </row>
    <row r="396" ht="15.75" customHeight="1" s="60">
      <c r="A396" s="41" t="n"/>
    </row>
    <row r="397" ht="15.75" customHeight="1" s="60">
      <c r="A397" s="41" t="n"/>
    </row>
    <row r="398" ht="15.75" customHeight="1" s="60">
      <c r="A398" s="41" t="n"/>
    </row>
    <row r="399" ht="15.75" customHeight="1" s="60">
      <c r="A399" s="41" t="n"/>
    </row>
    <row r="400" ht="15.75" customHeight="1" s="60">
      <c r="A400" s="41" t="n"/>
    </row>
    <row r="401" ht="15.75" customHeight="1" s="60">
      <c r="A401" s="41" t="n"/>
    </row>
    <row r="402" ht="15.75" customHeight="1" s="60">
      <c r="A402" s="41" t="n"/>
    </row>
    <row r="403" ht="15.75" customHeight="1" s="60">
      <c r="A403" s="41" t="n"/>
    </row>
    <row r="404" ht="15.75" customHeight="1" s="60">
      <c r="A404" s="41" t="n"/>
    </row>
    <row r="405" ht="15.75" customHeight="1" s="60">
      <c r="A405" s="41" t="n"/>
    </row>
    <row r="406" ht="15.75" customHeight="1" s="60">
      <c r="A406" s="41" t="n"/>
    </row>
    <row r="407" ht="15.75" customHeight="1" s="60">
      <c r="A407" s="41" t="n"/>
    </row>
    <row r="408" ht="15.75" customHeight="1" s="60">
      <c r="A408" s="41" t="n"/>
    </row>
    <row r="409" ht="15.75" customHeight="1" s="60">
      <c r="A409" s="41" t="n"/>
    </row>
    <row r="410" ht="15.75" customHeight="1" s="60">
      <c r="A410" s="41" t="n"/>
    </row>
    <row r="411" ht="15.75" customHeight="1" s="60">
      <c r="A411" s="41" t="n"/>
    </row>
    <row r="412" ht="15.75" customHeight="1" s="60">
      <c r="A412" s="41" t="n"/>
    </row>
    <row r="413" ht="15.75" customHeight="1" s="60">
      <c r="A413" s="41" t="n"/>
    </row>
    <row r="414" ht="15.75" customHeight="1" s="60">
      <c r="A414" s="41" t="n"/>
    </row>
    <row r="415" ht="15.75" customHeight="1" s="60">
      <c r="A415" s="41" t="n"/>
    </row>
    <row r="416" ht="15.75" customHeight="1" s="60">
      <c r="A416" s="41" t="n"/>
    </row>
    <row r="417" ht="15.75" customHeight="1" s="60">
      <c r="A417" s="41" t="n"/>
    </row>
    <row r="418" ht="15.75" customHeight="1" s="60">
      <c r="A418" s="41" t="n"/>
    </row>
    <row r="419" ht="15.75" customHeight="1" s="60">
      <c r="A419" s="41" t="n"/>
    </row>
    <row r="420" ht="15.75" customHeight="1" s="60">
      <c r="A420" s="41" t="n"/>
    </row>
    <row r="421" ht="15.75" customHeight="1" s="60">
      <c r="A421" s="41" t="n"/>
    </row>
    <row r="422" ht="15.75" customHeight="1" s="60">
      <c r="A422" s="41" t="n"/>
    </row>
    <row r="423" ht="15.75" customHeight="1" s="60">
      <c r="A423" s="41" t="n"/>
    </row>
    <row r="424" ht="15.75" customHeight="1" s="60">
      <c r="A424" s="41" t="n"/>
    </row>
    <row r="425" ht="15.75" customHeight="1" s="60">
      <c r="A425" s="41" t="n"/>
    </row>
    <row r="426" ht="15.75" customHeight="1" s="60">
      <c r="A426" s="41" t="n"/>
    </row>
    <row r="427" ht="15.75" customHeight="1" s="60">
      <c r="A427" s="41" t="n"/>
    </row>
    <row r="428" ht="15.75" customHeight="1" s="60">
      <c r="A428" s="41" t="n"/>
    </row>
    <row r="429" ht="15.75" customHeight="1" s="60">
      <c r="A429" s="41" t="n"/>
    </row>
    <row r="430" ht="15.75" customHeight="1" s="60">
      <c r="A430" s="41" t="n"/>
    </row>
    <row r="431" ht="15.75" customHeight="1" s="60">
      <c r="A431" s="41" t="n"/>
    </row>
    <row r="432" ht="15.75" customHeight="1" s="60">
      <c r="A432" s="41" t="n"/>
    </row>
    <row r="433" ht="15.75" customHeight="1" s="60">
      <c r="A433" s="41" t="n"/>
    </row>
    <row r="434" ht="15.75" customHeight="1" s="60">
      <c r="A434" s="41" t="n"/>
    </row>
    <row r="435" ht="15.75" customHeight="1" s="60">
      <c r="A435" s="41" t="n"/>
    </row>
    <row r="436" ht="15.75" customHeight="1" s="60">
      <c r="A436" s="41" t="n"/>
    </row>
    <row r="437" ht="15.75" customHeight="1" s="60">
      <c r="A437" s="41" t="n"/>
    </row>
    <row r="438" ht="15.75" customHeight="1" s="60">
      <c r="A438" s="41" t="n"/>
    </row>
    <row r="439" ht="15.75" customHeight="1" s="60">
      <c r="A439" s="41" t="n"/>
    </row>
    <row r="440" ht="15.75" customHeight="1" s="60">
      <c r="A440" s="41" t="n"/>
    </row>
    <row r="441" ht="15.75" customHeight="1" s="60">
      <c r="A441" s="41" t="n"/>
    </row>
    <row r="442" ht="15.75" customHeight="1" s="60">
      <c r="A442" s="41" t="n"/>
    </row>
    <row r="443" ht="15.75" customHeight="1" s="60">
      <c r="A443" s="41" t="n"/>
    </row>
    <row r="444" ht="15.75" customHeight="1" s="60">
      <c r="A444" s="41" t="n"/>
    </row>
    <row r="445" ht="15.75" customHeight="1" s="60">
      <c r="A445" s="41" t="n"/>
    </row>
    <row r="446" ht="15.75" customHeight="1" s="60">
      <c r="A446" s="41" t="n"/>
    </row>
    <row r="447" ht="15.75" customHeight="1" s="60">
      <c r="A447" s="41" t="n"/>
    </row>
    <row r="448" ht="15.75" customHeight="1" s="60">
      <c r="A448" s="41" t="n"/>
    </row>
    <row r="449" ht="15.75" customHeight="1" s="60">
      <c r="A449" s="41" t="n"/>
    </row>
    <row r="450" ht="15.75" customHeight="1" s="60">
      <c r="A450" s="41" t="n"/>
    </row>
    <row r="451" ht="15.75" customHeight="1" s="60">
      <c r="A451" s="41" t="n"/>
    </row>
    <row r="452" ht="15.75" customHeight="1" s="60">
      <c r="A452" s="41" t="n"/>
    </row>
    <row r="453" ht="15.75" customHeight="1" s="60">
      <c r="A453" s="41" t="n"/>
    </row>
    <row r="454" ht="15.75" customHeight="1" s="60">
      <c r="A454" s="41" t="n"/>
    </row>
    <row r="455" ht="15.75" customHeight="1" s="60">
      <c r="A455" s="41" t="n"/>
    </row>
    <row r="456" ht="15.75" customHeight="1" s="60">
      <c r="A456" s="41" t="n"/>
    </row>
    <row r="457" ht="15.75" customHeight="1" s="60">
      <c r="A457" s="41" t="n"/>
    </row>
    <row r="458" ht="15.75" customHeight="1" s="60">
      <c r="A458" s="41" t="n"/>
    </row>
    <row r="459" ht="15.75" customHeight="1" s="60">
      <c r="A459" s="41" t="n"/>
    </row>
    <row r="460" ht="15.75" customHeight="1" s="60">
      <c r="A460" s="41" t="n"/>
    </row>
    <row r="461" ht="15.75" customHeight="1" s="60">
      <c r="A461" s="41" t="n"/>
    </row>
    <row r="462" ht="15.75" customHeight="1" s="60">
      <c r="A462" s="41" t="n"/>
    </row>
    <row r="463" ht="15.75" customHeight="1" s="60">
      <c r="A463" s="41" t="n"/>
    </row>
    <row r="464" ht="15.75" customHeight="1" s="60">
      <c r="A464" s="41" t="n"/>
    </row>
    <row r="465" ht="15.75" customHeight="1" s="60">
      <c r="A465" s="41" t="n"/>
    </row>
    <row r="466" ht="15.75" customHeight="1" s="60">
      <c r="A466" s="41" t="n"/>
    </row>
    <row r="467" ht="15.75" customHeight="1" s="60">
      <c r="A467" s="41" t="n"/>
    </row>
    <row r="468" ht="15.75" customHeight="1" s="60">
      <c r="A468" s="41" t="n"/>
    </row>
    <row r="469" ht="15.75" customHeight="1" s="60">
      <c r="A469" s="41" t="n"/>
    </row>
    <row r="470" ht="15.75" customHeight="1" s="60">
      <c r="A470" s="41" t="n"/>
    </row>
    <row r="471" ht="15.75" customHeight="1" s="60">
      <c r="A471" s="41" t="n"/>
    </row>
    <row r="472" ht="15.75" customHeight="1" s="60">
      <c r="A472" s="41" t="n"/>
    </row>
    <row r="473" ht="15.75" customHeight="1" s="60">
      <c r="A473" s="41" t="n"/>
    </row>
    <row r="474" ht="15.75" customHeight="1" s="60">
      <c r="A474" s="41" t="n"/>
    </row>
    <row r="475" ht="15.75" customHeight="1" s="60">
      <c r="A475" s="41" t="n"/>
    </row>
    <row r="476" ht="15.75" customHeight="1" s="60">
      <c r="A476" s="41" t="n"/>
    </row>
    <row r="477" ht="15.75" customHeight="1" s="60">
      <c r="A477" s="41" t="n"/>
    </row>
    <row r="478" ht="15.75" customHeight="1" s="60">
      <c r="A478" s="41" t="n"/>
    </row>
    <row r="479" ht="15.75" customHeight="1" s="60">
      <c r="A479" s="41" t="n"/>
    </row>
    <row r="480" ht="15.75" customHeight="1" s="60">
      <c r="A480" s="41" t="n"/>
    </row>
    <row r="481" ht="15.75" customHeight="1" s="60">
      <c r="A481" s="41" t="n"/>
    </row>
    <row r="482" ht="15.75" customHeight="1" s="60">
      <c r="A482" s="41" t="n"/>
    </row>
    <row r="483" ht="15.75" customHeight="1" s="60">
      <c r="A483" s="41" t="n"/>
    </row>
    <row r="484" ht="15.75" customHeight="1" s="60">
      <c r="A484" s="41" t="n"/>
    </row>
    <row r="485" ht="15.75" customHeight="1" s="60">
      <c r="A485" s="41" t="n"/>
    </row>
    <row r="486" ht="15.75" customHeight="1" s="60">
      <c r="A486" s="41" t="n"/>
    </row>
    <row r="487" ht="15.75" customHeight="1" s="60">
      <c r="A487" s="41" t="n"/>
    </row>
    <row r="488" ht="15.75" customHeight="1" s="60">
      <c r="A488" s="41" t="n"/>
    </row>
    <row r="489" ht="15.75" customHeight="1" s="60">
      <c r="A489" s="41" t="n"/>
    </row>
    <row r="490" ht="15.75" customHeight="1" s="60">
      <c r="A490" s="41" t="n"/>
    </row>
    <row r="491" ht="15.75" customHeight="1" s="60">
      <c r="A491" s="41" t="n"/>
    </row>
    <row r="492" ht="15.75" customHeight="1" s="60">
      <c r="A492" s="41" t="n"/>
    </row>
    <row r="493" ht="15.75" customHeight="1" s="60">
      <c r="A493" s="41" t="n"/>
    </row>
    <row r="494" ht="15.75" customHeight="1" s="60">
      <c r="A494" s="41" t="n"/>
    </row>
    <row r="495" ht="15.75" customHeight="1" s="60">
      <c r="A495" s="41" t="n"/>
    </row>
    <row r="496" ht="15.75" customHeight="1" s="60">
      <c r="A496" s="41" t="n"/>
    </row>
    <row r="497" ht="15.75" customHeight="1" s="60">
      <c r="A497" s="41" t="n"/>
    </row>
    <row r="498" ht="15.75" customHeight="1" s="60">
      <c r="A498" s="41" t="n"/>
    </row>
    <row r="499" ht="15.75" customHeight="1" s="60">
      <c r="A499" s="41" t="n"/>
    </row>
    <row r="500" ht="15.75" customHeight="1" s="60">
      <c r="A500" s="41" t="n"/>
    </row>
    <row r="501" ht="15.75" customHeight="1" s="60">
      <c r="A501" s="41" t="n"/>
    </row>
    <row r="502" ht="15.75" customHeight="1" s="60">
      <c r="A502" s="41" t="n"/>
    </row>
    <row r="503" ht="15.75" customHeight="1" s="60">
      <c r="A503" s="41" t="n"/>
    </row>
    <row r="504" ht="15.75" customHeight="1" s="60">
      <c r="A504" s="41" t="n"/>
    </row>
    <row r="505" ht="15.75" customHeight="1" s="60">
      <c r="A505" s="41" t="n"/>
    </row>
    <row r="506" ht="15.75" customHeight="1" s="60">
      <c r="A506" s="41" t="n"/>
    </row>
    <row r="507" ht="15.75" customHeight="1" s="60">
      <c r="A507" s="41" t="n"/>
    </row>
    <row r="508" ht="15.75" customHeight="1" s="60">
      <c r="A508" s="41" t="n"/>
    </row>
    <row r="509" ht="15.75" customHeight="1" s="60">
      <c r="A509" s="41" t="n"/>
    </row>
    <row r="510" ht="15.75" customHeight="1" s="60">
      <c r="A510" s="41" t="n"/>
    </row>
    <row r="511" ht="15.75" customHeight="1" s="60">
      <c r="A511" s="41" t="n"/>
    </row>
    <row r="512" ht="15.75" customHeight="1" s="60">
      <c r="A512" s="41" t="n"/>
    </row>
    <row r="513" ht="15.75" customHeight="1" s="60">
      <c r="A513" s="41" t="n"/>
    </row>
    <row r="514" ht="15.75" customHeight="1" s="60">
      <c r="A514" s="41" t="n"/>
    </row>
    <row r="515" ht="15.75" customHeight="1" s="60">
      <c r="A515" s="41" t="n"/>
    </row>
    <row r="516" ht="15.75" customHeight="1" s="60">
      <c r="A516" s="41" t="n"/>
    </row>
    <row r="517" ht="15.75" customHeight="1" s="60">
      <c r="A517" s="41" t="n"/>
    </row>
    <row r="518" ht="15.75" customHeight="1" s="60">
      <c r="A518" s="41" t="n"/>
    </row>
    <row r="519" ht="15.75" customHeight="1" s="60">
      <c r="A519" s="41" t="n"/>
    </row>
    <row r="520" ht="15.75" customHeight="1" s="60">
      <c r="A520" s="41" t="n"/>
    </row>
    <row r="521" ht="15.75" customHeight="1" s="60">
      <c r="A521" s="41" t="n"/>
    </row>
    <row r="522" ht="15.75" customHeight="1" s="60">
      <c r="A522" s="41" t="n"/>
    </row>
    <row r="523" ht="15.75" customHeight="1" s="60">
      <c r="A523" s="41" t="n"/>
    </row>
    <row r="524" ht="15.75" customHeight="1" s="60">
      <c r="A524" s="41" t="n"/>
    </row>
    <row r="525" ht="15.75" customHeight="1" s="60">
      <c r="A525" s="41" t="n"/>
    </row>
    <row r="526" ht="15.75" customHeight="1" s="60">
      <c r="A526" s="41" t="n"/>
    </row>
    <row r="527" ht="15.75" customHeight="1" s="60">
      <c r="A527" s="41" t="n"/>
    </row>
    <row r="528" ht="15.75" customHeight="1" s="60">
      <c r="A528" s="41" t="n"/>
    </row>
    <row r="529" ht="15.75" customHeight="1" s="60">
      <c r="A529" s="41" t="n"/>
    </row>
    <row r="530" ht="15.75" customHeight="1" s="60">
      <c r="A530" s="41" t="n"/>
    </row>
    <row r="531" ht="15.75" customHeight="1" s="60">
      <c r="A531" s="41" t="n"/>
    </row>
    <row r="532" ht="15.75" customHeight="1" s="60">
      <c r="A532" s="41" t="n"/>
    </row>
    <row r="533" ht="15.75" customHeight="1" s="60">
      <c r="A533" s="41" t="n"/>
    </row>
    <row r="534" ht="15.75" customHeight="1" s="60">
      <c r="A534" s="41" t="n"/>
    </row>
    <row r="535" ht="15.75" customHeight="1" s="60">
      <c r="A535" s="41" t="n"/>
    </row>
    <row r="536" ht="15.75" customHeight="1" s="60">
      <c r="A536" s="41" t="n"/>
    </row>
    <row r="537" ht="15.75" customHeight="1" s="60">
      <c r="A537" s="41" t="n"/>
    </row>
    <row r="538" ht="15.75" customHeight="1" s="60">
      <c r="A538" s="41" t="n"/>
    </row>
    <row r="539" ht="15.75" customHeight="1" s="60">
      <c r="A539" s="41" t="n"/>
    </row>
    <row r="540" ht="15.75" customHeight="1" s="60">
      <c r="A540" s="41" t="n"/>
    </row>
    <row r="541" ht="15.75" customHeight="1" s="60">
      <c r="A541" s="41" t="n"/>
    </row>
    <row r="542" ht="15.75" customHeight="1" s="60">
      <c r="A542" s="41" t="n"/>
    </row>
    <row r="543" ht="15.75" customHeight="1" s="60">
      <c r="A543" s="41" t="n"/>
    </row>
    <row r="544" ht="15.75" customHeight="1" s="60">
      <c r="A544" s="41" t="n"/>
    </row>
    <row r="545" ht="15.75" customHeight="1" s="60">
      <c r="A545" s="41" t="n"/>
    </row>
    <row r="546" ht="15.75" customHeight="1" s="60">
      <c r="A546" s="41" t="n"/>
    </row>
    <row r="547" ht="15.75" customHeight="1" s="60">
      <c r="A547" s="41" t="n"/>
    </row>
    <row r="548" ht="15.75" customHeight="1" s="60">
      <c r="A548" s="41" t="n"/>
    </row>
    <row r="549" ht="15.75" customHeight="1" s="60">
      <c r="A549" s="41" t="n"/>
    </row>
    <row r="550" ht="15.75" customHeight="1" s="60">
      <c r="A550" s="41" t="n"/>
    </row>
    <row r="551" ht="15.75" customHeight="1" s="60">
      <c r="A551" s="41" t="n"/>
    </row>
    <row r="552" ht="15.75" customHeight="1" s="60">
      <c r="A552" s="41" t="n"/>
    </row>
    <row r="553" ht="15.75" customHeight="1" s="60">
      <c r="A553" s="41" t="n"/>
    </row>
    <row r="554" ht="15.75" customHeight="1" s="60">
      <c r="A554" s="41" t="n"/>
    </row>
    <row r="555" ht="15.75" customHeight="1" s="60">
      <c r="A555" s="41" t="n"/>
    </row>
    <row r="556" ht="15.75" customHeight="1" s="60">
      <c r="A556" s="41" t="n"/>
    </row>
    <row r="557" ht="15.75" customHeight="1" s="60">
      <c r="A557" s="41" t="n"/>
    </row>
    <row r="558" ht="15.75" customHeight="1" s="60">
      <c r="A558" s="41" t="n"/>
    </row>
    <row r="559" ht="15.75" customHeight="1" s="60">
      <c r="A559" s="41" t="n"/>
    </row>
    <row r="560" ht="15.75" customHeight="1" s="60">
      <c r="A560" s="41" t="n"/>
    </row>
    <row r="561" ht="15.75" customHeight="1" s="60">
      <c r="A561" s="41" t="n"/>
    </row>
    <row r="562" ht="15.75" customHeight="1" s="60">
      <c r="A562" s="41" t="n"/>
    </row>
    <row r="563" ht="15.75" customHeight="1" s="60">
      <c r="A563" s="41" t="n"/>
    </row>
    <row r="564" ht="15.75" customHeight="1" s="60">
      <c r="A564" s="41" t="n"/>
    </row>
    <row r="565" ht="15.75" customHeight="1" s="60">
      <c r="A565" s="41" t="n"/>
    </row>
    <row r="566" ht="15.75" customHeight="1" s="60">
      <c r="A566" s="41" t="n"/>
    </row>
    <row r="567" ht="15.75" customHeight="1" s="60">
      <c r="A567" s="41" t="n"/>
    </row>
    <row r="568" ht="15.75" customHeight="1" s="60">
      <c r="A568" s="41" t="n"/>
    </row>
    <row r="569" ht="15.75" customHeight="1" s="60">
      <c r="A569" s="41" t="n"/>
    </row>
    <row r="570" ht="15.75" customHeight="1" s="60">
      <c r="A570" s="41" t="n"/>
    </row>
    <row r="571" ht="15.75" customHeight="1" s="60">
      <c r="A571" s="41" t="n"/>
    </row>
    <row r="572" ht="15.75" customHeight="1" s="60">
      <c r="A572" s="41" t="n"/>
    </row>
    <row r="573" ht="15.75" customHeight="1" s="60">
      <c r="A573" s="41" t="n"/>
    </row>
    <row r="574" ht="15.75" customHeight="1" s="60">
      <c r="A574" s="41" t="n"/>
    </row>
    <row r="575" ht="15.75" customHeight="1" s="60">
      <c r="A575" s="41" t="n"/>
    </row>
    <row r="576" ht="15.75" customHeight="1" s="60">
      <c r="A576" s="41" t="n"/>
    </row>
    <row r="577" ht="15.75" customHeight="1" s="60">
      <c r="A577" s="41" t="n"/>
    </row>
    <row r="578" ht="15.75" customHeight="1" s="60">
      <c r="A578" s="41" t="n"/>
    </row>
    <row r="579" ht="15.75" customHeight="1" s="60">
      <c r="A579" s="41" t="n"/>
    </row>
    <row r="580" ht="15.75" customHeight="1" s="60">
      <c r="A580" s="41" t="n"/>
    </row>
    <row r="581" ht="15.75" customHeight="1" s="60">
      <c r="A581" s="41" t="n"/>
    </row>
    <row r="582" ht="15.75" customHeight="1" s="60">
      <c r="A582" s="41" t="n"/>
    </row>
    <row r="583" ht="15.75" customHeight="1" s="60">
      <c r="A583" s="41" t="n"/>
    </row>
    <row r="584" ht="15.75" customHeight="1" s="60">
      <c r="A584" s="41" t="n"/>
    </row>
    <row r="585" ht="15.75" customHeight="1" s="60">
      <c r="A585" s="41" t="n"/>
    </row>
    <row r="586" ht="15.75" customHeight="1" s="60">
      <c r="A586" s="41" t="n"/>
    </row>
    <row r="587" ht="15.75" customHeight="1" s="60">
      <c r="A587" s="41" t="n"/>
    </row>
    <row r="588" ht="15.75" customHeight="1" s="60">
      <c r="A588" s="41" t="n"/>
    </row>
    <row r="589" ht="15.75" customHeight="1" s="60">
      <c r="A589" s="41" t="n"/>
    </row>
    <row r="590" ht="15.75" customHeight="1" s="60">
      <c r="A590" s="41" t="n"/>
    </row>
    <row r="591" ht="15.75" customHeight="1" s="60">
      <c r="A591" s="41" t="n"/>
    </row>
    <row r="592" ht="15.75" customHeight="1" s="60">
      <c r="A592" s="41" t="n"/>
    </row>
    <row r="593" ht="15.75" customHeight="1" s="60">
      <c r="A593" s="41" t="n"/>
    </row>
    <row r="594" ht="15.75" customHeight="1" s="60">
      <c r="A594" s="41" t="n"/>
    </row>
    <row r="595" ht="15.75" customHeight="1" s="60">
      <c r="A595" s="41" t="n"/>
    </row>
    <row r="596" ht="15.75" customHeight="1" s="60">
      <c r="A596" s="41" t="n"/>
    </row>
    <row r="597" ht="15.75" customHeight="1" s="60">
      <c r="A597" s="41" t="n"/>
    </row>
    <row r="598" ht="15.75" customHeight="1" s="60">
      <c r="A598" s="41" t="n"/>
    </row>
    <row r="599" ht="15.75" customHeight="1" s="60">
      <c r="A599" s="41" t="n"/>
    </row>
    <row r="600" ht="15.75" customHeight="1" s="60">
      <c r="A600" s="41" t="n"/>
    </row>
    <row r="601" ht="15.75" customHeight="1" s="60">
      <c r="A601" s="41" t="n"/>
    </row>
    <row r="602" ht="15.75" customHeight="1" s="60">
      <c r="A602" s="41" t="n"/>
    </row>
    <row r="603" ht="15.75" customHeight="1" s="60">
      <c r="A603" s="41" t="n"/>
    </row>
    <row r="604" ht="15.75" customHeight="1" s="60">
      <c r="A604" s="41" t="n"/>
    </row>
    <row r="605" ht="15.75" customHeight="1" s="60">
      <c r="A605" s="41" t="n"/>
    </row>
    <row r="606" ht="15.75" customHeight="1" s="60">
      <c r="A606" s="41" t="n"/>
    </row>
    <row r="607" ht="15.75" customHeight="1" s="60">
      <c r="A607" s="41" t="n"/>
    </row>
    <row r="608" ht="15.75" customHeight="1" s="60">
      <c r="A608" s="41" t="n"/>
    </row>
    <row r="609" ht="15.75" customHeight="1" s="60">
      <c r="A609" s="41" t="n"/>
    </row>
    <row r="610" ht="15.75" customHeight="1" s="60">
      <c r="A610" s="41" t="n"/>
    </row>
    <row r="611" ht="15.75" customHeight="1" s="60">
      <c r="A611" s="41" t="n"/>
    </row>
    <row r="612" ht="15.75" customHeight="1" s="60">
      <c r="A612" s="41" t="n"/>
    </row>
    <row r="613" ht="15.75" customHeight="1" s="60">
      <c r="A613" s="41" t="n"/>
    </row>
    <row r="614" ht="15.75" customHeight="1" s="60">
      <c r="A614" s="41" t="n"/>
    </row>
    <row r="615" ht="15.75" customHeight="1" s="60">
      <c r="A615" s="41" t="n"/>
    </row>
    <row r="616" ht="15.75" customHeight="1" s="60">
      <c r="A616" s="41" t="n"/>
    </row>
    <row r="617" ht="15.75" customHeight="1" s="60">
      <c r="A617" s="41" t="n"/>
    </row>
    <row r="618" ht="15.75" customHeight="1" s="60">
      <c r="A618" s="41" t="n"/>
    </row>
    <row r="619" ht="15.75" customHeight="1" s="60">
      <c r="A619" s="41" t="n"/>
    </row>
    <row r="620" ht="15.75" customHeight="1" s="60">
      <c r="A620" s="41" t="n"/>
    </row>
    <row r="621" ht="15.75" customHeight="1" s="60">
      <c r="A621" s="41" t="n"/>
    </row>
    <row r="622" ht="15.75" customHeight="1" s="60">
      <c r="A622" s="41" t="n"/>
    </row>
    <row r="623" ht="15.75" customHeight="1" s="60">
      <c r="A623" s="41" t="n"/>
    </row>
    <row r="624" ht="15.75" customHeight="1" s="60">
      <c r="A624" s="41" t="n"/>
    </row>
    <row r="625" ht="15.75" customHeight="1" s="60">
      <c r="A625" s="41" t="n"/>
    </row>
    <row r="626" ht="15.75" customHeight="1" s="60">
      <c r="A626" s="41" t="n"/>
    </row>
    <row r="627" ht="15.75" customHeight="1" s="60">
      <c r="A627" s="41" t="n"/>
    </row>
    <row r="628" ht="15.75" customHeight="1" s="60">
      <c r="A628" s="41" t="n"/>
    </row>
    <row r="629" ht="15.75" customHeight="1" s="60">
      <c r="A629" s="41" t="n"/>
    </row>
    <row r="630" ht="15.75" customHeight="1" s="60">
      <c r="A630" s="41" t="n"/>
    </row>
    <row r="631" ht="15.75" customHeight="1" s="60">
      <c r="A631" s="41" t="n"/>
    </row>
    <row r="632" ht="15.75" customHeight="1" s="60">
      <c r="A632" s="41" t="n"/>
    </row>
    <row r="633" ht="15.75" customHeight="1" s="60">
      <c r="A633" s="41" t="n"/>
    </row>
    <row r="634" ht="15.75" customHeight="1" s="60">
      <c r="A634" s="41" t="n"/>
    </row>
    <row r="635" ht="15.75" customHeight="1" s="60">
      <c r="A635" s="41" t="n"/>
    </row>
    <row r="636" ht="15.75" customHeight="1" s="60">
      <c r="A636" s="41" t="n"/>
    </row>
    <row r="637" ht="15.75" customHeight="1" s="60">
      <c r="A637" s="41" t="n"/>
    </row>
    <row r="638" ht="15.75" customHeight="1" s="60">
      <c r="A638" s="41" t="n"/>
    </row>
    <row r="639" ht="15.75" customHeight="1" s="60">
      <c r="A639" s="41" t="n"/>
    </row>
    <row r="640" ht="15.75" customHeight="1" s="60">
      <c r="A640" s="41" t="n"/>
    </row>
    <row r="641" ht="15.75" customHeight="1" s="60">
      <c r="A641" s="41" t="n"/>
    </row>
    <row r="642" ht="15.75" customHeight="1" s="60">
      <c r="A642" s="41" t="n"/>
    </row>
    <row r="643" ht="15.75" customHeight="1" s="60">
      <c r="A643" s="41" t="n"/>
    </row>
    <row r="644" ht="15.75" customHeight="1" s="60">
      <c r="A644" s="41" t="n"/>
    </row>
    <row r="645" ht="15.75" customHeight="1" s="60">
      <c r="A645" s="41" t="n"/>
    </row>
    <row r="646" ht="15.75" customHeight="1" s="60">
      <c r="A646" s="41" t="n"/>
    </row>
    <row r="647" ht="15.75" customHeight="1" s="60">
      <c r="A647" s="41" t="n"/>
    </row>
    <row r="648" ht="15.75" customHeight="1" s="60">
      <c r="A648" s="41" t="n"/>
    </row>
    <row r="649" ht="15.75" customHeight="1" s="60">
      <c r="A649" s="41" t="n"/>
    </row>
    <row r="650" ht="15.75" customHeight="1" s="60">
      <c r="A650" s="41" t="n"/>
    </row>
    <row r="651" ht="15.75" customHeight="1" s="60">
      <c r="A651" s="41" t="n"/>
    </row>
    <row r="652" ht="15.75" customHeight="1" s="60">
      <c r="A652" s="41" t="n"/>
    </row>
    <row r="653" ht="15.75" customHeight="1" s="60">
      <c r="A653" s="41" t="n"/>
    </row>
    <row r="654" ht="15.75" customHeight="1" s="60">
      <c r="A654" s="41" t="n"/>
    </row>
    <row r="655" ht="15.75" customHeight="1" s="60">
      <c r="A655" s="41" t="n"/>
    </row>
    <row r="656" ht="15.75" customHeight="1" s="60">
      <c r="A656" s="41" t="n"/>
    </row>
    <row r="657" ht="15.75" customHeight="1" s="60">
      <c r="A657" s="41" t="n"/>
    </row>
    <row r="658" ht="15.75" customHeight="1" s="60">
      <c r="A658" s="41" t="n"/>
    </row>
    <row r="659" ht="15.75" customHeight="1" s="60">
      <c r="A659" s="41" t="n"/>
    </row>
    <row r="660" ht="15.75" customHeight="1" s="60">
      <c r="A660" s="41" t="n"/>
    </row>
    <row r="661" ht="15.75" customHeight="1" s="60">
      <c r="A661" s="41" t="n"/>
    </row>
    <row r="662" ht="15.75" customHeight="1" s="60">
      <c r="A662" s="41" t="n"/>
    </row>
    <row r="663" ht="15.75" customHeight="1" s="60">
      <c r="A663" s="41" t="n"/>
    </row>
    <row r="664" ht="15.75" customHeight="1" s="60">
      <c r="A664" s="41" t="n"/>
    </row>
    <row r="665" ht="15.75" customHeight="1" s="60">
      <c r="A665" s="41" t="n"/>
    </row>
    <row r="666" ht="15.75" customHeight="1" s="60">
      <c r="A666" s="41" t="n"/>
    </row>
    <row r="667" ht="15.75" customHeight="1" s="60">
      <c r="A667" s="41" t="n"/>
    </row>
    <row r="668" ht="15.75" customHeight="1" s="60">
      <c r="A668" s="41" t="n"/>
    </row>
    <row r="669" ht="15.75" customHeight="1" s="60">
      <c r="A669" s="41" t="n"/>
    </row>
    <row r="670" ht="15.75" customHeight="1" s="60">
      <c r="A670" s="41" t="n"/>
    </row>
    <row r="671" ht="15.75" customHeight="1" s="60">
      <c r="A671" s="41" t="n"/>
    </row>
    <row r="672" ht="15.75" customHeight="1" s="60">
      <c r="A672" s="41" t="n"/>
    </row>
    <row r="673" ht="15.75" customHeight="1" s="60">
      <c r="A673" s="41" t="n"/>
    </row>
    <row r="674" ht="15.75" customHeight="1" s="60">
      <c r="A674" s="41" t="n"/>
    </row>
    <row r="675" ht="15.75" customHeight="1" s="60">
      <c r="A675" s="41" t="n"/>
    </row>
    <row r="676" ht="15.75" customHeight="1" s="60">
      <c r="A676" s="41" t="n"/>
    </row>
    <row r="677" ht="15.75" customHeight="1" s="60">
      <c r="A677" s="41" t="n"/>
    </row>
    <row r="678" ht="15.75" customHeight="1" s="60">
      <c r="A678" s="41" t="n"/>
    </row>
    <row r="679" ht="15.75" customHeight="1" s="60">
      <c r="A679" s="41" t="n"/>
    </row>
    <row r="680" ht="15.75" customHeight="1" s="60">
      <c r="A680" s="41" t="n"/>
    </row>
    <row r="681" ht="15.75" customHeight="1" s="60">
      <c r="A681" s="41" t="n"/>
    </row>
    <row r="682" ht="15.75" customHeight="1" s="60">
      <c r="A682" s="41" t="n"/>
    </row>
    <row r="683" ht="15.75" customHeight="1" s="60">
      <c r="A683" s="41" t="n"/>
    </row>
    <row r="684" ht="15.75" customHeight="1" s="60">
      <c r="A684" s="41" t="n"/>
    </row>
    <row r="685" ht="15.75" customHeight="1" s="60">
      <c r="A685" s="41" t="n"/>
    </row>
    <row r="686" ht="15.75" customHeight="1" s="60">
      <c r="A686" s="41" t="n"/>
    </row>
    <row r="687" ht="15.75" customHeight="1" s="60">
      <c r="A687" s="41" t="n"/>
    </row>
    <row r="688" ht="15.75" customHeight="1" s="60">
      <c r="A688" s="41" t="n"/>
    </row>
    <row r="689" ht="15.75" customHeight="1" s="60">
      <c r="A689" s="41" t="n"/>
    </row>
    <row r="690" ht="15.75" customHeight="1" s="60">
      <c r="A690" s="41" t="n"/>
    </row>
    <row r="691" ht="15.75" customHeight="1" s="60">
      <c r="A691" s="41" t="n"/>
    </row>
    <row r="692" ht="15.75" customHeight="1" s="60">
      <c r="A692" s="41" t="n"/>
    </row>
    <row r="693" ht="15.75" customHeight="1" s="60">
      <c r="A693" s="41" t="n"/>
    </row>
    <row r="694" ht="15.75" customHeight="1" s="60">
      <c r="A694" s="41" t="n"/>
    </row>
    <row r="695" ht="15.75" customHeight="1" s="60">
      <c r="A695" s="41" t="n"/>
    </row>
    <row r="696" ht="15.75" customHeight="1" s="60">
      <c r="A696" s="41" t="n"/>
    </row>
    <row r="697" ht="15.75" customHeight="1" s="60">
      <c r="A697" s="41" t="n"/>
    </row>
    <row r="698" ht="15.75" customHeight="1" s="60">
      <c r="A698" s="41" t="n"/>
    </row>
    <row r="699" ht="15.75" customHeight="1" s="60">
      <c r="A699" s="41" t="n"/>
    </row>
    <row r="700" ht="15.75" customHeight="1" s="60">
      <c r="A700" s="41" t="n"/>
    </row>
    <row r="701" ht="15.75" customHeight="1" s="60">
      <c r="A701" s="41" t="n"/>
    </row>
    <row r="702" ht="15.75" customHeight="1" s="60">
      <c r="A702" s="41" t="n"/>
    </row>
    <row r="703" ht="15.75" customHeight="1" s="60">
      <c r="A703" s="41" t="n"/>
    </row>
    <row r="704" ht="15.75" customHeight="1" s="60">
      <c r="A704" s="41" t="n"/>
    </row>
    <row r="705" ht="15.75" customHeight="1" s="60">
      <c r="A705" s="41" t="n"/>
    </row>
    <row r="706" ht="15.75" customHeight="1" s="60">
      <c r="A706" s="41" t="n"/>
    </row>
    <row r="707" ht="15.75" customHeight="1" s="60">
      <c r="A707" s="41" t="n"/>
    </row>
    <row r="708" ht="15.75" customHeight="1" s="60">
      <c r="A708" s="41" t="n"/>
    </row>
    <row r="709" ht="15.75" customHeight="1" s="60">
      <c r="A709" s="41" t="n"/>
    </row>
    <row r="710" ht="15.75" customHeight="1" s="60">
      <c r="A710" s="41" t="n"/>
    </row>
    <row r="711" ht="15.75" customHeight="1" s="60">
      <c r="A711" s="41" t="n"/>
    </row>
    <row r="712" ht="15.75" customHeight="1" s="60">
      <c r="A712" s="41" t="n"/>
    </row>
    <row r="713" ht="15.75" customHeight="1" s="60">
      <c r="A713" s="41" t="n"/>
    </row>
    <row r="714" ht="15.75" customHeight="1" s="60">
      <c r="A714" s="41" t="n"/>
    </row>
    <row r="715" ht="15.75" customHeight="1" s="60">
      <c r="A715" s="41" t="n"/>
    </row>
    <row r="716" ht="15.75" customHeight="1" s="60">
      <c r="A716" s="41" t="n"/>
    </row>
    <row r="717" ht="15.75" customHeight="1" s="60">
      <c r="A717" s="41" t="n"/>
    </row>
    <row r="718" ht="15.75" customHeight="1" s="60">
      <c r="A718" s="41" t="n"/>
    </row>
    <row r="719" ht="15.75" customHeight="1" s="60">
      <c r="A719" s="41" t="n"/>
    </row>
    <row r="720" ht="15.75" customHeight="1" s="60">
      <c r="A720" s="41" t="n"/>
    </row>
    <row r="721" ht="15.75" customHeight="1" s="60">
      <c r="A721" s="41" t="n"/>
    </row>
    <row r="722" ht="15.75" customHeight="1" s="60">
      <c r="A722" s="41" t="n"/>
    </row>
    <row r="723" ht="15.75" customHeight="1" s="60">
      <c r="A723" s="41" t="n"/>
    </row>
    <row r="724" ht="15.75" customHeight="1" s="60">
      <c r="A724" s="41" t="n"/>
    </row>
    <row r="725" ht="15.75" customHeight="1" s="60">
      <c r="A725" s="41" t="n"/>
    </row>
    <row r="726" ht="15.75" customHeight="1" s="60">
      <c r="A726" s="41" t="n"/>
    </row>
    <row r="727" ht="15.75" customHeight="1" s="60">
      <c r="A727" s="41" t="n"/>
    </row>
    <row r="728" ht="15.75" customHeight="1" s="60">
      <c r="A728" s="41" t="n"/>
    </row>
    <row r="729" ht="15.75" customHeight="1" s="60">
      <c r="A729" s="41" t="n"/>
    </row>
    <row r="730" ht="15.75" customHeight="1" s="60">
      <c r="A730" s="41" t="n"/>
    </row>
    <row r="731" ht="15.75" customHeight="1" s="60">
      <c r="A731" s="41" t="n"/>
    </row>
    <row r="732" ht="15.75" customHeight="1" s="60">
      <c r="A732" s="41" t="n"/>
    </row>
    <row r="733" ht="15.75" customHeight="1" s="60">
      <c r="A733" s="41" t="n"/>
    </row>
    <row r="734" ht="15.75" customHeight="1" s="60">
      <c r="A734" s="41" t="n"/>
    </row>
    <row r="735" ht="15.75" customHeight="1" s="60">
      <c r="A735" s="41" t="n"/>
    </row>
    <row r="736" ht="15.75" customHeight="1" s="60">
      <c r="A736" s="41" t="n"/>
    </row>
    <row r="737" ht="15.75" customHeight="1" s="60">
      <c r="A737" s="41" t="n"/>
    </row>
    <row r="738" ht="15.75" customHeight="1" s="60">
      <c r="A738" s="41" t="n"/>
    </row>
    <row r="739" ht="15.75" customHeight="1" s="60">
      <c r="A739" s="41" t="n"/>
    </row>
    <row r="740" ht="15.75" customHeight="1" s="60">
      <c r="A740" s="41" t="n"/>
    </row>
    <row r="741" ht="15.75" customHeight="1" s="60">
      <c r="A741" s="41" t="n"/>
    </row>
    <row r="742" ht="15.75" customHeight="1" s="60">
      <c r="A742" s="41" t="n"/>
    </row>
    <row r="743" ht="15.75" customHeight="1" s="60">
      <c r="A743" s="41" t="n"/>
    </row>
    <row r="744" ht="15.75" customHeight="1" s="60">
      <c r="A744" s="41" t="n"/>
    </row>
    <row r="745" ht="15.75" customHeight="1" s="60">
      <c r="A745" s="41" t="n"/>
    </row>
    <row r="746" ht="15.75" customHeight="1" s="60">
      <c r="A746" s="41" t="n"/>
    </row>
    <row r="747" ht="15.75" customHeight="1" s="60">
      <c r="A747" s="41" t="n"/>
    </row>
    <row r="748" ht="15.75" customHeight="1" s="60">
      <c r="A748" s="41" t="n"/>
    </row>
    <row r="749" ht="15.75" customHeight="1" s="60">
      <c r="A749" s="41" t="n"/>
    </row>
    <row r="750" ht="15.75" customHeight="1" s="60">
      <c r="A750" s="41" t="n"/>
    </row>
    <row r="751" ht="15.75" customHeight="1" s="60">
      <c r="A751" s="41" t="n"/>
    </row>
    <row r="752" ht="15.75" customHeight="1" s="60">
      <c r="A752" s="41" t="n"/>
    </row>
    <row r="753" ht="15.75" customHeight="1" s="60">
      <c r="A753" s="41" t="n"/>
    </row>
    <row r="754" ht="15.75" customHeight="1" s="60">
      <c r="A754" s="41" t="n"/>
    </row>
    <row r="755" ht="15.75" customHeight="1" s="60">
      <c r="A755" s="41" t="n"/>
    </row>
    <row r="756" ht="15.75" customHeight="1" s="60">
      <c r="A756" s="41" t="n"/>
    </row>
    <row r="757" ht="15.75" customHeight="1" s="60">
      <c r="A757" s="41" t="n"/>
    </row>
    <row r="758" ht="15.75" customHeight="1" s="60">
      <c r="A758" s="41" t="n"/>
    </row>
    <row r="759" ht="15.75" customHeight="1" s="60">
      <c r="A759" s="41" t="n"/>
    </row>
    <row r="760" ht="15.75" customHeight="1" s="60">
      <c r="A760" s="41" t="n"/>
    </row>
    <row r="761" ht="15.75" customHeight="1" s="60">
      <c r="A761" s="41" t="n"/>
    </row>
    <row r="762" ht="15.75" customHeight="1" s="60">
      <c r="A762" s="41" t="n"/>
    </row>
    <row r="763" ht="15.75" customHeight="1" s="60">
      <c r="A763" s="41" t="n"/>
    </row>
    <row r="764" ht="15.75" customHeight="1" s="60">
      <c r="A764" s="41" t="n"/>
    </row>
    <row r="765" ht="15.75" customHeight="1" s="60">
      <c r="A765" s="41" t="n"/>
    </row>
    <row r="766" ht="15.75" customHeight="1" s="60">
      <c r="A766" s="41" t="n"/>
    </row>
    <row r="767" ht="15.75" customHeight="1" s="60">
      <c r="A767" s="41" t="n"/>
    </row>
    <row r="768" ht="15.75" customHeight="1" s="60">
      <c r="A768" s="41" t="n"/>
    </row>
    <row r="769" ht="15.75" customHeight="1" s="60">
      <c r="A769" s="41" t="n"/>
    </row>
    <row r="770" ht="15.75" customHeight="1" s="60">
      <c r="A770" s="41" t="n"/>
    </row>
    <row r="771" ht="15.75" customHeight="1" s="60">
      <c r="A771" s="41" t="n"/>
    </row>
    <row r="772" ht="15.75" customHeight="1" s="60">
      <c r="A772" s="41" t="n"/>
    </row>
    <row r="773" ht="15.75" customHeight="1" s="60">
      <c r="A773" s="41" t="n"/>
    </row>
    <row r="774" ht="15.75" customHeight="1" s="60">
      <c r="A774" s="41" t="n"/>
    </row>
    <row r="775" ht="15.75" customHeight="1" s="60">
      <c r="A775" s="41" t="n"/>
    </row>
    <row r="776" ht="15.75" customHeight="1" s="60">
      <c r="A776" s="41" t="n"/>
    </row>
    <row r="777" ht="15.75" customHeight="1" s="60">
      <c r="A777" s="41" t="n"/>
    </row>
    <row r="778" ht="15.75" customHeight="1" s="60">
      <c r="A778" s="41" t="n"/>
    </row>
    <row r="779" ht="15.75" customHeight="1" s="60">
      <c r="A779" s="41" t="n"/>
    </row>
    <row r="780" ht="15.75" customHeight="1" s="60">
      <c r="A780" s="41" t="n"/>
    </row>
    <row r="781" ht="15.75" customHeight="1" s="60">
      <c r="A781" s="41" t="n"/>
    </row>
    <row r="782" ht="15.75" customHeight="1" s="60">
      <c r="A782" s="41" t="n"/>
    </row>
    <row r="783" ht="15.75" customHeight="1" s="60">
      <c r="A783" s="41" t="n"/>
    </row>
    <row r="784" ht="15.75" customHeight="1" s="60">
      <c r="A784" s="41" t="n"/>
    </row>
    <row r="785" ht="15.75" customHeight="1" s="60">
      <c r="A785" s="41" t="n"/>
    </row>
    <row r="786" ht="15.75" customHeight="1" s="60">
      <c r="A786" s="41" t="n"/>
    </row>
    <row r="787" ht="15.75" customHeight="1" s="60">
      <c r="A787" s="41" t="n"/>
    </row>
    <row r="788" ht="15.75" customHeight="1" s="60">
      <c r="A788" s="41" t="n"/>
    </row>
    <row r="789" ht="15.75" customHeight="1" s="60">
      <c r="A789" s="41" t="n"/>
    </row>
    <row r="790" ht="15.75" customHeight="1" s="60">
      <c r="A790" s="41" t="n"/>
    </row>
    <row r="791" ht="15.75" customHeight="1" s="60">
      <c r="A791" s="41" t="n"/>
    </row>
    <row r="792" ht="15.75" customHeight="1" s="60">
      <c r="A792" s="41" t="n"/>
    </row>
    <row r="793" ht="15.75" customHeight="1" s="60">
      <c r="A793" s="41" t="n"/>
    </row>
    <row r="794" ht="15.75" customHeight="1" s="60">
      <c r="A794" s="41" t="n"/>
    </row>
    <row r="795" ht="15.75" customHeight="1" s="60">
      <c r="A795" s="41" t="n"/>
    </row>
    <row r="796" ht="15.75" customHeight="1" s="60">
      <c r="A796" s="41" t="n"/>
    </row>
    <row r="797" ht="15.75" customHeight="1" s="60">
      <c r="A797" s="41" t="n"/>
    </row>
    <row r="798" ht="15.75" customHeight="1" s="60">
      <c r="A798" s="41" t="n"/>
    </row>
    <row r="799" ht="15.75" customHeight="1" s="60">
      <c r="A799" s="41" t="n"/>
    </row>
    <row r="800" ht="15.75" customHeight="1" s="60">
      <c r="A800" s="41" t="n"/>
    </row>
    <row r="801" ht="15.75" customHeight="1" s="60">
      <c r="A801" s="41" t="n"/>
    </row>
    <row r="802" ht="15.75" customHeight="1" s="60">
      <c r="A802" s="41" t="n"/>
    </row>
    <row r="803" ht="15.75" customHeight="1" s="60">
      <c r="A803" s="41" t="n"/>
    </row>
    <row r="804" ht="15.75" customHeight="1" s="60">
      <c r="A804" s="41" t="n"/>
    </row>
    <row r="805" ht="15.75" customHeight="1" s="60">
      <c r="A805" s="41" t="n"/>
    </row>
    <row r="806" ht="15.75" customHeight="1" s="60">
      <c r="A806" s="41" t="n"/>
    </row>
    <row r="807" ht="15.75" customHeight="1" s="60">
      <c r="A807" s="41" t="n"/>
    </row>
    <row r="808" ht="15.75" customHeight="1" s="60">
      <c r="A808" s="41" t="n"/>
    </row>
    <row r="809" ht="15.75" customHeight="1" s="60">
      <c r="A809" s="41" t="n"/>
    </row>
    <row r="810" ht="15.75" customHeight="1" s="60">
      <c r="A810" s="41" t="n"/>
    </row>
    <row r="811" ht="15.75" customHeight="1" s="60">
      <c r="A811" s="41" t="n"/>
    </row>
    <row r="812" ht="15.75" customHeight="1" s="60">
      <c r="A812" s="41" t="n"/>
    </row>
    <row r="813" ht="15.75" customHeight="1" s="60">
      <c r="A813" s="41" t="n"/>
    </row>
    <row r="814" ht="15.75" customHeight="1" s="60">
      <c r="A814" s="41" t="n"/>
    </row>
    <row r="815" ht="15.75" customHeight="1" s="60">
      <c r="A815" s="41" t="n"/>
    </row>
    <row r="816" ht="15.75" customHeight="1" s="60">
      <c r="A816" s="41" t="n"/>
    </row>
    <row r="817" ht="15.75" customHeight="1" s="60">
      <c r="A817" s="41" t="n"/>
    </row>
    <row r="818" ht="15.75" customHeight="1" s="60">
      <c r="A818" s="41" t="n"/>
    </row>
    <row r="819" ht="15.75" customHeight="1" s="60">
      <c r="A819" s="41" t="n"/>
    </row>
    <row r="820" ht="15.75" customHeight="1" s="60">
      <c r="A820" s="41" t="n"/>
    </row>
    <row r="821" ht="15.75" customHeight="1" s="60">
      <c r="A821" s="41" t="n"/>
    </row>
    <row r="822" ht="15.75" customHeight="1" s="60">
      <c r="A822" s="41" t="n"/>
    </row>
    <row r="823" ht="15.75" customHeight="1" s="60">
      <c r="A823" s="41" t="n"/>
    </row>
    <row r="824" ht="15.75" customHeight="1" s="60">
      <c r="A824" s="41" t="n"/>
    </row>
    <row r="825" ht="15.75" customHeight="1" s="60">
      <c r="A825" s="41" t="n"/>
    </row>
    <row r="826" ht="15.75" customHeight="1" s="60">
      <c r="A826" s="41" t="n"/>
    </row>
    <row r="827" ht="15.75" customHeight="1" s="60">
      <c r="A827" s="41" t="n"/>
    </row>
    <row r="828" ht="15.75" customHeight="1" s="60">
      <c r="A828" s="41" t="n"/>
    </row>
    <row r="829" ht="15.75" customHeight="1" s="60">
      <c r="A829" s="41" t="n"/>
    </row>
    <row r="830" ht="15.75" customHeight="1" s="60">
      <c r="A830" s="41" t="n"/>
    </row>
    <row r="831" ht="15.75" customHeight="1" s="60">
      <c r="A831" s="41" t="n"/>
    </row>
    <row r="832" ht="15.75" customHeight="1" s="60">
      <c r="A832" s="41" t="n"/>
    </row>
    <row r="833" ht="15.75" customHeight="1" s="60">
      <c r="A833" s="41" t="n"/>
    </row>
    <row r="834" ht="15.75" customHeight="1" s="60">
      <c r="A834" s="41" t="n"/>
    </row>
    <row r="835" ht="15.75" customHeight="1" s="60">
      <c r="A835" s="41" t="n"/>
    </row>
    <row r="836" ht="15.75" customHeight="1" s="60">
      <c r="A836" s="41" t="n"/>
    </row>
    <row r="837" ht="15.75" customHeight="1" s="60">
      <c r="A837" s="41" t="n"/>
    </row>
    <row r="838" ht="15.75" customHeight="1" s="60">
      <c r="A838" s="41" t="n"/>
    </row>
    <row r="839" ht="15.75" customHeight="1" s="60">
      <c r="A839" s="41" t="n"/>
    </row>
    <row r="840" ht="15.75" customHeight="1" s="60">
      <c r="A840" s="41" t="n"/>
    </row>
    <row r="841" ht="15.75" customHeight="1" s="60">
      <c r="A841" s="41" t="n"/>
    </row>
    <row r="842" ht="15.75" customHeight="1" s="60">
      <c r="A842" s="41" t="n"/>
    </row>
    <row r="843" ht="15.75" customHeight="1" s="60">
      <c r="A843" s="41" t="n"/>
    </row>
    <row r="844" ht="15.75" customHeight="1" s="60">
      <c r="A844" s="41" t="n"/>
    </row>
    <row r="845" ht="15.75" customHeight="1" s="60">
      <c r="A845" s="41" t="n"/>
    </row>
    <row r="846" ht="15.75" customHeight="1" s="60">
      <c r="A846" s="41" t="n"/>
    </row>
    <row r="847" ht="15.75" customHeight="1" s="60">
      <c r="A847" s="41" t="n"/>
    </row>
    <row r="848" ht="15.75" customHeight="1" s="60">
      <c r="A848" s="41" t="n"/>
    </row>
    <row r="849" ht="15.75" customHeight="1" s="60">
      <c r="A849" s="41" t="n"/>
    </row>
    <row r="850" ht="15.75" customHeight="1" s="60">
      <c r="A850" s="41" t="n"/>
    </row>
    <row r="851" ht="15.75" customHeight="1" s="60">
      <c r="A851" s="41" t="n"/>
    </row>
    <row r="852" ht="15.75" customHeight="1" s="60">
      <c r="A852" s="41" t="n"/>
    </row>
    <row r="853" ht="15.75" customHeight="1" s="60">
      <c r="A853" s="41" t="n"/>
    </row>
    <row r="854" ht="15.75" customHeight="1" s="60">
      <c r="A854" s="41" t="n"/>
    </row>
    <row r="855" ht="15.75" customHeight="1" s="60">
      <c r="A855" s="41" t="n"/>
    </row>
    <row r="856" ht="15.75" customHeight="1" s="60">
      <c r="A856" s="41" t="n"/>
    </row>
    <row r="857" ht="15.75" customHeight="1" s="60">
      <c r="A857" s="41" t="n"/>
    </row>
    <row r="858" ht="15.75" customHeight="1" s="60">
      <c r="A858" s="41" t="n"/>
    </row>
    <row r="859" ht="15.75" customHeight="1" s="60">
      <c r="A859" s="41" t="n"/>
    </row>
    <row r="860" ht="15.75" customHeight="1" s="60">
      <c r="A860" s="41" t="n"/>
    </row>
    <row r="861" ht="15.75" customHeight="1" s="60">
      <c r="A861" s="41" t="n"/>
    </row>
    <row r="862" ht="15.75" customHeight="1" s="60">
      <c r="A862" s="41" t="n"/>
    </row>
    <row r="863" ht="15.75" customHeight="1" s="60">
      <c r="A863" s="41" t="n"/>
    </row>
    <row r="864" ht="15.75" customHeight="1" s="60">
      <c r="A864" s="41" t="n"/>
    </row>
    <row r="865" ht="15.75" customHeight="1" s="60">
      <c r="A865" s="41" t="n"/>
    </row>
    <row r="866" ht="15.75" customHeight="1" s="60">
      <c r="A866" s="41" t="n"/>
    </row>
    <row r="867" ht="15.75" customHeight="1" s="60">
      <c r="A867" s="41" t="n"/>
    </row>
    <row r="868" ht="15.75" customHeight="1" s="60">
      <c r="A868" s="41" t="n"/>
    </row>
    <row r="869" ht="15.75" customHeight="1" s="60">
      <c r="A869" s="41" t="n"/>
    </row>
    <row r="870" ht="15.75" customHeight="1" s="60">
      <c r="A870" s="41" t="n"/>
    </row>
    <row r="871" ht="15.75" customHeight="1" s="60">
      <c r="A871" s="41" t="n"/>
    </row>
    <row r="872" ht="15.75" customHeight="1" s="60">
      <c r="A872" s="41" t="n"/>
    </row>
    <row r="873" ht="15.75" customHeight="1" s="60">
      <c r="A873" s="41" t="n"/>
    </row>
    <row r="874" ht="15.75" customHeight="1" s="60">
      <c r="A874" s="41" t="n"/>
    </row>
    <row r="875" ht="15.75" customHeight="1" s="60">
      <c r="A875" s="41" t="n"/>
    </row>
    <row r="876" ht="15.75" customHeight="1" s="60">
      <c r="A876" s="41" t="n"/>
    </row>
    <row r="877" ht="15.75" customHeight="1" s="60">
      <c r="A877" s="41" t="n"/>
    </row>
    <row r="878" ht="15.75" customHeight="1" s="60">
      <c r="A878" s="41" t="n"/>
    </row>
    <row r="879" ht="15.75" customHeight="1" s="60">
      <c r="A879" s="41" t="n"/>
    </row>
    <row r="880" ht="15.75" customHeight="1" s="60">
      <c r="A880" s="41" t="n"/>
    </row>
    <row r="881" ht="15.75" customHeight="1" s="60">
      <c r="A881" s="41" t="n"/>
    </row>
    <row r="882" ht="15.75" customHeight="1" s="60">
      <c r="A882" s="41" t="n"/>
    </row>
    <row r="883" ht="15.75" customHeight="1" s="60">
      <c r="A883" s="41" t="n"/>
    </row>
    <row r="884" ht="15.75" customHeight="1" s="60">
      <c r="A884" s="41" t="n"/>
    </row>
    <row r="885" ht="15.75" customHeight="1" s="60">
      <c r="A885" s="41" t="n"/>
    </row>
    <row r="886" ht="15.75" customHeight="1" s="60">
      <c r="A886" s="41" t="n"/>
    </row>
    <row r="887" ht="15.75" customHeight="1" s="60">
      <c r="A887" s="41" t="n"/>
    </row>
    <row r="888" ht="15.75" customHeight="1" s="60">
      <c r="A888" s="41" t="n"/>
    </row>
    <row r="889" ht="15.75" customHeight="1" s="60">
      <c r="A889" s="41" t="n"/>
    </row>
    <row r="890" ht="15.75" customHeight="1" s="60">
      <c r="A890" s="41" t="n"/>
    </row>
    <row r="891" ht="15.75" customHeight="1" s="60">
      <c r="A891" s="41" t="n"/>
    </row>
    <row r="892" ht="15.75" customHeight="1" s="60">
      <c r="A892" s="41" t="n"/>
    </row>
    <row r="893" ht="15.75" customHeight="1" s="60">
      <c r="A893" s="41" t="n"/>
    </row>
    <row r="894" ht="15.75" customHeight="1" s="60">
      <c r="A894" s="41" t="n"/>
    </row>
    <row r="895" ht="15.75" customHeight="1" s="60">
      <c r="A895" s="41" t="n"/>
    </row>
    <row r="896" ht="15.75" customHeight="1" s="60">
      <c r="A896" s="41" t="n"/>
    </row>
    <row r="897" ht="15.75" customHeight="1" s="60">
      <c r="A897" s="41" t="n"/>
    </row>
    <row r="898" ht="15.75" customHeight="1" s="60">
      <c r="A898" s="41" t="n"/>
    </row>
    <row r="899" ht="15.75" customHeight="1" s="60">
      <c r="A899" s="41" t="n"/>
    </row>
    <row r="900" ht="15.75" customHeight="1" s="60">
      <c r="A900" s="41" t="n"/>
    </row>
    <row r="901" ht="15.75" customHeight="1" s="60">
      <c r="A901" s="41" t="n"/>
    </row>
    <row r="902" ht="15.75" customHeight="1" s="60">
      <c r="A902" s="41" t="n"/>
    </row>
    <row r="903" ht="15.75" customHeight="1" s="60">
      <c r="A903" s="41" t="n"/>
    </row>
    <row r="904" ht="15.75" customHeight="1" s="60">
      <c r="A904" s="41" t="n"/>
    </row>
    <row r="905" ht="15.75" customHeight="1" s="60">
      <c r="A905" s="41" t="n"/>
    </row>
    <row r="906" ht="15.75" customHeight="1" s="60">
      <c r="A906" s="41" t="n"/>
    </row>
    <row r="907" ht="15.75" customHeight="1" s="60">
      <c r="A907" s="41" t="n"/>
    </row>
    <row r="908" ht="15.75" customHeight="1" s="60">
      <c r="A908" s="41" t="n"/>
    </row>
    <row r="909" ht="15.75" customHeight="1" s="60">
      <c r="A909" s="41" t="n"/>
    </row>
    <row r="910" ht="15.75" customHeight="1" s="60">
      <c r="A910" s="41" t="n"/>
    </row>
    <row r="911" ht="15.75" customHeight="1" s="60">
      <c r="A911" s="41" t="n"/>
    </row>
    <row r="912" ht="15.75" customHeight="1" s="60">
      <c r="A912" s="41" t="n"/>
    </row>
    <row r="913" ht="15.75" customHeight="1" s="60">
      <c r="A913" s="41" t="n"/>
    </row>
    <row r="914" ht="15.75" customHeight="1" s="60">
      <c r="A914" s="41" t="n"/>
    </row>
    <row r="915" ht="15.75" customHeight="1" s="60">
      <c r="A915" s="41" t="n"/>
    </row>
    <row r="916" ht="15.75" customHeight="1" s="60">
      <c r="A916" s="41" t="n"/>
    </row>
    <row r="917" ht="15.75" customHeight="1" s="60">
      <c r="A917" s="41" t="n"/>
    </row>
    <row r="918" ht="15.75" customHeight="1" s="60">
      <c r="A918" s="41" t="n"/>
    </row>
    <row r="919" ht="15.75" customHeight="1" s="60">
      <c r="A919" s="41" t="n"/>
    </row>
    <row r="920" ht="15.75" customHeight="1" s="60">
      <c r="A920" s="41" t="n"/>
    </row>
    <row r="921" ht="15.75" customHeight="1" s="60">
      <c r="A921" s="41" t="n"/>
    </row>
    <row r="922" ht="15.75" customHeight="1" s="60">
      <c r="A922" s="41" t="n"/>
    </row>
    <row r="923" ht="15.75" customHeight="1" s="60">
      <c r="A923" s="41" t="n"/>
    </row>
    <row r="924" ht="15.75" customHeight="1" s="60">
      <c r="A924" s="41" t="n"/>
    </row>
    <row r="925" ht="15.75" customHeight="1" s="60">
      <c r="A925" s="41" t="n"/>
    </row>
    <row r="926" ht="15.75" customHeight="1" s="60">
      <c r="A926" s="41" t="n"/>
    </row>
    <row r="927" ht="15.75" customHeight="1" s="60">
      <c r="A927" s="41" t="n"/>
    </row>
    <row r="928" ht="15.75" customHeight="1" s="60">
      <c r="A928" s="41" t="n"/>
    </row>
    <row r="929" ht="15.75" customHeight="1" s="60">
      <c r="A929" s="41" t="n"/>
    </row>
    <row r="930" ht="15.75" customHeight="1" s="60">
      <c r="A930" s="41" t="n"/>
    </row>
    <row r="931" ht="15.75" customHeight="1" s="60">
      <c r="A931" s="41" t="n"/>
    </row>
    <row r="932" ht="15.75" customHeight="1" s="60">
      <c r="A932" s="41" t="n"/>
    </row>
    <row r="933" ht="15.75" customHeight="1" s="60">
      <c r="A933" s="41" t="n"/>
    </row>
    <row r="934" ht="15.75" customHeight="1" s="60">
      <c r="A934" s="41" t="n"/>
    </row>
    <row r="935" ht="15.75" customHeight="1" s="60">
      <c r="A935" s="41" t="n"/>
    </row>
    <row r="936" ht="15.75" customHeight="1" s="60">
      <c r="A936" s="41" t="n"/>
    </row>
    <row r="937" ht="15.75" customHeight="1" s="60">
      <c r="A937" s="41" t="n"/>
    </row>
    <row r="938" ht="15.75" customHeight="1" s="60">
      <c r="A938" s="41" t="n"/>
    </row>
    <row r="939" ht="15.75" customHeight="1" s="60">
      <c r="A939" s="41" t="n"/>
    </row>
    <row r="940" ht="15.75" customHeight="1" s="60">
      <c r="A940" s="41" t="n"/>
    </row>
    <row r="941" ht="15.75" customHeight="1" s="60">
      <c r="A941" s="41" t="n"/>
    </row>
    <row r="942" ht="15.75" customHeight="1" s="60">
      <c r="A942" s="41" t="n"/>
    </row>
    <row r="943" ht="15.75" customHeight="1" s="60">
      <c r="A943" s="41" t="n"/>
    </row>
    <row r="944" ht="15.75" customHeight="1" s="60">
      <c r="A944" s="41" t="n"/>
    </row>
    <row r="945" ht="15.75" customHeight="1" s="60">
      <c r="A945" s="41" t="n"/>
    </row>
    <row r="946" ht="15.75" customHeight="1" s="60">
      <c r="A946" s="41" t="n"/>
    </row>
    <row r="947" ht="15.75" customHeight="1" s="60">
      <c r="A947" s="41" t="n"/>
    </row>
    <row r="948" ht="15.75" customHeight="1" s="60">
      <c r="A948" s="41" t="n"/>
    </row>
    <row r="949" ht="15.75" customHeight="1" s="60">
      <c r="A949" s="41" t="n"/>
    </row>
    <row r="950" ht="15.75" customHeight="1" s="60">
      <c r="A950" s="41" t="n"/>
    </row>
    <row r="951" ht="15.75" customHeight="1" s="60">
      <c r="A951" s="41" t="n"/>
    </row>
    <row r="952" ht="15.75" customHeight="1" s="60">
      <c r="A952" s="41" t="n"/>
    </row>
    <row r="953" ht="15.75" customHeight="1" s="60">
      <c r="A953" s="41" t="n"/>
    </row>
    <row r="954" ht="15.75" customHeight="1" s="60">
      <c r="A954" s="41" t="n"/>
    </row>
    <row r="955" ht="15.75" customHeight="1" s="60">
      <c r="A955" s="41" t="n"/>
    </row>
    <row r="956" ht="15.75" customHeight="1" s="60">
      <c r="A956" s="41" t="n"/>
    </row>
    <row r="957" ht="15.75" customHeight="1" s="60">
      <c r="A957" s="41" t="n"/>
    </row>
    <row r="958" ht="15.75" customHeight="1" s="60">
      <c r="A958" s="41" t="n"/>
    </row>
    <row r="959" ht="15.75" customHeight="1" s="60">
      <c r="A959" s="41" t="n"/>
    </row>
    <row r="960" ht="15.75" customHeight="1" s="60">
      <c r="A960" s="41" t="n"/>
    </row>
    <row r="961" ht="15.75" customHeight="1" s="60">
      <c r="A961" s="41" t="n"/>
    </row>
    <row r="962" ht="15.75" customHeight="1" s="60">
      <c r="A962" s="41" t="n"/>
    </row>
    <row r="963" ht="15.75" customHeight="1" s="60">
      <c r="A963" s="41" t="n"/>
    </row>
    <row r="964" ht="15.75" customHeight="1" s="60">
      <c r="A964" s="41" t="n"/>
    </row>
    <row r="965" ht="15.75" customHeight="1" s="60">
      <c r="A965" s="41" t="n"/>
    </row>
    <row r="966" ht="15.75" customHeight="1" s="60">
      <c r="A966" s="41" t="n"/>
    </row>
    <row r="967" ht="15.75" customHeight="1" s="60">
      <c r="A967" s="41" t="n"/>
    </row>
    <row r="968" ht="15.75" customHeight="1" s="60">
      <c r="A968" s="41" t="n"/>
    </row>
    <row r="969" ht="15.75" customHeight="1" s="60">
      <c r="A969" s="41" t="n"/>
    </row>
    <row r="970" ht="15.75" customHeight="1" s="60">
      <c r="A970" s="41" t="n"/>
    </row>
    <row r="971" ht="15.75" customHeight="1" s="60">
      <c r="A971" s="41" t="n"/>
    </row>
    <row r="972" ht="15.75" customHeight="1" s="60">
      <c r="A972" s="41" t="n"/>
    </row>
    <row r="973" ht="15.75" customHeight="1" s="60">
      <c r="A973" s="41" t="n"/>
    </row>
    <row r="974" ht="15.75" customHeight="1" s="60">
      <c r="A974" s="41" t="n"/>
    </row>
    <row r="975" ht="15.75" customHeight="1" s="60">
      <c r="A975" s="41" t="n"/>
    </row>
    <row r="976" ht="15.75" customHeight="1" s="60">
      <c r="A976" s="41" t="n"/>
    </row>
    <row r="977" ht="15.75" customHeight="1" s="60">
      <c r="A977" s="41" t="n"/>
    </row>
    <row r="978" ht="15.75" customHeight="1" s="60">
      <c r="A978" s="41" t="n"/>
    </row>
    <row r="979" ht="15.75" customHeight="1" s="60">
      <c r="A979" s="41" t="n"/>
    </row>
    <row r="980" ht="15.75" customHeight="1" s="60">
      <c r="A980" s="41" t="n"/>
    </row>
    <row r="981" ht="15.75" customHeight="1" s="60">
      <c r="A981" s="41" t="n"/>
    </row>
    <row r="982" ht="15.75" customHeight="1" s="60">
      <c r="A982" s="41" t="n"/>
    </row>
    <row r="983" ht="15.75" customHeight="1" s="60">
      <c r="A983" s="41" t="n"/>
    </row>
    <row r="984" ht="15.75" customHeight="1" s="60">
      <c r="A984" s="41" t="n"/>
    </row>
    <row r="985" ht="15.75" customHeight="1" s="60">
      <c r="A985" s="41" t="n"/>
    </row>
    <row r="986" ht="15.75" customHeight="1" s="60">
      <c r="A986" s="41" t="n"/>
    </row>
    <row r="987" ht="15.75" customHeight="1" s="60">
      <c r="A987" s="41" t="n"/>
    </row>
    <row r="988" ht="15.75" customHeight="1" s="60">
      <c r="A988" s="41" t="n"/>
    </row>
    <row r="989" ht="15.75" customHeight="1" s="60">
      <c r="A989" s="41" t="n"/>
    </row>
    <row r="990" ht="15.75" customHeight="1" s="60">
      <c r="A990" s="41" t="n"/>
    </row>
    <row r="991" ht="15.75" customHeight="1" s="60">
      <c r="A991" s="41" t="n"/>
    </row>
    <row r="992" ht="15.75" customHeight="1" s="60">
      <c r="A992" s="41" t="n"/>
    </row>
    <row r="993" ht="15.75" customHeight="1" s="60">
      <c r="A993" s="41" t="n"/>
    </row>
    <row r="994" ht="15.75" customHeight="1" s="60">
      <c r="A994" s="41" t="n"/>
    </row>
    <row r="995" ht="15.75" customHeight="1" s="60">
      <c r="A995" s="41" t="n"/>
    </row>
    <row r="996" ht="15.75" customHeight="1" s="60">
      <c r="A996" s="41" t="n"/>
    </row>
    <row r="997" ht="15.75" customHeight="1" s="60">
      <c r="A997" s="41" t="n"/>
    </row>
    <row r="998" ht="15.75" customHeight="1" s="60">
      <c r="A998" s="41" t="n"/>
    </row>
    <row r="999" ht="15.75" customHeight="1" s="60">
      <c r="A999" s="41" t="n"/>
    </row>
    <row r="1000" ht="15.75" customHeight="1" s="60">
      <c r="A1000" s="41" t="n"/>
    </row>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D1000"/>
  <sheetViews>
    <sheetView workbookViewId="0">
      <pane ySplit="4" topLeftCell="A5" activePane="bottomLeft" state="frozen"/>
      <selection pane="bottomLeft" activeCell="B6" sqref="B6"/>
    </sheetView>
  </sheetViews>
  <sheetFormatPr baseColWidth="8" defaultColWidth="14.43" defaultRowHeight="15" customHeight="1"/>
  <cols>
    <col width="26" customWidth="1" style="60" min="1" max="1"/>
    <col width="22" customWidth="1" style="60" min="2" max="3"/>
    <col width="42" customWidth="1" style="60" min="4" max="4"/>
    <col width="8.710000000000001" customWidth="1" style="60" min="5" max="26"/>
  </cols>
  <sheetData>
    <row r="1" ht="17.25" customHeight="1" s="60">
      <c r="A1" s="1" t="inlineStr">
        <is>
          <t>TETAPAN (SETTINGS)</t>
        </is>
      </c>
      <c r="B1" s="41" t="n"/>
      <c r="C1" s="41" t="n"/>
      <c r="D1" s="41" t="n"/>
    </row>
    <row r="2" ht="15" customHeight="1" s="60">
      <c r="A2" s="5" t="inlineStr">
        <is>
          <t>Lajur kuning (Nilai Digunakan) adalah SATU-SATUNYA lajur untuk diedit. Jangan sentuh helaian lain untuk tukar nilai ini.</t>
        </is>
      </c>
      <c r="B2" s="41" t="n"/>
      <c r="C2" s="41" t="n"/>
      <c r="D2" s="41" t="n"/>
    </row>
    <row r="3">
      <c r="A3" s="41" t="n"/>
      <c r="B3" s="41" t="n"/>
      <c r="C3" s="41" t="n"/>
      <c r="D3" s="41" t="n"/>
    </row>
    <row r="4" ht="25.5" customHeight="1" s="60">
      <c r="A4" s="7" t="inlineStr">
        <is>
          <t>Tetapan</t>
        </is>
      </c>
      <c r="B4" s="7" t="inlineStr">
        <is>
          <t>Nilai Lalai (rujukan)</t>
        </is>
      </c>
      <c r="C4" s="7" t="inlineStr">
        <is>
          <t>Nilai Digunakan (edit di sini)</t>
        </is>
      </c>
      <c r="D4" s="7" t="inlineStr">
        <is>
          <t>Penerangan</t>
        </is>
      </c>
    </row>
    <row r="5" ht="15" customHeight="1" s="60">
      <c r="A5" s="10" t="inlineStr">
        <is>
          <t>Nama Koperasi</t>
        </is>
      </c>
      <c r="B5" s="13" t="inlineStr">
        <is>
          <t>Koperasi Contoh Berhad</t>
        </is>
      </c>
      <c r="C5" s="14" t="inlineStr">
        <is>
          <t>Koperasi Contoh Berhad</t>
        </is>
      </c>
      <c r="D5" s="15" t="inlineStr">
        <is>
          <t>Nama penuh untuk kepala setiap penyata rasmi</t>
        </is>
      </c>
    </row>
    <row r="6" ht="21.75" customHeight="1" s="60">
      <c r="A6" s="10" t="inlineStr">
        <is>
          <t>No. Pendaftaran SKM</t>
        </is>
      </c>
      <c r="B6" s="13" t="n"/>
      <c r="C6" s="14" t="n"/>
      <c r="D6" s="15" t="inlineStr">
        <is>
          <t>Nombor pendaftaran rasmi dengan Suruhanjaya Koperasi Malaysia</t>
        </is>
      </c>
    </row>
    <row r="7" ht="21.75" customHeight="1" s="60">
      <c r="A7" s="10" t="inlineStr">
        <is>
          <t>Bulan Mula Tahun Kewangan</t>
        </is>
      </c>
      <c r="B7" s="13" t="inlineStr">
        <is>
          <t>Januari</t>
        </is>
      </c>
      <c r="C7" s="14" t="inlineStr">
        <is>
          <t>Januari</t>
        </is>
      </c>
      <c r="D7" s="15" t="inlineStr">
        <is>
          <t>Bulan permulaan tahun kewangan koperasi (cth: Januari, April)</t>
        </is>
      </c>
    </row>
    <row r="8" ht="15" customHeight="1" s="60">
      <c r="A8" s="10" t="inlineStr">
        <is>
          <t>Simbol Mata Wang</t>
        </is>
      </c>
      <c r="B8" s="13" t="inlineStr">
        <is>
          <t>RM</t>
        </is>
      </c>
      <c r="C8" s="14" t="inlineStr">
        <is>
          <t>RM</t>
        </is>
      </c>
      <c r="D8" s="15" t="inlineStr">
        <is>
          <t>Digunakan pada semua format nombor wang</t>
        </is>
      </c>
    </row>
    <row r="9" ht="21.75" customHeight="1" s="60">
      <c r="A9" s="10" t="inlineStr">
        <is>
          <t>Bahasa Utama Aplikasi Web</t>
        </is>
      </c>
      <c r="B9" s="13" t="inlineStr">
        <is>
          <t>English</t>
        </is>
      </c>
      <c r="C9" s="14" t="inlineStr">
        <is>
          <t>English</t>
        </is>
      </c>
      <c r="D9" s="15" t="inlineStr">
        <is>
          <t>Bahasa lalai antara muka wizard; istilah perakaunan tetap ada tooltip BM (lihat Kamus_Istilah)</t>
        </is>
      </c>
    </row>
    <row r="10" ht="15" customHeight="1" s="60">
      <c r="A10" s="10" t="inlineStr">
        <is>
          <t>Kod Akaun Seterusnya — Aset</t>
        </is>
      </c>
      <c r="B10" s="13" t="n">
        <v>1150</v>
      </c>
      <c r="C10" s="14" t="n">
        <v>1150</v>
      </c>
      <c r="D10" s="15" t="inlineStr">
        <is>
          <t>Kod kosong seterusnya dalam julat 1000-1999</t>
        </is>
      </c>
    </row>
    <row r="11" ht="15" customHeight="1" s="60">
      <c r="A11" s="10" t="inlineStr">
        <is>
          <t>Kod Akaun Seterusnya — Liabiliti</t>
        </is>
      </c>
      <c r="B11" s="13" t="n">
        <v>2080</v>
      </c>
      <c r="C11" s="14" t="n">
        <v>2080</v>
      </c>
      <c r="D11" s="15" t="inlineStr">
        <is>
          <t>Kod kosong seterusnya dalam julat 2000-2999</t>
        </is>
      </c>
    </row>
    <row r="12" ht="15" customHeight="1" s="60">
      <c r="A12" s="10" t="inlineStr">
        <is>
          <t>Kod Akaun Seterusnya — Ekuiti</t>
        </is>
      </c>
      <c r="B12" s="13" t="n">
        <v>3070</v>
      </c>
      <c r="C12" s="14" t="n">
        <v>3070</v>
      </c>
      <c r="D12" s="15" t="inlineStr">
        <is>
          <t>Kod kosong seterusnya dalam julat 3000-3999</t>
        </is>
      </c>
    </row>
    <row r="13" ht="15" customHeight="1" s="60">
      <c r="A13" s="10" t="inlineStr">
        <is>
          <t>Kod Akaun Seterusnya — Hasil</t>
        </is>
      </c>
      <c r="B13" s="13" t="n">
        <v>4230</v>
      </c>
      <c r="C13" s="14" t="n">
        <v>4230</v>
      </c>
      <c r="D13" s="15" t="inlineStr">
        <is>
          <t>Kod kosong seterusnya dalam julat 4000-4999</t>
        </is>
      </c>
    </row>
    <row r="14" ht="15" customHeight="1" s="60">
      <c r="A14" s="10" t="inlineStr">
        <is>
          <t>Kod Akaun Seterusnya — Perbelanjaan</t>
        </is>
      </c>
      <c r="B14" s="13" t="n">
        <v>5430</v>
      </c>
      <c r="C14" s="14" t="n">
        <v>5430</v>
      </c>
      <c r="D14" s="15" t="inlineStr">
        <is>
          <t>Kod kosong seterusnya dalam julat 5000-5999</t>
        </is>
      </c>
    </row>
    <row r="15" ht="15" customHeight="1" s="60">
      <c r="A15" s="10" t="inlineStr">
        <is>
          <t>Kadar Rizab Statutori (%)</t>
        </is>
      </c>
      <c r="B15" s="17" t="n">
        <v>25</v>
      </c>
      <c r="C15" s="18" t="n">
        <v>25</v>
      </c>
      <c r="D15" s="11" t="inlineStr">
        <is>
          <t>s.57(1) Akta Koperasi 1993: 25% selagi Rizab &lt; 50% Modal Syer+Yuran, jatuh ke 15% selepas itu - semak sendiri kedudukan semasa</t>
        </is>
      </c>
    </row>
    <row r="16" ht="15" customHeight="1" s="60">
      <c r="A16" s="10" t="inlineStr">
        <is>
          <t>Kadar KWA Pendidikan Koperasi (%)</t>
        </is>
      </c>
      <c r="B16" s="17" t="n">
        <v>2</v>
      </c>
      <c r="C16" s="18" t="n">
        <v>2</v>
      </c>
      <c r="D16" s="11" t="inlineStr">
        <is>
          <t>Ikut arahan SKM semasa - sahkan kadar terkini</t>
        </is>
      </c>
    </row>
    <row r="17" ht="15" customHeight="1" s="60">
      <c r="A17" s="10" t="inlineStr">
        <is>
          <t>Kadar KWA Pembangunan Koperasi (%)</t>
        </is>
      </c>
      <c r="B17" s="17" t="n">
        <v>1</v>
      </c>
      <c r="C17" s="18" t="n">
        <v>1</v>
      </c>
      <c r="D17" s="11" t="inlineStr">
        <is>
          <t>Ikut arahan SKM semasa - sahkan kadar terkini</t>
        </is>
      </c>
    </row>
    <row r="18" ht="15" customHeight="1" s="60">
      <c r="A18" s="10" t="inlineStr">
        <is>
          <t>ID Transaksi Baki Pembukaan</t>
        </is>
      </c>
      <c r="B18" s="13" t="inlineStr">
        <is>
          <t>CONTOH-0000</t>
        </is>
      </c>
      <c r="C18" s="14" t="inlineStr">
        <is>
          <t>CONTOH-0000</t>
        </is>
      </c>
      <c r="D18" s="11" t="inlineStr">
        <is>
          <t>AT rujuk sel ini untuk kecualikan baki pembukaan daripada aliran tunai tempoh semasa. Skrip Tambah_Baki_Pembukaan.gs kemaskini ini automatik.</t>
        </is>
      </c>
    </row>
    <row r="19">
      <c r="A19" s="41" t="n"/>
      <c r="B19" s="41" t="n"/>
      <c r="C19" s="41" t="n"/>
      <c r="D19" s="41" t="n"/>
    </row>
    <row r="20">
      <c r="A20" s="41" t="n"/>
      <c r="B20" s="41" t="n"/>
      <c r="C20" s="41" t="n"/>
      <c r="D20" s="41" t="n"/>
    </row>
    <row r="21" ht="15.75" customHeight="1" s="60">
      <c r="A21" s="61" t="inlineStr">
        <is>
          <t>Tarikh Kunci Tempoh Kewangan</t>
        </is>
      </c>
      <c r="B21" s="62" t="n"/>
      <c r="C21" s="63" t="n"/>
      <c r="D21" s="64" t="inlineStr">
        <is>
          <t>Tarikh terakhir yang sudah dibentangkan kepada Lembaga - baris bertarikh pada atau sebelum ini akan ditanda amaran dalam Import Penyata Bank &amp; Rekonsiliasi Bank. Kosongkan untuk nyahaktifkan amaran ini.</t>
        </is>
      </c>
    </row>
    <row r="22" ht="15.75" customHeight="1" s="60">
      <c r="A22" s="61" t="inlineStr">
        <is>
          <t>Tahun Kewangan Susut Nilai Terakhir Dipos</t>
        </is>
      </c>
      <c r="B22" s="62" t="n"/>
      <c r="C22" s="63" t="n"/>
      <c r="D22" s="64" t="inlineStr">
        <is>
          <t>Diisi automatik oleh Pos Susut Nilai Aset selepas pos berjaya - jangan edit terus.</t>
        </is>
      </c>
    </row>
    <row r="23" ht="15.75" customHeight="1" s="60">
      <c r="A23" s="41" t="n"/>
      <c r="B23" s="41" t="n"/>
      <c r="C23" s="41" t="n"/>
      <c r="D23" s="41" t="n"/>
    </row>
    <row r="24" ht="15.75" customHeight="1" s="60">
      <c r="A24" s="41" t="n"/>
      <c r="B24" s="41" t="n"/>
      <c r="C24" s="41" t="n"/>
      <c r="D24" s="41" t="n"/>
    </row>
    <row r="25" ht="15.75" customHeight="1" s="60">
      <c r="A25" s="41" t="n"/>
      <c r="B25" s="41" t="n"/>
      <c r="C25" s="41" t="n"/>
      <c r="D25" s="41" t="n"/>
    </row>
    <row r="26" ht="15.75" customHeight="1" s="60">
      <c r="A26" s="41" t="n"/>
      <c r="B26" s="41" t="n"/>
      <c r="C26" s="41" t="n"/>
      <c r="D26" s="41" t="n"/>
    </row>
    <row r="27" ht="15.75" customHeight="1" s="60">
      <c r="A27" s="41" t="n"/>
      <c r="B27" s="41" t="n"/>
      <c r="C27" s="41" t="n"/>
      <c r="D27" s="41" t="n"/>
    </row>
    <row r="28" ht="15.75" customHeight="1" s="60">
      <c r="A28" s="41" t="n"/>
      <c r="B28" s="41" t="n"/>
      <c r="C28" s="41" t="n"/>
      <c r="D28" s="41" t="n"/>
    </row>
    <row r="29" ht="15.75" customHeight="1" s="60">
      <c r="A29" s="41" t="n"/>
      <c r="B29" s="41" t="n"/>
      <c r="C29" s="41" t="n"/>
      <c r="D29" s="41" t="n"/>
    </row>
    <row r="30" ht="15.75" customHeight="1" s="60">
      <c r="A30" s="41" t="n"/>
      <c r="B30" s="41" t="n"/>
      <c r="C30" s="41" t="n"/>
      <c r="D30" s="41" t="n"/>
    </row>
    <row r="31" ht="15.75" customHeight="1" s="60">
      <c r="A31" s="41" t="n"/>
      <c r="B31" s="41" t="n"/>
      <c r="C31" s="41" t="n"/>
      <c r="D31" s="41" t="n"/>
    </row>
    <row r="32" ht="15.75" customHeight="1" s="60">
      <c r="A32" s="41" t="n"/>
      <c r="B32" s="41" t="n"/>
      <c r="C32" s="41" t="n"/>
      <c r="D32" s="41" t="n"/>
    </row>
    <row r="33" ht="15.75" customHeight="1" s="60">
      <c r="A33" s="41" t="n"/>
      <c r="B33" s="41" t="n"/>
      <c r="C33" s="41" t="n"/>
      <c r="D33" s="41" t="n"/>
    </row>
    <row r="34" ht="15.75" customHeight="1" s="60">
      <c r="A34" s="41" t="n"/>
      <c r="B34" s="41" t="n"/>
      <c r="C34" s="41" t="n"/>
      <c r="D34" s="41" t="n"/>
    </row>
    <row r="35" ht="15.75" customHeight="1" s="60">
      <c r="A35" s="41" t="n"/>
      <c r="B35" s="41" t="n"/>
      <c r="C35" s="41" t="n"/>
      <c r="D35" s="41" t="n"/>
    </row>
    <row r="36" ht="15.75" customHeight="1" s="60">
      <c r="A36" s="41" t="n"/>
      <c r="B36" s="41" t="n"/>
      <c r="C36" s="41" t="n"/>
      <c r="D36" s="41" t="n"/>
    </row>
    <row r="37" ht="15.75" customHeight="1" s="60">
      <c r="A37" s="41" t="n"/>
      <c r="B37" s="41" t="n"/>
      <c r="C37" s="41" t="n"/>
      <c r="D37" s="41" t="n"/>
    </row>
    <row r="38" ht="15.75" customHeight="1" s="60">
      <c r="A38" s="41" t="n"/>
      <c r="B38" s="41" t="n"/>
      <c r="C38" s="41" t="n"/>
      <c r="D38" s="41" t="n"/>
    </row>
    <row r="39" ht="15.75" customHeight="1" s="60">
      <c r="A39" s="41" t="n"/>
      <c r="B39" s="41" t="n"/>
      <c r="C39" s="41" t="n"/>
      <c r="D39" s="41" t="n"/>
    </row>
    <row r="40" ht="15.75" customHeight="1" s="60">
      <c r="A40" s="41" t="n"/>
      <c r="B40" s="41" t="n"/>
      <c r="C40" s="41" t="n"/>
      <c r="D40" s="41" t="n"/>
    </row>
    <row r="41" ht="15.75" customHeight="1" s="60">
      <c r="A41" s="41" t="n"/>
      <c r="B41" s="41" t="n"/>
      <c r="C41" s="41" t="n"/>
      <c r="D41" s="41" t="n"/>
    </row>
    <row r="42" ht="15.75" customHeight="1" s="60">
      <c r="A42" s="41" t="n"/>
      <c r="B42" s="41" t="n"/>
      <c r="C42" s="41" t="n"/>
      <c r="D42" s="41" t="n"/>
    </row>
    <row r="43" ht="15.75" customHeight="1" s="60">
      <c r="A43" s="41" t="n"/>
      <c r="B43" s="41" t="n"/>
      <c r="C43" s="41" t="n"/>
      <c r="D43" s="41" t="n"/>
    </row>
    <row r="44" ht="15.75" customHeight="1" s="60">
      <c r="A44" s="41" t="n"/>
      <c r="B44" s="41" t="n"/>
      <c r="C44" s="41" t="n"/>
      <c r="D44" s="41" t="n"/>
    </row>
    <row r="45" ht="15.75" customHeight="1" s="60">
      <c r="A45" s="41" t="n"/>
      <c r="B45" s="41" t="n"/>
      <c r="C45" s="41" t="n"/>
      <c r="D45" s="41" t="n"/>
    </row>
    <row r="46" ht="15.75" customHeight="1" s="60">
      <c r="A46" s="41" t="n"/>
      <c r="B46" s="41" t="n"/>
      <c r="C46" s="41" t="n"/>
      <c r="D46" s="41" t="n"/>
    </row>
    <row r="47" ht="15.75" customHeight="1" s="60">
      <c r="A47" s="41" t="n"/>
      <c r="B47" s="41" t="n"/>
      <c r="C47" s="41" t="n"/>
      <c r="D47" s="41" t="n"/>
    </row>
    <row r="48" ht="15.75" customHeight="1" s="60">
      <c r="A48" s="41" t="n"/>
      <c r="B48" s="41" t="n"/>
      <c r="C48" s="41" t="n"/>
      <c r="D48" s="41" t="n"/>
    </row>
    <row r="49" ht="15.75" customHeight="1" s="60">
      <c r="A49" s="41" t="n"/>
      <c r="B49" s="41" t="n"/>
      <c r="C49" s="41" t="n"/>
      <c r="D49" s="41" t="n"/>
    </row>
    <row r="50" ht="15.75" customHeight="1" s="60">
      <c r="A50" s="41" t="n"/>
      <c r="B50" s="41" t="n"/>
      <c r="C50" s="41" t="n"/>
      <c r="D50" s="41" t="n"/>
    </row>
    <row r="51" ht="15.75" customHeight="1" s="60">
      <c r="A51" s="41" t="n"/>
      <c r="B51" s="41" t="n"/>
      <c r="C51" s="41" t="n"/>
      <c r="D51" s="41" t="n"/>
    </row>
    <row r="52" ht="15.75" customHeight="1" s="60">
      <c r="A52" s="41" t="n"/>
      <c r="B52" s="41" t="n"/>
      <c r="C52" s="41" t="n"/>
      <c r="D52" s="41" t="n"/>
    </row>
    <row r="53" ht="15.75" customHeight="1" s="60">
      <c r="A53" s="41" t="n"/>
      <c r="B53" s="41" t="n"/>
      <c r="C53" s="41" t="n"/>
      <c r="D53" s="41" t="n"/>
    </row>
    <row r="54" ht="15.75" customHeight="1" s="60">
      <c r="A54" s="41" t="n"/>
      <c r="B54" s="41" t="n"/>
      <c r="C54" s="41" t="n"/>
      <c r="D54" s="41" t="n"/>
    </row>
    <row r="55" ht="15.75" customHeight="1" s="60">
      <c r="A55" s="41" t="n"/>
      <c r="B55" s="41" t="n"/>
      <c r="C55" s="41" t="n"/>
      <c r="D55" s="41" t="n"/>
    </row>
    <row r="56" ht="15.75" customHeight="1" s="60">
      <c r="A56" s="41" t="n"/>
      <c r="B56" s="41" t="n"/>
      <c r="C56" s="41" t="n"/>
      <c r="D56" s="41" t="n"/>
    </row>
    <row r="57" ht="15.75" customHeight="1" s="60">
      <c r="A57" s="41" t="n"/>
      <c r="B57" s="41" t="n"/>
      <c r="C57" s="41" t="n"/>
      <c r="D57" s="41" t="n"/>
    </row>
    <row r="58" ht="15.75" customHeight="1" s="60">
      <c r="A58" s="41" t="n"/>
      <c r="B58" s="41" t="n"/>
      <c r="C58" s="41" t="n"/>
      <c r="D58" s="41" t="n"/>
    </row>
    <row r="59" ht="15.75" customHeight="1" s="60">
      <c r="A59" s="41" t="n"/>
      <c r="B59" s="41" t="n"/>
      <c r="C59" s="41" t="n"/>
      <c r="D59" s="41" t="n"/>
    </row>
    <row r="60" ht="15.75" customHeight="1" s="60">
      <c r="A60" s="41" t="n"/>
      <c r="B60" s="41" t="n"/>
      <c r="C60" s="41" t="n"/>
      <c r="D60" s="41" t="n"/>
    </row>
    <row r="61" ht="15.75" customHeight="1" s="60">
      <c r="A61" s="41" t="n"/>
      <c r="B61" s="41" t="n"/>
      <c r="C61" s="41" t="n"/>
      <c r="D61" s="41" t="n"/>
    </row>
    <row r="62" ht="15.75" customHeight="1" s="60">
      <c r="A62" s="41" t="n"/>
      <c r="B62" s="41" t="n"/>
      <c r="C62" s="41" t="n"/>
      <c r="D62" s="41" t="n"/>
    </row>
    <row r="63" ht="15.75" customHeight="1" s="60">
      <c r="A63" s="41" t="n"/>
      <c r="B63" s="41" t="n"/>
      <c r="C63" s="41" t="n"/>
      <c r="D63" s="41" t="n"/>
    </row>
    <row r="64" ht="15.75" customHeight="1" s="60">
      <c r="A64" s="41" t="n"/>
      <c r="B64" s="41" t="n"/>
      <c r="C64" s="41" t="n"/>
      <c r="D64" s="41" t="n"/>
    </row>
    <row r="65" ht="15.75" customHeight="1" s="60">
      <c r="A65" s="41" t="n"/>
      <c r="B65" s="41" t="n"/>
      <c r="C65" s="41" t="n"/>
      <c r="D65" s="41" t="n"/>
    </row>
    <row r="66" ht="15.75" customHeight="1" s="60">
      <c r="A66" s="41" t="n"/>
      <c r="B66" s="41" t="n"/>
      <c r="C66" s="41" t="n"/>
      <c r="D66" s="41" t="n"/>
    </row>
    <row r="67" ht="15.75" customHeight="1" s="60">
      <c r="A67" s="41" t="n"/>
      <c r="B67" s="41" t="n"/>
      <c r="C67" s="41" t="n"/>
      <c r="D67" s="41" t="n"/>
    </row>
    <row r="68" ht="15.75" customHeight="1" s="60">
      <c r="A68" s="41" t="n"/>
      <c r="B68" s="41" t="n"/>
      <c r="C68" s="41" t="n"/>
      <c r="D68" s="41" t="n"/>
    </row>
    <row r="69" ht="15.75" customHeight="1" s="60">
      <c r="A69" s="41" t="n"/>
      <c r="B69" s="41" t="n"/>
      <c r="C69" s="41" t="n"/>
      <c r="D69" s="41" t="n"/>
    </row>
    <row r="70" ht="15.75" customHeight="1" s="60">
      <c r="A70" s="41" t="n"/>
      <c r="B70" s="41" t="n"/>
      <c r="C70" s="41" t="n"/>
      <c r="D70" s="41" t="n"/>
    </row>
    <row r="71" ht="15.75" customHeight="1" s="60">
      <c r="A71" s="41" t="n"/>
      <c r="B71" s="41" t="n"/>
      <c r="C71" s="41" t="n"/>
      <c r="D71" s="41" t="n"/>
    </row>
    <row r="72" ht="15.75" customHeight="1" s="60">
      <c r="A72" s="41" t="n"/>
      <c r="B72" s="41" t="n"/>
      <c r="C72" s="41" t="n"/>
      <c r="D72" s="41" t="n"/>
    </row>
    <row r="73" ht="15.75" customHeight="1" s="60">
      <c r="A73" s="41" t="n"/>
      <c r="B73" s="41" t="n"/>
      <c r="C73" s="41" t="n"/>
      <c r="D73" s="41" t="n"/>
    </row>
    <row r="74" ht="15.75" customHeight="1" s="60">
      <c r="A74" s="41" t="n"/>
      <c r="B74" s="41" t="n"/>
      <c r="C74" s="41" t="n"/>
      <c r="D74" s="41" t="n"/>
    </row>
    <row r="75" ht="15.75" customHeight="1" s="60">
      <c r="A75" s="41" t="n"/>
      <c r="B75" s="41" t="n"/>
      <c r="C75" s="41" t="n"/>
      <c r="D75" s="41" t="n"/>
    </row>
    <row r="76" ht="15.75" customHeight="1" s="60">
      <c r="A76" s="41" t="n"/>
      <c r="B76" s="41" t="n"/>
      <c r="C76" s="41" t="n"/>
      <c r="D76" s="41" t="n"/>
    </row>
    <row r="77" ht="15.75" customHeight="1" s="60">
      <c r="A77" s="41" t="n"/>
      <c r="B77" s="41" t="n"/>
      <c r="C77" s="41" t="n"/>
      <c r="D77" s="41" t="n"/>
    </row>
    <row r="78" ht="15.75" customHeight="1" s="60">
      <c r="A78" s="41" t="n"/>
      <c r="B78" s="41" t="n"/>
      <c r="C78" s="41" t="n"/>
      <c r="D78" s="41" t="n"/>
    </row>
    <row r="79" ht="15.75" customHeight="1" s="60">
      <c r="A79" s="41" t="n"/>
      <c r="B79" s="41" t="n"/>
      <c r="C79" s="41" t="n"/>
      <c r="D79" s="41" t="n"/>
    </row>
    <row r="80" ht="15.75" customHeight="1" s="60">
      <c r="A80" s="41" t="n"/>
      <c r="B80" s="41" t="n"/>
      <c r="C80" s="41" t="n"/>
      <c r="D80" s="41" t="n"/>
    </row>
    <row r="81" ht="15.75" customHeight="1" s="60">
      <c r="A81" s="41" t="n"/>
      <c r="B81" s="41" t="n"/>
      <c r="C81" s="41" t="n"/>
      <c r="D81" s="41" t="n"/>
    </row>
    <row r="82" ht="15.75" customHeight="1" s="60">
      <c r="A82" s="41" t="n"/>
      <c r="B82" s="41" t="n"/>
      <c r="C82" s="41" t="n"/>
      <c r="D82" s="41" t="n"/>
    </row>
    <row r="83" ht="15.75" customHeight="1" s="60">
      <c r="A83" s="41" t="n"/>
      <c r="B83" s="41" t="n"/>
      <c r="C83" s="41" t="n"/>
      <c r="D83" s="41" t="n"/>
    </row>
    <row r="84" ht="15.75" customHeight="1" s="60">
      <c r="A84" s="41" t="n"/>
      <c r="B84" s="41" t="n"/>
      <c r="C84" s="41" t="n"/>
      <c r="D84" s="41" t="n"/>
    </row>
    <row r="85" ht="15.75" customHeight="1" s="60">
      <c r="A85" s="41" t="n"/>
      <c r="B85" s="41" t="n"/>
      <c r="C85" s="41" t="n"/>
      <c r="D85" s="41" t="n"/>
    </row>
    <row r="86" ht="15.75" customHeight="1" s="60">
      <c r="A86" s="41" t="n"/>
      <c r="B86" s="41" t="n"/>
      <c r="C86" s="41" t="n"/>
      <c r="D86" s="41" t="n"/>
    </row>
    <row r="87" ht="15.75" customHeight="1" s="60">
      <c r="A87" s="41" t="n"/>
      <c r="B87" s="41" t="n"/>
      <c r="C87" s="41" t="n"/>
      <c r="D87" s="41" t="n"/>
    </row>
    <row r="88" ht="15.75" customHeight="1" s="60">
      <c r="A88" s="41" t="n"/>
      <c r="B88" s="41" t="n"/>
      <c r="C88" s="41" t="n"/>
      <c r="D88" s="41" t="n"/>
    </row>
    <row r="89" ht="15.75" customHeight="1" s="60">
      <c r="A89" s="41" t="n"/>
      <c r="B89" s="41" t="n"/>
      <c r="C89" s="41" t="n"/>
      <c r="D89" s="41" t="n"/>
    </row>
    <row r="90" ht="15.75" customHeight="1" s="60">
      <c r="A90" s="41" t="n"/>
      <c r="B90" s="41" t="n"/>
      <c r="C90" s="41" t="n"/>
      <c r="D90" s="41" t="n"/>
    </row>
    <row r="91" ht="15.75" customHeight="1" s="60">
      <c r="A91" s="41" t="n"/>
      <c r="B91" s="41" t="n"/>
      <c r="C91" s="41" t="n"/>
      <c r="D91" s="41" t="n"/>
    </row>
    <row r="92" ht="15.75" customHeight="1" s="60">
      <c r="A92" s="41" t="n"/>
      <c r="B92" s="41" t="n"/>
      <c r="C92" s="41" t="n"/>
      <c r="D92" s="41" t="n"/>
    </row>
    <row r="93" ht="15.75" customHeight="1" s="60">
      <c r="A93" s="41" t="n"/>
      <c r="B93" s="41" t="n"/>
      <c r="C93" s="41" t="n"/>
      <c r="D93" s="41" t="n"/>
    </row>
    <row r="94" ht="15.75" customHeight="1" s="60">
      <c r="A94" s="41" t="n"/>
      <c r="B94" s="41" t="n"/>
      <c r="C94" s="41" t="n"/>
      <c r="D94" s="41" t="n"/>
    </row>
    <row r="95" ht="15.75" customHeight="1" s="60">
      <c r="A95" s="41" t="n"/>
      <c r="B95" s="41" t="n"/>
      <c r="C95" s="41" t="n"/>
      <c r="D95" s="41" t="n"/>
    </row>
    <row r="96" ht="15.75" customHeight="1" s="60">
      <c r="A96" s="41" t="n"/>
      <c r="B96" s="41" t="n"/>
      <c r="C96" s="41" t="n"/>
      <c r="D96" s="41" t="n"/>
    </row>
    <row r="97" ht="15.75" customHeight="1" s="60">
      <c r="A97" s="41" t="n"/>
      <c r="B97" s="41" t="n"/>
      <c r="C97" s="41" t="n"/>
      <c r="D97" s="41" t="n"/>
    </row>
    <row r="98" ht="15.75" customHeight="1" s="60">
      <c r="A98" s="41" t="n"/>
      <c r="B98" s="41" t="n"/>
      <c r="C98" s="41" t="n"/>
      <c r="D98" s="41" t="n"/>
    </row>
    <row r="99" ht="15.75" customHeight="1" s="60">
      <c r="A99" s="41" t="n"/>
      <c r="B99" s="41" t="n"/>
      <c r="C99" s="41" t="n"/>
      <c r="D99" s="41" t="n"/>
    </row>
    <row r="100" ht="15.75" customHeight="1" s="60">
      <c r="A100" s="41" t="n"/>
      <c r="B100" s="41" t="n"/>
      <c r="C100" s="41" t="n"/>
      <c r="D100" s="41" t="n"/>
    </row>
    <row r="101" ht="15.75" customHeight="1" s="60">
      <c r="A101" s="41" t="n"/>
      <c r="B101" s="41" t="n"/>
      <c r="C101" s="41" t="n"/>
      <c r="D101" s="41" t="n"/>
    </row>
    <row r="102" ht="15.75" customHeight="1" s="60">
      <c r="A102" s="41" t="n"/>
      <c r="B102" s="41" t="n"/>
      <c r="C102" s="41" t="n"/>
      <c r="D102" s="41" t="n"/>
    </row>
    <row r="103" ht="15.75" customHeight="1" s="60">
      <c r="A103" s="41" t="n"/>
      <c r="B103" s="41" t="n"/>
      <c r="C103" s="41" t="n"/>
      <c r="D103" s="41" t="n"/>
    </row>
    <row r="104" ht="15.75" customHeight="1" s="60">
      <c r="A104" s="41" t="n"/>
      <c r="B104" s="41" t="n"/>
      <c r="C104" s="41" t="n"/>
      <c r="D104" s="41" t="n"/>
    </row>
    <row r="105" ht="15.75" customHeight="1" s="60">
      <c r="A105" s="41" t="n"/>
      <c r="B105" s="41" t="n"/>
      <c r="C105" s="41" t="n"/>
      <c r="D105" s="41" t="n"/>
    </row>
    <row r="106" ht="15.75" customHeight="1" s="60">
      <c r="A106" s="41" t="n"/>
      <c r="B106" s="41" t="n"/>
      <c r="C106" s="41" t="n"/>
      <c r="D106" s="41" t="n"/>
    </row>
    <row r="107" ht="15.75" customHeight="1" s="60">
      <c r="A107" s="41" t="n"/>
      <c r="B107" s="41" t="n"/>
      <c r="C107" s="41" t="n"/>
      <c r="D107" s="41" t="n"/>
    </row>
    <row r="108" ht="15.75" customHeight="1" s="60">
      <c r="A108" s="41" t="n"/>
      <c r="B108" s="41" t="n"/>
      <c r="C108" s="41" t="n"/>
      <c r="D108" s="41" t="n"/>
    </row>
    <row r="109" ht="15.75" customHeight="1" s="60">
      <c r="A109" s="41" t="n"/>
      <c r="B109" s="41" t="n"/>
      <c r="C109" s="41" t="n"/>
      <c r="D109" s="41" t="n"/>
    </row>
    <row r="110" ht="15.75" customHeight="1" s="60">
      <c r="A110" s="41" t="n"/>
      <c r="B110" s="41" t="n"/>
      <c r="C110" s="41" t="n"/>
      <c r="D110" s="41" t="n"/>
    </row>
    <row r="111" ht="15.75" customHeight="1" s="60">
      <c r="A111" s="41" t="n"/>
      <c r="B111" s="41" t="n"/>
      <c r="C111" s="41" t="n"/>
      <c r="D111" s="41" t="n"/>
    </row>
    <row r="112" ht="15.75" customHeight="1" s="60">
      <c r="A112" s="41" t="n"/>
      <c r="B112" s="41" t="n"/>
      <c r="C112" s="41" t="n"/>
      <c r="D112" s="41" t="n"/>
    </row>
    <row r="113" ht="15.75" customHeight="1" s="60">
      <c r="A113" s="41" t="n"/>
      <c r="B113" s="41" t="n"/>
      <c r="C113" s="41" t="n"/>
      <c r="D113" s="41" t="n"/>
    </row>
    <row r="114" ht="15.75" customHeight="1" s="60">
      <c r="A114" s="41" t="n"/>
      <c r="B114" s="41" t="n"/>
      <c r="C114" s="41" t="n"/>
      <c r="D114" s="41" t="n"/>
    </row>
    <row r="115" ht="15.75" customHeight="1" s="60">
      <c r="A115" s="41" t="n"/>
      <c r="B115" s="41" t="n"/>
      <c r="C115" s="41" t="n"/>
      <c r="D115" s="41" t="n"/>
    </row>
    <row r="116" ht="15.75" customHeight="1" s="60">
      <c r="A116" s="41" t="n"/>
      <c r="B116" s="41" t="n"/>
      <c r="C116" s="41" t="n"/>
      <c r="D116" s="41" t="n"/>
    </row>
    <row r="117" ht="15.75" customHeight="1" s="60">
      <c r="A117" s="41" t="n"/>
      <c r="B117" s="41" t="n"/>
      <c r="C117" s="41" t="n"/>
      <c r="D117" s="41" t="n"/>
    </row>
    <row r="118" ht="15.75" customHeight="1" s="60">
      <c r="A118" s="41" t="n"/>
      <c r="B118" s="41" t="n"/>
      <c r="C118" s="41" t="n"/>
      <c r="D118" s="41" t="n"/>
    </row>
    <row r="119" ht="15.75" customHeight="1" s="60">
      <c r="A119" s="41" t="n"/>
      <c r="B119" s="41" t="n"/>
      <c r="C119" s="41" t="n"/>
      <c r="D119" s="41" t="n"/>
    </row>
    <row r="120" ht="15.75" customHeight="1" s="60">
      <c r="A120" s="41" t="n"/>
      <c r="B120" s="41" t="n"/>
      <c r="C120" s="41" t="n"/>
      <c r="D120" s="41" t="n"/>
    </row>
    <row r="121" ht="15.75" customHeight="1" s="60">
      <c r="A121" s="41" t="n"/>
      <c r="B121" s="41" t="n"/>
      <c r="C121" s="41" t="n"/>
      <c r="D121" s="41" t="n"/>
    </row>
    <row r="122" ht="15.75" customHeight="1" s="60">
      <c r="A122" s="41" t="n"/>
      <c r="B122" s="41" t="n"/>
      <c r="C122" s="41" t="n"/>
      <c r="D122" s="41" t="n"/>
    </row>
    <row r="123" ht="15.75" customHeight="1" s="60">
      <c r="A123" s="41" t="n"/>
      <c r="B123" s="41" t="n"/>
      <c r="C123" s="41" t="n"/>
      <c r="D123" s="41" t="n"/>
    </row>
    <row r="124" ht="15.75" customHeight="1" s="60">
      <c r="A124" s="41" t="n"/>
      <c r="B124" s="41" t="n"/>
      <c r="C124" s="41" t="n"/>
      <c r="D124" s="41" t="n"/>
    </row>
    <row r="125" ht="15.75" customHeight="1" s="60">
      <c r="A125" s="41" t="n"/>
      <c r="B125" s="41" t="n"/>
      <c r="C125" s="41" t="n"/>
      <c r="D125" s="41" t="n"/>
    </row>
    <row r="126" ht="15.75" customHeight="1" s="60">
      <c r="A126" s="41" t="n"/>
      <c r="B126" s="41" t="n"/>
      <c r="C126" s="41" t="n"/>
      <c r="D126" s="41" t="n"/>
    </row>
    <row r="127" ht="15.75" customHeight="1" s="60">
      <c r="A127" s="41" t="n"/>
      <c r="B127" s="41" t="n"/>
      <c r="C127" s="41" t="n"/>
      <c r="D127" s="41" t="n"/>
    </row>
    <row r="128" ht="15.75" customHeight="1" s="60">
      <c r="A128" s="41" t="n"/>
      <c r="B128" s="41" t="n"/>
      <c r="C128" s="41" t="n"/>
      <c r="D128" s="41" t="n"/>
    </row>
    <row r="129" ht="15.75" customHeight="1" s="60">
      <c r="A129" s="41" t="n"/>
      <c r="B129" s="41" t="n"/>
      <c r="C129" s="41" t="n"/>
      <c r="D129" s="41" t="n"/>
    </row>
    <row r="130" ht="15.75" customHeight="1" s="60">
      <c r="A130" s="41" t="n"/>
      <c r="B130" s="41" t="n"/>
      <c r="C130" s="41" t="n"/>
      <c r="D130" s="41" t="n"/>
    </row>
    <row r="131" ht="15.75" customHeight="1" s="60">
      <c r="A131" s="41" t="n"/>
      <c r="B131" s="41" t="n"/>
      <c r="C131" s="41" t="n"/>
      <c r="D131" s="41" t="n"/>
    </row>
    <row r="132" ht="15.75" customHeight="1" s="60">
      <c r="A132" s="41" t="n"/>
      <c r="B132" s="41" t="n"/>
      <c r="C132" s="41" t="n"/>
      <c r="D132" s="41" t="n"/>
    </row>
    <row r="133" ht="15.75" customHeight="1" s="60">
      <c r="A133" s="41" t="n"/>
      <c r="B133" s="41" t="n"/>
      <c r="C133" s="41" t="n"/>
      <c r="D133" s="41" t="n"/>
    </row>
    <row r="134" ht="15.75" customHeight="1" s="60">
      <c r="A134" s="41" t="n"/>
      <c r="B134" s="41" t="n"/>
      <c r="C134" s="41" t="n"/>
      <c r="D134" s="41" t="n"/>
    </row>
    <row r="135" ht="15.75" customHeight="1" s="60">
      <c r="A135" s="41" t="n"/>
      <c r="B135" s="41" t="n"/>
      <c r="C135" s="41" t="n"/>
      <c r="D135" s="41" t="n"/>
    </row>
    <row r="136" ht="15.75" customHeight="1" s="60">
      <c r="A136" s="41" t="n"/>
      <c r="B136" s="41" t="n"/>
      <c r="C136" s="41" t="n"/>
      <c r="D136" s="41" t="n"/>
    </row>
    <row r="137" ht="15.75" customHeight="1" s="60">
      <c r="A137" s="41" t="n"/>
      <c r="B137" s="41" t="n"/>
      <c r="C137" s="41" t="n"/>
      <c r="D137" s="41" t="n"/>
    </row>
    <row r="138" ht="15.75" customHeight="1" s="60">
      <c r="A138" s="41" t="n"/>
      <c r="B138" s="41" t="n"/>
      <c r="C138" s="41" t="n"/>
      <c r="D138" s="41" t="n"/>
    </row>
    <row r="139" ht="15.75" customHeight="1" s="60">
      <c r="A139" s="41" t="n"/>
      <c r="B139" s="41" t="n"/>
      <c r="C139" s="41" t="n"/>
      <c r="D139" s="41" t="n"/>
    </row>
    <row r="140" ht="15.75" customHeight="1" s="60">
      <c r="A140" s="41" t="n"/>
      <c r="B140" s="41" t="n"/>
      <c r="C140" s="41" t="n"/>
      <c r="D140" s="41" t="n"/>
    </row>
    <row r="141" ht="15.75" customHeight="1" s="60">
      <c r="A141" s="41" t="n"/>
      <c r="B141" s="41" t="n"/>
      <c r="C141" s="41" t="n"/>
      <c r="D141" s="41" t="n"/>
    </row>
    <row r="142" ht="15.75" customHeight="1" s="60">
      <c r="A142" s="41" t="n"/>
      <c r="B142" s="41" t="n"/>
      <c r="C142" s="41" t="n"/>
      <c r="D142" s="41" t="n"/>
    </row>
    <row r="143" ht="15.75" customHeight="1" s="60">
      <c r="A143" s="41" t="n"/>
      <c r="B143" s="41" t="n"/>
      <c r="C143" s="41" t="n"/>
      <c r="D143" s="41" t="n"/>
    </row>
    <row r="144" ht="15.75" customHeight="1" s="60">
      <c r="A144" s="41" t="n"/>
      <c r="B144" s="41" t="n"/>
      <c r="C144" s="41" t="n"/>
      <c r="D144" s="41" t="n"/>
    </row>
    <row r="145" ht="15.75" customHeight="1" s="60">
      <c r="A145" s="41" t="n"/>
      <c r="B145" s="41" t="n"/>
      <c r="C145" s="41" t="n"/>
      <c r="D145" s="41" t="n"/>
    </row>
    <row r="146" ht="15.75" customHeight="1" s="60">
      <c r="A146" s="41" t="n"/>
      <c r="B146" s="41" t="n"/>
      <c r="C146" s="41" t="n"/>
      <c r="D146" s="41" t="n"/>
    </row>
    <row r="147" ht="15.75" customHeight="1" s="60">
      <c r="A147" s="41" t="n"/>
      <c r="B147" s="41" t="n"/>
      <c r="C147" s="41" t="n"/>
      <c r="D147" s="41" t="n"/>
    </row>
    <row r="148" ht="15.75" customHeight="1" s="60">
      <c r="A148" s="41" t="n"/>
      <c r="B148" s="41" t="n"/>
      <c r="C148" s="41" t="n"/>
      <c r="D148" s="41" t="n"/>
    </row>
    <row r="149" ht="15.75" customHeight="1" s="60">
      <c r="A149" s="41" t="n"/>
      <c r="B149" s="41" t="n"/>
      <c r="C149" s="41" t="n"/>
      <c r="D149" s="41" t="n"/>
    </row>
    <row r="150" ht="15.75" customHeight="1" s="60">
      <c r="A150" s="41" t="n"/>
      <c r="B150" s="41" t="n"/>
      <c r="C150" s="41" t="n"/>
      <c r="D150" s="41" t="n"/>
    </row>
    <row r="151" ht="15.75" customHeight="1" s="60">
      <c r="A151" s="41" t="n"/>
      <c r="B151" s="41" t="n"/>
      <c r="C151" s="41" t="n"/>
      <c r="D151" s="41" t="n"/>
    </row>
    <row r="152" ht="15.75" customHeight="1" s="60">
      <c r="A152" s="41" t="n"/>
      <c r="B152" s="41" t="n"/>
      <c r="C152" s="41" t="n"/>
      <c r="D152" s="41" t="n"/>
    </row>
    <row r="153" ht="15.75" customHeight="1" s="60">
      <c r="A153" s="41" t="n"/>
      <c r="B153" s="41" t="n"/>
      <c r="C153" s="41" t="n"/>
      <c r="D153" s="41" t="n"/>
    </row>
    <row r="154" ht="15.75" customHeight="1" s="60">
      <c r="A154" s="41" t="n"/>
      <c r="B154" s="41" t="n"/>
      <c r="C154" s="41" t="n"/>
      <c r="D154" s="41" t="n"/>
    </row>
    <row r="155" ht="15.75" customHeight="1" s="60">
      <c r="A155" s="41" t="n"/>
      <c r="B155" s="41" t="n"/>
      <c r="C155" s="41" t="n"/>
      <c r="D155" s="41" t="n"/>
    </row>
    <row r="156" ht="15.75" customHeight="1" s="60">
      <c r="A156" s="41" t="n"/>
      <c r="B156" s="41" t="n"/>
      <c r="C156" s="41" t="n"/>
      <c r="D156" s="41" t="n"/>
    </row>
    <row r="157" ht="15.75" customHeight="1" s="60">
      <c r="A157" s="41" t="n"/>
      <c r="B157" s="41" t="n"/>
      <c r="C157" s="41" t="n"/>
      <c r="D157" s="41" t="n"/>
    </row>
    <row r="158" ht="15.75" customHeight="1" s="60">
      <c r="A158" s="41" t="n"/>
      <c r="B158" s="41" t="n"/>
      <c r="C158" s="41" t="n"/>
      <c r="D158" s="41" t="n"/>
    </row>
    <row r="159" ht="15.75" customHeight="1" s="60">
      <c r="A159" s="41" t="n"/>
      <c r="B159" s="41" t="n"/>
      <c r="C159" s="41" t="n"/>
      <c r="D159" s="41" t="n"/>
    </row>
    <row r="160" ht="15.75" customHeight="1" s="60">
      <c r="A160" s="41" t="n"/>
      <c r="B160" s="41" t="n"/>
      <c r="C160" s="41" t="n"/>
      <c r="D160" s="41" t="n"/>
    </row>
    <row r="161" ht="15.75" customHeight="1" s="60">
      <c r="A161" s="41" t="n"/>
      <c r="B161" s="41" t="n"/>
      <c r="C161" s="41" t="n"/>
      <c r="D161" s="41" t="n"/>
    </row>
    <row r="162" ht="15.75" customHeight="1" s="60">
      <c r="A162" s="41" t="n"/>
      <c r="B162" s="41" t="n"/>
      <c r="C162" s="41" t="n"/>
      <c r="D162" s="41" t="n"/>
    </row>
    <row r="163" ht="15.75" customHeight="1" s="60">
      <c r="A163" s="41" t="n"/>
      <c r="B163" s="41" t="n"/>
      <c r="C163" s="41" t="n"/>
      <c r="D163" s="41" t="n"/>
    </row>
    <row r="164" ht="15.75" customHeight="1" s="60">
      <c r="A164" s="41" t="n"/>
      <c r="B164" s="41" t="n"/>
      <c r="C164" s="41" t="n"/>
      <c r="D164" s="41" t="n"/>
    </row>
    <row r="165" ht="15.75" customHeight="1" s="60">
      <c r="A165" s="41" t="n"/>
      <c r="B165" s="41" t="n"/>
      <c r="C165" s="41" t="n"/>
      <c r="D165" s="41" t="n"/>
    </row>
    <row r="166" ht="15.75" customHeight="1" s="60">
      <c r="A166" s="41" t="n"/>
      <c r="B166" s="41" t="n"/>
      <c r="C166" s="41" t="n"/>
      <c r="D166" s="41" t="n"/>
    </row>
    <row r="167" ht="15.75" customHeight="1" s="60">
      <c r="A167" s="41" t="n"/>
      <c r="B167" s="41" t="n"/>
      <c r="C167" s="41" t="n"/>
      <c r="D167" s="41" t="n"/>
    </row>
    <row r="168" ht="15.75" customHeight="1" s="60">
      <c r="A168" s="41" t="n"/>
      <c r="B168" s="41" t="n"/>
      <c r="C168" s="41" t="n"/>
      <c r="D168" s="41" t="n"/>
    </row>
    <row r="169" ht="15.75" customHeight="1" s="60">
      <c r="A169" s="41" t="n"/>
      <c r="B169" s="41" t="n"/>
      <c r="C169" s="41" t="n"/>
      <c r="D169" s="41" t="n"/>
    </row>
    <row r="170" ht="15.75" customHeight="1" s="60">
      <c r="A170" s="41" t="n"/>
      <c r="B170" s="41" t="n"/>
      <c r="C170" s="41" t="n"/>
      <c r="D170" s="41" t="n"/>
    </row>
    <row r="171" ht="15.75" customHeight="1" s="60">
      <c r="A171" s="41" t="n"/>
      <c r="B171" s="41" t="n"/>
      <c r="C171" s="41" t="n"/>
      <c r="D171" s="41" t="n"/>
    </row>
    <row r="172" ht="15.75" customHeight="1" s="60">
      <c r="A172" s="41" t="n"/>
      <c r="B172" s="41" t="n"/>
      <c r="C172" s="41" t="n"/>
      <c r="D172" s="41" t="n"/>
    </row>
    <row r="173" ht="15.75" customHeight="1" s="60">
      <c r="A173" s="41" t="n"/>
      <c r="B173" s="41" t="n"/>
      <c r="C173" s="41" t="n"/>
      <c r="D173" s="41" t="n"/>
    </row>
    <row r="174" ht="15.75" customHeight="1" s="60">
      <c r="A174" s="41" t="n"/>
      <c r="B174" s="41" t="n"/>
      <c r="C174" s="41" t="n"/>
      <c r="D174" s="41" t="n"/>
    </row>
    <row r="175" ht="15.75" customHeight="1" s="60">
      <c r="A175" s="41" t="n"/>
      <c r="B175" s="41" t="n"/>
      <c r="C175" s="41" t="n"/>
      <c r="D175" s="41" t="n"/>
    </row>
    <row r="176" ht="15.75" customHeight="1" s="60">
      <c r="A176" s="41" t="n"/>
      <c r="B176" s="41" t="n"/>
      <c r="C176" s="41" t="n"/>
      <c r="D176" s="41" t="n"/>
    </row>
    <row r="177" ht="15.75" customHeight="1" s="60">
      <c r="A177" s="41" t="n"/>
      <c r="B177" s="41" t="n"/>
      <c r="C177" s="41" t="n"/>
      <c r="D177" s="41" t="n"/>
    </row>
    <row r="178" ht="15.75" customHeight="1" s="60">
      <c r="A178" s="41" t="n"/>
      <c r="B178" s="41" t="n"/>
      <c r="C178" s="41" t="n"/>
      <c r="D178" s="41" t="n"/>
    </row>
    <row r="179" ht="15.75" customHeight="1" s="60">
      <c r="A179" s="41" t="n"/>
      <c r="B179" s="41" t="n"/>
      <c r="C179" s="41" t="n"/>
      <c r="D179" s="41" t="n"/>
    </row>
    <row r="180" ht="15.75" customHeight="1" s="60">
      <c r="A180" s="41" t="n"/>
      <c r="B180" s="41" t="n"/>
      <c r="C180" s="41" t="n"/>
      <c r="D180" s="41" t="n"/>
    </row>
    <row r="181" ht="15.75" customHeight="1" s="60">
      <c r="A181" s="41" t="n"/>
      <c r="B181" s="41" t="n"/>
      <c r="C181" s="41" t="n"/>
      <c r="D181" s="41" t="n"/>
    </row>
    <row r="182" ht="15.75" customHeight="1" s="60">
      <c r="A182" s="41" t="n"/>
      <c r="B182" s="41" t="n"/>
      <c r="C182" s="41" t="n"/>
      <c r="D182" s="41" t="n"/>
    </row>
    <row r="183" ht="15.75" customHeight="1" s="60">
      <c r="A183" s="41" t="n"/>
      <c r="B183" s="41" t="n"/>
      <c r="C183" s="41" t="n"/>
      <c r="D183" s="41" t="n"/>
    </row>
    <row r="184" ht="15.75" customHeight="1" s="60">
      <c r="A184" s="41" t="n"/>
      <c r="B184" s="41" t="n"/>
      <c r="C184" s="41" t="n"/>
      <c r="D184" s="41" t="n"/>
    </row>
    <row r="185" ht="15.75" customHeight="1" s="60">
      <c r="A185" s="41" t="n"/>
      <c r="B185" s="41" t="n"/>
      <c r="C185" s="41" t="n"/>
      <c r="D185" s="41" t="n"/>
    </row>
    <row r="186" ht="15.75" customHeight="1" s="60">
      <c r="A186" s="41" t="n"/>
      <c r="B186" s="41" t="n"/>
      <c r="C186" s="41" t="n"/>
      <c r="D186" s="41" t="n"/>
    </row>
    <row r="187" ht="15.75" customHeight="1" s="60">
      <c r="A187" s="41" t="n"/>
      <c r="B187" s="41" t="n"/>
      <c r="C187" s="41" t="n"/>
      <c r="D187" s="41" t="n"/>
    </row>
    <row r="188" ht="15.75" customHeight="1" s="60">
      <c r="A188" s="41" t="n"/>
      <c r="B188" s="41" t="n"/>
      <c r="C188" s="41" t="n"/>
      <c r="D188" s="41" t="n"/>
    </row>
    <row r="189" ht="15.75" customHeight="1" s="60">
      <c r="A189" s="41" t="n"/>
      <c r="B189" s="41" t="n"/>
      <c r="C189" s="41" t="n"/>
      <c r="D189" s="41" t="n"/>
    </row>
    <row r="190" ht="15.75" customHeight="1" s="60">
      <c r="A190" s="41" t="n"/>
      <c r="B190" s="41" t="n"/>
      <c r="C190" s="41" t="n"/>
      <c r="D190" s="41" t="n"/>
    </row>
    <row r="191" ht="15.75" customHeight="1" s="60">
      <c r="A191" s="41" t="n"/>
      <c r="B191" s="41" t="n"/>
      <c r="C191" s="41" t="n"/>
      <c r="D191" s="41" t="n"/>
    </row>
    <row r="192" ht="15.75" customHeight="1" s="60">
      <c r="A192" s="41" t="n"/>
      <c r="B192" s="41" t="n"/>
      <c r="C192" s="41" t="n"/>
      <c r="D192" s="41" t="n"/>
    </row>
    <row r="193" ht="15.75" customHeight="1" s="60">
      <c r="A193" s="41" t="n"/>
      <c r="B193" s="41" t="n"/>
      <c r="C193" s="41" t="n"/>
      <c r="D193" s="41" t="n"/>
    </row>
    <row r="194" ht="15.75" customHeight="1" s="60">
      <c r="A194" s="41" t="n"/>
      <c r="B194" s="41" t="n"/>
      <c r="C194" s="41" t="n"/>
      <c r="D194" s="41" t="n"/>
    </row>
    <row r="195" ht="15.75" customHeight="1" s="60">
      <c r="A195" s="41" t="n"/>
      <c r="B195" s="41" t="n"/>
      <c r="C195" s="41" t="n"/>
      <c r="D195" s="41" t="n"/>
    </row>
    <row r="196" ht="15.75" customHeight="1" s="60">
      <c r="A196" s="41" t="n"/>
      <c r="B196" s="41" t="n"/>
      <c r="C196" s="41" t="n"/>
      <c r="D196" s="41" t="n"/>
    </row>
    <row r="197" ht="15.75" customHeight="1" s="60">
      <c r="A197" s="41" t="n"/>
      <c r="B197" s="41" t="n"/>
      <c r="C197" s="41" t="n"/>
      <c r="D197" s="41" t="n"/>
    </row>
    <row r="198" ht="15.75" customHeight="1" s="60">
      <c r="A198" s="41" t="n"/>
      <c r="B198" s="41" t="n"/>
      <c r="C198" s="41" t="n"/>
      <c r="D198" s="41" t="n"/>
    </row>
    <row r="199" ht="15.75" customHeight="1" s="60">
      <c r="A199" s="41" t="n"/>
      <c r="B199" s="41" t="n"/>
      <c r="C199" s="41" t="n"/>
      <c r="D199" s="41" t="n"/>
    </row>
    <row r="200" ht="15.75" customHeight="1" s="60">
      <c r="A200" s="41" t="n"/>
      <c r="B200" s="41" t="n"/>
      <c r="C200" s="41" t="n"/>
      <c r="D200" s="41" t="n"/>
    </row>
    <row r="201" ht="15.75" customHeight="1" s="60">
      <c r="A201" s="41" t="n"/>
      <c r="B201" s="41" t="n"/>
      <c r="C201" s="41" t="n"/>
      <c r="D201" s="41" t="n"/>
    </row>
    <row r="202" ht="15.75" customHeight="1" s="60">
      <c r="A202" s="41" t="n"/>
      <c r="B202" s="41" t="n"/>
      <c r="C202" s="41" t="n"/>
      <c r="D202" s="41" t="n"/>
    </row>
    <row r="203" ht="15.75" customHeight="1" s="60">
      <c r="A203" s="41" t="n"/>
      <c r="B203" s="41" t="n"/>
      <c r="C203" s="41" t="n"/>
      <c r="D203" s="41" t="n"/>
    </row>
    <row r="204" ht="15.75" customHeight="1" s="60">
      <c r="A204" s="41" t="n"/>
      <c r="B204" s="41" t="n"/>
      <c r="C204" s="41" t="n"/>
      <c r="D204" s="41" t="n"/>
    </row>
    <row r="205" ht="15.75" customHeight="1" s="60">
      <c r="A205" s="41" t="n"/>
      <c r="B205" s="41" t="n"/>
      <c r="C205" s="41" t="n"/>
      <c r="D205" s="41" t="n"/>
    </row>
    <row r="206" ht="15.75" customHeight="1" s="60">
      <c r="A206" s="41" t="n"/>
      <c r="B206" s="41" t="n"/>
      <c r="C206" s="41" t="n"/>
      <c r="D206" s="41" t="n"/>
    </row>
    <row r="207" ht="15.75" customHeight="1" s="60">
      <c r="A207" s="41" t="n"/>
      <c r="B207" s="41" t="n"/>
      <c r="C207" s="41" t="n"/>
      <c r="D207" s="41" t="n"/>
    </row>
    <row r="208" ht="15.75" customHeight="1" s="60">
      <c r="A208" s="41" t="n"/>
      <c r="B208" s="41" t="n"/>
      <c r="C208" s="41" t="n"/>
      <c r="D208" s="41" t="n"/>
    </row>
    <row r="209" ht="15.75" customHeight="1" s="60">
      <c r="A209" s="41" t="n"/>
      <c r="B209" s="41" t="n"/>
      <c r="C209" s="41" t="n"/>
      <c r="D209" s="41" t="n"/>
    </row>
    <row r="210" ht="15.75" customHeight="1" s="60">
      <c r="A210" s="41" t="n"/>
      <c r="B210" s="41" t="n"/>
      <c r="C210" s="41" t="n"/>
      <c r="D210" s="41" t="n"/>
    </row>
    <row r="211" ht="15.75" customHeight="1" s="60">
      <c r="A211" s="41" t="n"/>
      <c r="B211" s="41" t="n"/>
      <c r="C211" s="41" t="n"/>
      <c r="D211" s="41" t="n"/>
    </row>
    <row r="212" ht="15.75" customHeight="1" s="60">
      <c r="A212" s="41" t="n"/>
      <c r="B212" s="41" t="n"/>
      <c r="C212" s="41" t="n"/>
      <c r="D212" s="41" t="n"/>
    </row>
    <row r="213" ht="15.75" customHeight="1" s="60">
      <c r="A213" s="41" t="n"/>
      <c r="B213" s="41" t="n"/>
      <c r="C213" s="41" t="n"/>
      <c r="D213" s="41" t="n"/>
    </row>
    <row r="214" ht="15.75" customHeight="1" s="60">
      <c r="A214" s="41" t="n"/>
      <c r="B214" s="41" t="n"/>
      <c r="C214" s="41" t="n"/>
      <c r="D214" s="41" t="n"/>
    </row>
    <row r="215" ht="15.75" customHeight="1" s="60">
      <c r="A215" s="41" t="n"/>
      <c r="B215" s="41" t="n"/>
      <c r="C215" s="41" t="n"/>
      <c r="D215" s="41" t="n"/>
    </row>
    <row r="216" ht="15.75" customHeight="1" s="60">
      <c r="A216" s="41" t="n"/>
      <c r="B216" s="41" t="n"/>
      <c r="C216" s="41" t="n"/>
      <c r="D216" s="41" t="n"/>
    </row>
    <row r="217" ht="15.75" customHeight="1" s="60">
      <c r="A217" s="41" t="n"/>
      <c r="B217" s="41" t="n"/>
      <c r="C217" s="41" t="n"/>
      <c r="D217" s="41" t="n"/>
    </row>
    <row r="218" ht="15.75" customHeight="1" s="60">
      <c r="A218" s="41" t="n"/>
      <c r="B218" s="41" t="n"/>
      <c r="C218" s="41" t="n"/>
      <c r="D218" s="41" t="n"/>
    </row>
    <row r="219" ht="15.75" customHeight="1" s="60">
      <c r="A219" s="41" t="n"/>
      <c r="B219" s="41" t="n"/>
      <c r="C219" s="41" t="n"/>
      <c r="D219" s="41" t="n"/>
    </row>
    <row r="220" ht="15.75" customHeight="1" s="60">
      <c r="A220" s="41" t="n"/>
      <c r="B220" s="41" t="n"/>
      <c r="C220" s="41" t="n"/>
      <c r="D220" s="41" t="n"/>
    </row>
    <row r="221" ht="15.75" customHeight="1" s="60">
      <c r="A221" s="41" t="n"/>
      <c r="B221" s="41" t="n"/>
      <c r="C221" s="41" t="n"/>
      <c r="D221" s="41" t="n"/>
    </row>
    <row r="222" ht="15.75" customHeight="1" s="60">
      <c r="A222" s="41" t="n"/>
      <c r="B222" s="41" t="n"/>
      <c r="C222" s="41" t="n"/>
      <c r="D222" s="41" t="n"/>
    </row>
    <row r="223" ht="15.75" customHeight="1" s="60">
      <c r="A223" s="41" t="n"/>
      <c r="B223" s="41" t="n"/>
      <c r="C223" s="41" t="n"/>
      <c r="D223" s="41" t="n"/>
    </row>
    <row r="224" ht="15.75" customHeight="1" s="60">
      <c r="A224" s="41" t="n"/>
      <c r="B224" s="41" t="n"/>
      <c r="C224" s="41" t="n"/>
      <c r="D224" s="41" t="n"/>
    </row>
    <row r="225" ht="15.75" customHeight="1" s="60">
      <c r="A225" s="41" t="n"/>
      <c r="B225" s="41" t="n"/>
      <c r="C225" s="41" t="n"/>
      <c r="D225" s="41" t="n"/>
    </row>
    <row r="226" ht="15.75" customHeight="1" s="60">
      <c r="A226" s="41" t="n"/>
      <c r="B226" s="41" t="n"/>
      <c r="C226" s="41" t="n"/>
      <c r="D226" s="41" t="n"/>
    </row>
    <row r="227" ht="15.75" customHeight="1" s="60">
      <c r="A227" s="41" t="n"/>
      <c r="B227" s="41" t="n"/>
      <c r="C227" s="41" t="n"/>
      <c r="D227" s="41" t="n"/>
    </row>
    <row r="228" ht="15.75" customHeight="1" s="60">
      <c r="A228" s="41" t="n"/>
      <c r="B228" s="41" t="n"/>
      <c r="C228" s="41" t="n"/>
      <c r="D228" s="41" t="n"/>
    </row>
    <row r="229" ht="15.75" customHeight="1" s="60">
      <c r="A229" s="41" t="n"/>
      <c r="B229" s="41" t="n"/>
      <c r="C229" s="41" t="n"/>
      <c r="D229" s="41" t="n"/>
    </row>
    <row r="230" ht="15.75" customHeight="1" s="60">
      <c r="A230" s="41" t="n"/>
      <c r="B230" s="41" t="n"/>
      <c r="C230" s="41" t="n"/>
      <c r="D230" s="41" t="n"/>
    </row>
    <row r="231" ht="15.75" customHeight="1" s="60">
      <c r="A231" s="41" t="n"/>
      <c r="B231" s="41" t="n"/>
      <c r="C231" s="41" t="n"/>
      <c r="D231" s="41" t="n"/>
    </row>
    <row r="232" ht="15.75" customHeight="1" s="60">
      <c r="A232" s="41" t="n"/>
      <c r="B232" s="41" t="n"/>
      <c r="C232" s="41" t="n"/>
      <c r="D232" s="41" t="n"/>
    </row>
    <row r="233" ht="15.75" customHeight="1" s="60">
      <c r="A233" s="41" t="n"/>
      <c r="B233" s="41" t="n"/>
      <c r="C233" s="41" t="n"/>
      <c r="D233" s="41" t="n"/>
    </row>
    <row r="234" ht="15.75" customHeight="1" s="60">
      <c r="A234" s="41" t="n"/>
      <c r="B234" s="41" t="n"/>
      <c r="C234" s="41" t="n"/>
      <c r="D234" s="41" t="n"/>
    </row>
    <row r="235" ht="15.75" customHeight="1" s="60">
      <c r="A235" s="41" t="n"/>
      <c r="B235" s="41" t="n"/>
      <c r="C235" s="41" t="n"/>
      <c r="D235" s="41" t="n"/>
    </row>
    <row r="236" ht="15.75" customHeight="1" s="60">
      <c r="A236" s="41" t="n"/>
      <c r="B236" s="41" t="n"/>
      <c r="C236" s="41" t="n"/>
      <c r="D236" s="41" t="n"/>
    </row>
    <row r="237" ht="15.75" customHeight="1" s="60">
      <c r="A237" s="41" t="n"/>
      <c r="B237" s="41" t="n"/>
      <c r="C237" s="41" t="n"/>
      <c r="D237" s="41" t="n"/>
    </row>
    <row r="238" ht="15.75" customHeight="1" s="60">
      <c r="A238" s="41" t="n"/>
      <c r="B238" s="41" t="n"/>
      <c r="C238" s="41" t="n"/>
      <c r="D238" s="41" t="n"/>
    </row>
    <row r="239" ht="15.75" customHeight="1" s="60">
      <c r="A239" s="41" t="n"/>
      <c r="B239" s="41" t="n"/>
      <c r="C239" s="41" t="n"/>
      <c r="D239" s="41" t="n"/>
    </row>
    <row r="240" ht="15.75" customHeight="1" s="60">
      <c r="A240" s="41" t="n"/>
      <c r="B240" s="41" t="n"/>
      <c r="C240" s="41" t="n"/>
      <c r="D240" s="41" t="n"/>
    </row>
    <row r="241" ht="15.75" customHeight="1" s="60">
      <c r="A241" s="41" t="n"/>
      <c r="B241" s="41" t="n"/>
      <c r="C241" s="41" t="n"/>
      <c r="D241" s="41" t="n"/>
    </row>
    <row r="242" ht="15.75" customHeight="1" s="60">
      <c r="A242" s="41" t="n"/>
      <c r="B242" s="41" t="n"/>
      <c r="C242" s="41" t="n"/>
      <c r="D242" s="41" t="n"/>
    </row>
    <row r="243" ht="15.75" customHeight="1" s="60">
      <c r="A243" s="41" t="n"/>
      <c r="B243" s="41" t="n"/>
      <c r="C243" s="41" t="n"/>
      <c r="D243" s="41" t="n"/>
    </row>
    <row r="244" ht="15.75" customHeight="1" s="60">
      <c r="A244" s="41" t="n"/>
      <c r="B244" s="41" t="n"/>
      <c r="C244" s="41" t="n"/>
      <c r="D244" s="41" t="n"/>
    </row>
    <row r="245" ht="15.75" customHeight="1" s="60">
      <c r="A245" s="41" t="n"/>
      <c r="B245" s="41" t="n"/>
      <c r="C245" s="41" t="n"/>
      <c r="D245" s="41" t="n"/>
    </row>
    <row r="246" ht="15.75" customHeight="1" s="60">
      <c r="A246" s="41" t="n"/>
      <c r="B246" s="41" t="n"/>
      <c r="C246" s="41" t="n"/>
      <c r="D246" s="41" t="n"/>
    </row>
    <row r="247" ht="15.75" customHeight="1" s="60">
      <c r="A247" s="41" t="n"/>
      <c r="B247" s="41" t="n"/>
      <c r="C247" s="41" t="n"/>
      <c r="D247" s="41" t="n"/>
    </row>
    <row r="248" ht="15.75" customHeight="1" s="60">
      <c r="A248" s="41" t="n"/>
      <c r="B248" s="41" t="n"/>
      <c r="C248" s="41" t="n"/>
      <c r="D248" s="41" t="n"/>
    </row>
    <row r="249" ht="15.75" customHeight="1" s="60">
      <c r="A249" s="41" t="n"/>
      <c r="B249" s="41" t="n"/>
      <c r="C249" s="41" t="n"/>
      <c r="D249" s="41" t="n"/>
    </row>
    <row r="250" ht="15.75" customHeight="1" s="60">
      <c r="A250" s="41" t="n"/>
      <c r="B250" s="41" t="n"/>
      <c r="C250" s="41" t="n"/>
      <c r="D250" s="41" t="n"/>
    </row>
    <row r="251" ht="15.75" customHeight="1" s="60">
      <c r="A251" s="41" t="n"/>
      <c r="B251" s="41" t="n"/>
      <c r="C251" s="41" t="n"/>
      <c r="D251" s="41" t="n"/>
    </row>
    <row r="252" ht="15.75" customHeight="1" s="60">
      <c r="A252" s="41" t="n"/>
      <c r="B252" s="41" t="n"/>
      <c r="C252" s="41" t="n"/>
      <c r="D252" s="41" t="n"/>
    </row>
    <row r="253" ht="15.75" customHeight="1" s="60">
      <c r="A253" s="41" t="n"/>
      <c r="B253" s="41" t="n"/>
      <c r="C253" s="41" t="n"/>
      <c r="D253" s="41" t="n"/>
    </row>
    <row r="254" ht="15.75" customHeight="1" s="60">
      <c r="A254" s="41" t="n"/>
      <c r="B254" s="41" t="n"/>
      <c r="C254" s="41" t="n"/>
      <c r="D254" s="41" t="n"/>
    </row>
    <row r="255" ht="15.75" customHeight="1" s="60">
      <c r="A255" s="41" t="n"/>
      <c r="B255" s="41" t="n"/>
      <c r="C255" s="41" t="n"/>
      <c r="D255" s="41" t="n"/>
    </row>
    <row r="256" ht="15.75" customHeight="1" s="60">
      <c r="A256" s="41" t="n"/>
      <c r="B256" s="41" t="n"/>
      <c r="C256" s="41" t="n"/>
      <c r="D256" s="41" t="n"/>
    </row>
    <row r="257" ht="15.75" customHeight="1" s="60">
      <c r="A257" s="41" t="n"/>
      <c r="B257" s="41" t="n"/>
      <c r="C257" s="41" t="n"/>
      <c r="D257" s="41" t="n"/>
    </row>
    <row r="258" ht="15.75" customHeight="1" s="60">
      <c r="A258" s="41" t="n"/>
      <c r="B258" s="41" t="n"/>
      <c r="C258" s="41" t="n"/>
      <c r="D258" s="41" t="n"/>
    </row>
    <row r="259" ht="15.75" customHeight="1" s="60">
      <c r="A259" s="41" t="n"/>
      <c r="B259" s="41" t="n"/>
      <c r="C259" s="41" t="n"/>
      <c r="D259" s="41" t="n"/>
    </row>
    <row r="260" ht="15.75" customHeight="1" s="60">
      <c r="A260" s="41" t="n"/>
      <c r="B260" s="41" t="n"/>
      <c r="C260" s="41" t="n"/>
      <c r="D260" s="41" t="n"/>
    </row>
    <row r="261" ht="15.75" customHeight="1" s="60">
      <c r="A261" s="41" t="n"/>
      <c r="B261" s="41" t="n"/>
      <c r="C261" s="41" t="n"/>
      <c r="D261" s="41" t="n"/>
    </row>
    <row r="262" ht="15.75" customHeight="1" s="60">
      <c r="A262" s="41" t="n"/>
      <c r="B262" s="41" t="n"/>
      <c r="C262" s="41" t="n"/>
      <c r="D262" s="41" t="n"/>
    </row>
    <row r="263" ht="15.75" customHeight="1" s="60">
      <c r="A263" s="41" t="n"/>
      <c r="B263" s="41" t="n"/>
      <c r="C263" s="41" t="n"/>
      <c r="D263" s="41" t="n"/>
    </row>
    <row r="264" ht="15.75" customHeight="1" s="60">
      <c r="A264" s="41" t="n"/>
      <c r="B264" s="41" t="n"/>
      <c r="C264" s="41" t="n"/>
      <c r="D264" s="41" t="n"/>
    </row>
    <row r="265" ht="15.75" customHeight="1" s="60">
      <c r="A265" s="41" t="n"/>
      <c r="B265" s="41" t="n"/>
      <c r="C265" s="41" t="n"/>
      <c r="D265" s="41" t="n"/>
    </row>
    <row r="266" ht="15.75" customHeight="1" s="60">
      <c r="A266" s="41" t="n"/>
      <c r="B266" s="41" t="n"/>
      <c r="C266" s="41" t="n"/>
      <c r="D266" s="41" t="n"/>
    </row>
    <row r="267" ht="15.75" customHeight="1" s="60">
      <c r="A267" s="41" t="n"/>
      <c r="B267" s="41" t="n"/>
      <c r="C267" s="41" t="n"/>
      <c r="D267" s="41" t="n"/>
    </row>
    <row r="268" ht="15.75" customHeight="1" s="60">
      <c r="A268" s="41" t="n"/>
      <c r="B268" s="41" t="n"/>
      <c r="C268" s="41" t="n"/>
      <c r="D268" s="41" t="n"/>
    </row>
    <row r="269" ht="15.75" customHeight="1" s="60">
      <c r="A269" s="41" t="n"/>
      <c r="B269" s="41" t="n"/>
      <c r="C269" s="41" t="n"/>
      <c r="D269" s="41" t="n"/>
    </row>
    <row r="270" ht="15.75" customHeight="1" s="60">
      <c r="A270" s="41" t="n"/>
      <c r="B270" s="41" t="n"/>
      <c r="C270" s="41" t="n"/>
      <c r="D270" s="41" t="n"/>
    </row>
    <row r="271" ht="15.75" customHeight="1" s="60">
      <c r="A271" s="41" t="n"/>
      <c r="B271" s="41" t="n"/>
      <c r="C271" s="41" t="n"/>
      <c r="D271" s="41" t="n"/>
    </row>
    <row r="272" ht="15.75" customHeight="1" s="60">
      <c r="A272" s="41" t="n"/>
      <c r="B272" s="41" t="n"/>
      <c r="C272" s="41" t="n"/>
      <c r="D272" s="41" t="n"/>
    </row>
    <row r="273" ht="15.75" customHeight="1" s="60">
      <c r="A273" s="41" t="n"/>
      <c r="B273" s="41" t="n"/>
      <c r="C273" s="41" t="n"/>
      <c r="D273" s="41" t="n"/>
    </row>
    <row r="274" ht="15.75" customHeight="1" s="60">
      <c r="A274" s="41" t="n"/>
      <c r="B274" s="41" t="n"/>
      <c r="C274" s="41" t="n"/>
      <c r="D274" s="41" t="n"/>
    </row>
    <row r="275" ht="15.75" customHeight="1" s="60">
      <c r="A275" s="41" t="n"/>
      <c r="B275" s="41" t="n"/>
      <c r="C275" s="41" t="n"/>
      <c r="D275" s="41" t="n"/>
    </row>
    <row r="276" ht="15.75" customHeight="1" s="60">
      <c r="A276" s="41" t="n"/>
      <c r="B276" s="41" t="n"/>
      <c r="C276" s="41" t="n"/>
      <c r="D276" s="41" t="n"/>
    </row>
    <row r="277" ht="15.75" customHeight="1" s="60">
      <c r="A277" s="41" t="n"/>
      <c r="B277" s="41" t="n"/>
      <c r="C277" s="41" t="n"/>
      <c r="D277" s="41" t="n"/>
    </row>
    <row r="278" ht="15.75" customHeight="1" s="60">
      <c r="A278" s="41" t="n"/>
      <c r="B278" s="41" t="n"/>
      <c r="C278" s="41" t="n"/>
      <c r="D278" s="41" t="n"/>
    </row>
    <row r="279" ht="15.75" customHeight="1" s="60">
      <c r="A279" s="41" t="n"/>
      <c r="B279" s="41" t="n"/>
      <c r="C279" s="41" t="n"/>
      <c r="D279" s="41" t="n"/>
    </row>
    <row r="280" ht="15.75" customHeight="1" s="60">
      <c r="A280" s="41" t="n"/>
      <c r="B280" s="41" t="n"/>
      <c r="C280" s="41" t="n"/>
      <c r="D280" s="41" t="n"/>
    </row>
    <row r="281" ht="15.75" customHeight="1" s="60">
      <c r="A281" s="41" t="n"/>
      <c r="B281" s="41" t="n"/>
      <c r="C281" s="41" t="n"/>
      <c r="D281" s="41" t="n"/>
    </row>
    <row r="282" ht="15.75" customHeight="1" s="60">
      <c r="A282" s="41" t="n"/>
      <c r="B282" s="41" t="n"/>
      <c r="C282" s="41" t="n"/>
      <c r="D282" s="41" t="n"/>
    </row>
    <row r="283" ht="15.75" customHeight="1" s="60">
      <c r="A283" s="41" t="n"/>
      <c r="B283" s="41" t="n"/>
      <c r="C283" s="41" t="n"/>
      <c r="D283" s="41" t="n"/>
    </row>
    <row r="284" ht="15.75" customHeight="1" s="60">
      <c r="A284" s="41" t="n"/>
      <c r="B284" s="41" t="n"/>
      <c r="C284" s="41" t="n"/>
      <c r="D284" s="41" t="n"/>
    </row>
    <row r="285" ht="15.75" customHeight="1" s="60">
      <c r="A285" s="41" t="n"/>
      <c r="B285" s="41" t="n"/>
      <c r="C285" s="41" t="n"/>
      <c r="D285" s="41" t="n"/>
    </row>
    <row r="286" ht="15.75" customHeight="1" s="60">
      <c r="A286" s="41" t="n"/>
      <c r="B286" s="41" t="n"/>
      <c r="C286" s="41" t="n"/>
      <c r="D286" s="41" t="n"/>
    </row>
    <row r="287" ht="15.75" customHeight="1" s="60">
      <c r="A287" s="41" t="n"/>
      <c r="B287" s="41" t="n"/>
      <c r="C287" s="41" t="n"/>
      <c r="D287" s="41" t="n"/>
    </row>
    <row r="288" ht="15.75" customHeight="1" s="60">
      <c r="A288" s="41" t="n"/>
      <c r="B288" s="41" t="n"/>
      <c r="C288" s="41" t="n"/>
      <c r="D288" s="41" t="n"/>
    </row>
    <row r="289" ht="15.75" customHeight="1" s="60">
      <c r="A289" s="41" t="n"/>
      <c r="B289" s="41" t="n"/>
      <c r="C289" s="41" t="n"/>
      <c r="D289" s="41" t="n"/>
    </row>
    <row r="290" ht="15.75" customHeight="1" s="60">
      <c r="A290" s="41" t="n"/>
      <c r="B290" s="41" t="n"/>
      <c r="C290" s="41" t="n"/>
      <c r="D290" s="41" t="n"/>
    </row>
    <row r="291" ht="15.75" customHeight="1" s="60">
      <c r="A291" s="41" t="n"/>
      <c r="B291" s="41" t="n"/>
      <c r="C291" s="41" t="n"/>
      <c r="D291" s="41" t="n"/>
    </row>
    <row r="292" ht="15.75" customHeight="1" s="60">
      <c r="A292" s="41" t="n"/>
      <c r="B292" s="41" t="n"/>
      <c r="C292" s="41" t="n"/>
      <c r="D292" s="41" t="n"/>
    </row>
    <row r="293" ht="15.75" customHeight="1" s="60">
      <c r="A293" s="41" t="n"/>
      <c r="B293" s="41" t="n"/>
      <c r="C293" s="41" t="n"/>
      <c r="D293" s="41" t="n"/>
    </row>
    <row r="294" ht="15.75" customHeight="1" s="60">
      <c r="A294" s="41" t="n"/>
      <c r="B294" s="41" t="n"/>
      <c r="C294" s="41" t="n"/>
      <c r="D294" s="41" t="n"/>
    </row>
    <row r="295" ht="15.75" customHeight="1" s="60">
      <c r="A295" s="41" t="n"/>
      <c r="B295" s="41" t="n"/>
      <c r="C295" s="41" t="n"/>
      <c r="D295" s="41" t="n"/>
    </row>
    <row r="296" ht="15.75" customHeight="1" s="60">
      <c r="A296" s="41" t="n"/>
      <c r="B296" s="41" t="n"/>
      <c r="C296" s="41" t="n"/>
      <c r="D296" s="41" t="n"/>
    </row>
    <row r="297" ht="15.75" customHeight="1" s="60">
      <c r="A297" s="41" t="n"/>
      <c r="B297" s="41" t="n"/>
      <c r="C297" s="41" t="n"/>
      <c r="D297" s="41" t="n"/>
    </row>
    <row r="298" ht="15.75" customHeight="1" s="60">
      <c r="A298" s="41" t="n"/>
      <c r="B298" s="41" t="n"/>
      <c r="C298" s="41" t="n"/>
      <c r="D298" s="41" t="n"/>
    </row>
    <row r="299" ht="15.75" customHeight="1" s="60">
      <c r="A299" s="41" t="n"/>
      <c r="B299" s="41" t="n"/>
      <c r="C299" s="41" t="n"/>
      <c r="D299" s="41" t="n"/>
    </row>
    <row r="300" ht="15.75" customHeight="1" s="60">
      <c r="A300" s="41" t="n"/>
      <c r="B300" s="41" t="n"/>
      <c r="C300" s="41" t="n"/>
      <c r="D300" s="41" t="n"/>
    </row>
    <row r="301" ht="15.75" customHeight="1" s="60">
      <c r="A301" s="41" t="n"/>
      <c r="B301" s="41" t="n"/>
      <c r="C301" s="41" t="n"/>
      <c r="D301" s="41" t="n"/>
    </row>
    <row r="302" ht="15.75" customHeight="1" s="60">
      <c r="A302" s="41" t="n"/>
      <c r="B302" s="41" t="n"/>
      <c r="C302" s="41" t="n"/>
      <c r="D302" s="41" t="n"/>
    </row>
    <row r="303" ht="15.75" customHeight="1" s="60">
      <c r="A303" s="41" t="n"/>
      <c r="B303" s="41" t="n"/>
      <c r="C303" s="41" t="n"/>
      <c r="D303" s="41" t="n"/>
    </row>
    <row r="304" ht="15.75" customHeight="1" s="60">
      <c r="A304" s="41" t="n"/>
      <c r="B304" s="41" t="n"/>
      <c r="C304" s="41" t="n"/>
      <c r="D304" s="41" t="n"/>
    </row>
    <row r="305" ht="15.75" customHeight="1" s="60">
      <c r="A305" s="41" t="n"/>
      <c r="B305" s="41" t="n"/>
      <c r="C305" s="41" t="n"/>
      <c r="D305" s="41" t="n"/>
    </row>
    <row r="306" ht="15.75" customHeight="1" s="60">
      <c r="A306" s="41" t="n"/>
      <c r="B306" s="41" t="n"/>
      <c r="C306" s="41" t="n"/>
      <c r="D306" s="41" t="n"/>
    </row>
    <row r="307" ht="15.75" customHeight="1" s="60">
      <c r="A307" s="41" t="n"/>
      <c r="B307" s="41" t="n"/>
      <c r="C307" s="41" t="n"/>
      <c r="D307" s="41" t="n"/>
    </row>
    <row r="308" ht="15.75" customHeight="1" s="60">
      <c r="A308" s="41" t="n"/>
      <c r="B308" s="41" t="n"/>
      <c r="C308" s="41" t="n"/>
      <c r="D308" s="41" t="n"/>
    </row>
    <row r="309" ht="15.75" customHeight="1" s="60">
      <c r="A309" s="41" t="n"/>
      <c r="B309" s="41" t="n"/>
      <c r="C309" s="41" t="n"/>
      <c r="D309" s="41" t="n"/>
    </row>
    <row r="310" ht="15.75" customHeight="1" s="60">
      <c r="A310" s="41" t="n"/>
      <c r="B310" s="41" t="n"/>
      <c r="C310" s="41" t="n"/>
      <c r="D310" s="41" t="n"/>
    </row>
    <row r="311" ht="15.75" customHeight="1" s="60">
      <c r="A311" s="41" t="n"/>
      <c r="B311" s="41" t="n"/>
      <c r="C311" s="41" t="n"/>
      <c r="D311" s="41" t="n"/>
    </row>
    <row r="312" ht="15.75" customHeight="1" s="60">
      <c r="A312" s="41" t="n"/>
      <c r="B312" s="41" t="n"/>
      <c r="C312" s="41" t="n"/>
      <c r="D312" s="41" t="n"/>
    </row>
    <row r="313" ht="15.75" customHeight="1" s="60">
      <c r="A313" s="41" t="n"/>
      <c r="B313" s="41" t="n"/>
      <c r="C313" s="41" t="n"/>
      <c r="D313" s="41" t="n"/>
    </row>
    <row r="314" ht="15.75" customHeight="1" s="60">
      <c r="A314" s="41" t="n"/>
      <c r="B314" s="41" t="n"/>
      <c r="C314" s="41" t="n"/>
      <c r="D314" s="41" t="n"/>
    </row>
    <row r="315" ht="15.75" customHeight="1" s="60">
      <c r="A315" s="41" t="n"/>
      <c r="B315" s="41" t="n"/>
      <c r="C315" s="41" t="n"/>
      <c r="D315" s="41" t="n"/>
    </row>
    <row r="316" ht="15.75" customHeight="1" s="60">
      <c r="A316" s="41" t="n"/>
      <c r="B316" s="41" t="n"/>
      <c r="C316" s="41" t="n"/>
      <c r="D316" s="41" t="n"/>
    </row>
    <row r="317" ht="15.75" customHeight="1" s="60">
      <c r="A317" s="41" t="n"/>
      <c r="B317" s="41" t="n"/>
      <c r="C317" s="41" t="n"/>
      <c r="D317" s="41" t="n"/>
    </row>
    <row r="318" ht="15.75" customHeight="1" s="60">
      <c r="A318" s="41" t="n"/>
      <c r="B318" s="41" t="n"/>
      <c r="C318" s="41" t="n"/>
      <c r="D318" s="41" t="n"/>
    </row>
    <row r="319" ht="15.75" customHeight="1" s="60">
      <c r="A319" s="41" t="n"/>
      <c r="B319" s="41" t="n"/>
      <c r="C319" s="41" t="n"/>
      <c r="D319" s="41" t="n"/>
    </row>
    <row r="320" ht="15.75" customHeight="1" s="60">
      <c r="A320" s="41" t="n"/>
      <c r="B320" s="41" t="n"/>
      <c r="C320" s="41" t="n"/>
      <c r="D320" s="41" t="n"/>
    </row>
    <row r="321" ht="15.75" customHeight="1" s="60">
      <c r="A321" s="41" t="n"/>
      <c r="B321" s="41" t="n"/>
      <c r="C321" s="41" t="n"/>
      <c r="D321" s="41" t="n"/>
    </row>
    <row r="322" ht="15.75" customHeight="1" s="60">
      <c r="A322" s="41" t="n"/>
      <c r="B322" s="41" t="n"/>
      <c r="C322" s="41" t="n"/>
      <c r="D322" s="41" t="n"/>
    </row>
    <row r="323" ht="15.75" customHeight="1" s="60">
      <c r="A323" s="41" t="n"/>
      <c r="B323" s="41" t="n"/>
      <c r="C323" s="41" t="n"/>
      <c r="D323" s="41" t="n"/>
    </row>
    <row r="324" ht="15.75" customHeight="1" s="60">
      <c r="A324" s="41" t="n"/>
      <c r="B324" s="41" t="n"/>
      <c r="C324" s="41" t="n"/>
      <c r="D324" s="41" t="n"/>
    </row>
    <row r="325" ht="15.75" customHeight="1" s="60">
      <c r="A325" s="41" t="n"/>
      <c r="B325" s="41" t="n"/>
      <c r="C325" s="41" t="n"/>
      <c r="D325" s="41" t="n"/>
    </row>
    <row r="326" ht="15.75" customHeight="1" s="60">
      <c r="A326" s="41" t="n"/>
      <c r="B326" s="41" t="n"/>
      <c r="C326" s="41" t="n"/>
      <c r="D326" s="41" t="n"/>
    </row>
    <row r="327" ht="15.75" customHeight="1" s="60">
      <c r="A327" s="41" t="n"/>
      <c r="B327" s="41" t="n"/>
      <c r="C327" s="41" t="n"/>
      <c r="D327" s="41" t="n"/>
    </row>
    <row r="328" ht="15.75" customHeight="1" s="60">
      <c r="A328" s="41" t="n"/>
      <c r="B328" s="41" t="n"/>
      <c r="C328" s="41" t="n"/>
      <c r="D328" s="41" t="n"/>
    </row>
    <row r="329" ht="15.75" customHeight="1" s="60">
      <c r="A329" s="41" t="n"/>
      <c r="B329" s="41" t="n"/>
      <c r="C329" s="41" t="n"/>
      <c r="D329" s="41" t="n"/>
    </row>
    <row r="330" ht="15.75" customHeight="1" s="60">
      <c r="A330" s="41" t="n"/>
      <c r="B330" s="41" t="n"/>
      <c r="C330" s="41" t="n"/>
      <c r="D330" s="41" t="n"/>
    </row>
    <row r="331" ht="15.75" customHeight="1" s="60">
      <c r="A331" s="41" t="n"/>
      <c r="B331" s="41" t="n"/>
      <c r="C331" s="41" t="n"/>
      <c r="D331" s="41" t="n"/>
    </row>
    <row r="332" ht="15.75" customHeight="1" s="60">
      <c r="A332" s="41" t="n"/>
      <c r="B332" s="41" t="n"/>
      <c r="C332" s="41" t="n"/>
      <c r="D332" s="41" t="n"/>
    </row>
    <row r="333" ht="15.75" customHeight="1" s="60">
      <c r="A333" s="41" t="n"/>
      <c r="B333" s="41" t="n"/>
      <c r="C333" s="41" t="n"/>
      <c r="D333" s="41" t="n"/>
    </row>
    <row r="334" ht="15.75" customHeight="1" s="60">
      <c r="A334" s="41" t="n"/>
      <c r="B334" s="41" t="n"/>
      <c r="C334" s="41" t="n"/>
      <c r="D334" s="41" t="n"/>
    </row>
    <row r="335" ht="15.75" customHeight="1" s="60">
      <c r="A335" s="41" t="n"/>
      <c r="B335" s="41" t="n"/>
      <c r="C335" s="41" t="n"/>
      <c r="D335" s="41" t="n"/>
    </row>
    <row r="336" ht="15.75" customHeight="1" s="60">
      <c r="A336" s="41" t="n"/>
      <c r="B336" s="41" t="n"/>
      <c r="C336" s="41" t="n"/>
      <c r="D336" s="41" t="n"/>
    </row>
    <row r="337" ht="15.75" customHeight="1" s="60">
      <c r="A337" s="41" t="n"/>
      <c r="B337" s="41" t="n"/>
      <c r="C337" s="41" t="n"/>
      <c r="D337" s="41" t="n"/>
    </row>
    <row r="338" ht="15.75" customHeight="1" s="60">
      <c r="A338" s="41" t="n"/>
      <c r="B338" s="41" t="n"/>
      <c r="C338" s="41" t="n"/>
      <c r="D338" s="41" t="n"/>
    </row>
    <row r="339" ht="15.75" customHeight="1" s="60">
      <c r="A339" s="41" t="n"/>
      <c r="B339" s="41" t="n"/>
      <c r="C339" s="41" t="n"/>
      <c r="D339" s="41" t="n"/>
    </row>
    <row r="340" ht="15.75" customHeight="1" s="60">
      <c r="A340" s="41" t="n"/>
      <c r="B340" s="41" t="n"/>
      <c r="C340" s="41" t="n"/>
      <c r="D340" s="41" t="n"/>
    </row>
    <row r="341" ht="15.75" customHeight="1" s="60">
      <c r="A341" s="41" t="n"/>
      <c r="B341" s="41" t="n"/>
      <c r="C341" s="41" t="n"/>
      <c r="D341" s="41" t="n"/>
    </row>
    <row r="342" ht="15.75" customHeight="1" s="60">
      <c r="A342" s="41" t="n"/>
      <c r="B342" s="41" t="n"/>
      <c r="C342" s="41" t="n"/>
      <c r="D342" s="41" t="n"/>
    </row>
    <row r="343" ht="15.75" customHeight="1" s="60">
      <c r="A343" s="41" t="n"/>
      <c r="B343" s="41" t="n"/>
      <c r="C343" s="41" t="n"/>
      <c r="D343" s="41" t="n"/>
    </row>
    <row r="344" ht="15.75" customHeight="1" s="60">
      <c r="A344" s="41" t="n"/>
      <c r="B344" s="41" t="n"/>
      <c r="C344" s="41" t="n"/>
      <c r="D344" s="41" t="n"/>
    </row>
    <row r="345" ht="15.75" customHeight="1" s="60">
      <c r="A345" s="41" t="n"/>
      <c r="B345" s="41" t="n"/>
      <c r="C345" s="41" t="n"/>
      <c r="D345" s="41" t="n"/>
    </row>
    <row r="346" ht="15.75" customHeight="1" s="60">
      <c r="A346" s="41" t="n"/>
      <c r="B346" s="41" t="n"/>
      <c r="C346" s="41" t="n"/>
      <c r="D346" s="41" t="n"/>
    </row>
    <row r="347" ht="15.75" customHeight="1" s="60">
      <c r="A347" s="41" t="n"/>
      <c r="B347" s="41" t="n"/>
      <c r="C347" s="41" t="n"/>
      <c r="D347" s="41" t="n"/>
    </row>
    <row r="348" ht="15.75" customHeight="1" s="60">
      <c r="A348" s="41" t="n"/>
      <c r="B348" s="41" t="n"/>
      <c r="C348" s="41" t="n"/>
      <c r="D348" s="41" t="n"/>
    </row>
    <row r="349" ht="15.75" customHeight="1" s="60">
      <c r="A349" s="41" t="n"/>
      <c r="B349" s="41" t="n"/>
      <c r="C349" s="41" t="n"/>
      <c r="D349" s="41" t="n"/>
    </row>
    <row r="350" ht="15.75" customHeight="1" s="60">
      <c r="A350" s="41" t="n"/>
      <c r="B350" s="41" t="n"/>
      <c r="C350" s="41" t="n"/>
      <c r="D350" s="41" t="n"/>
    </row>
    <row r="351" ht="15.75" customHeight="1" s="60">
      <c r="A351" s="41" t="n"/>
      <c r="B351" s="41" t="n"/>
      <c r="C351" s="41" t="n"/>
      <c r="D351" s="41" t="n"/>
    </row>
    <row r="352" ht="15.75" customHeight="1" s="60">
      <c r="A352" s="41" t="n"/>
      <c r="B352" s="41" t="n"/>
      <c r="C352" s="41" t="n"/>
      <c r="D352" s="41" t="n"/>
    </row>
    <row r="353" ht="15.75" customHeight="1" s="60">
      <c r="A353" s="41" t="n"/>
      <c r="B353" s="41" t="n"/>
      <c r="C353" s="41" t="n"/>
      <c r="D353" s="41" t="n"/>
    </row>
    <row r="354" ht="15.75" customHeight="1" s="60">
      <c r="A354" s="41" t="n"/>
      <c r="B354" s="41" t="n"/>
      <c r="C354" s="41" t="n"/>
      <c r="D354" s="41" t="n"/>
    </row>
    <row r="355" ht="15.75" customHeight="1" s="60">
      <c r="A355" s="41" t="n"/>
      <c r="B355" s="41" t="n"/>
      <c r="C355" s="41" t="n"/>
      <c r="D355" s="41" t="n"/>
    </row>
    <row r="356" ht="15.75" customHeight="1" s="60">
      <c r="A356" s="41" t="n"/>
      <c r="B356" s="41" t="n"/>
      <c r="C356" s="41" t="n"/>
      <c r="D356" s="41" t="n"/>
    </row>
    <row r="357" ht="15.75" customHeight="1" s="60">
      <c r="A357" s="41" t="n"/>
      <c r="B357" s="41" t="n"/>
      <c r="C357" s="41" t="n"/>
      <c r="D357" s="41" t="n"/>
    </row>
    <row r="358" ht="15.75" customHeight="1" s="60">
      <c r="A358" s="41" t="n"/>
      <c r="B358" s="41" t="n"/>
      <c r="C358" s="41" t="n"/>
      <c r="D358" s="41" t="n"/>
    </row>
    <row r="359" ht="15.75" customHeight="1" s="60">
      <c r="A359" s="41" t="n"/>
      <c r="B359" s="41" t="n"/>
      <c r="C359" s="41" t="n"/>
      <c r="D359" s="41" t="n"/>
    </row>
    <row r="360" ht="15.75" customHeight="1" s="60">
      <c r="A360" s="41" t="n"/>
      <c r="B360" s="41" t="n"/>
      <c r="C360" s="41" t="n"/>
      <c r="D360" s="41" t="n"/>
    </row>
    <row r="361" ht="15.75" customHeight="1" s="60">
      <c r="A361" s="41" t="n"/>
      <c r="B361" s="41" t="n"/>
      <c r="C361" s="41" t="n"/>
      <c r="D361" s="41" t="n"/>
    </row>
    <row r="362" ht="15.75" customHeight="1" s="60">
      <c r="A362" s="41" t="n"/>
      <c r="B362" s="41" t="n"/>
      <c r="C362" s="41" t="n"/>
      <c r="D362" s="41" t="n"/>
    </row>
    <row r="363" ht="15.75" customHeight="1" s="60">
      <c r="A363" s="41" t="n"/>
      <c r="B363" s="41" t="n"/>
      <c r="C363" s="41" t="n"/>
      <c r="D363" s="41" t="n"/>
    </row>
    <row r="364" ht="15.75" customHeight="1" s="60">
      <c r="A364" s="41" t="n"/>
      <c r="B364" s="41" t="n"/>
      <c r="C364" s="41" t="n"/>
      <c r="D364" s="41" t="n"/>
    </row>
    <row r="365" ht="15.75" customHeight="1" s="60">
      <c r="A365" s="41" t="n"/>
      <c r="B365" s="41" t="n"/>
      <c r="C365" s="41" t="n"/>
      <c r="D365" s="41" t="n"/>
    </row>
    <row r="366" ht="15.75" customHeight="1" s="60">
      <c r="A366" s="41" t="n"/>
      <c r="B366" s="41" t="n"/>
      <c r="C366" s="41" t="n"/>
      <c r="D366" s="41" t="n"/>
    </row>
    <row r="367" ht="15.75" customHeight="1" s="60">
      <c r="A367" s="41" t="n"/>
      <c r="B367" s="41" t="n"/>
      <c r="C367" s="41" t="n"/>
      <c r="D367" s="41" t="n"/>
    </row>
    <row r="368" ht="15.75" customHeight="1" s="60">
      <c r="A368" s="41" t="n"/>
      <c r="B368" s="41" t="n"/>
      <c r="C368" s="41" t="n"/>
      <c r="D368" s="41" t="n"/>
    </row>
    <row r="369" ht="15.75" customHeight="1" s="60">
      <c r="A369" s="41" t="n"/>
      <c r="B369" s="41" t="n"/>
      <c r="C369" s="41" t="n"/>
      <c r="D369" s="41" t="n"/>
    </row>
    <row r="370" ht="15.75" customHeight="1" s="60">
      <c r="A370" s="41" t="n"/>
      <c r="B370" s="41" t="n"/>
      <c r="C370" s="41" t="n"/>
      <c r="D370" s="41" t="n"/>
    </row>
    <row r="371" ht="15.75" customHeight="1" s="60">
      <c r="A371" s="41" t="n"/>
      <c r="B371" s="41" t="n"/>
      <c r="C371" s="41" t="n"/>
      <c r="D371" s="41" t="n"/>
    </row>
    <row r="372" ht="15.75" customHeight="1" s="60">
      <c r="A372" s="41" t="n"/>
      <c r="B372" s="41" t="n"/>
      <c r="C372" s="41" t="n"/>
      <c r="D372" s="41" t="n"/>
    </row>
    <row r="373" ht="15.75" customHeight="1" s="60">
      <c r="A373" s="41" t="n"/>
      <c r="B373" s="41" t="n"/>
      <c r="C373" s="41" t="n"/>
      <c r="D373" s="41" t="n"/>
    </row>
    <row r="374" ht="15.75" customHeight="1" s="60">
      <c r="A374" s="41" t="n"/>
      <c r="B374" s="41" t="n"/>
      <c r="C374" s="41" t="n"/>
      <c r="D374" s="41" t="n"/>
    </row>
    <row r="375" ht="15.75" customHeight="1" s="60">
      <c r="A375" s="41" t="n"/>
      <c r="B375" s="41" t="n"/>
      <c r="C375" s="41" t="n"/>
      <c r="D375" s="41" t="n"/>
    </row>
    <row r="376" ht="15.75" customHeight="1" s="60">
      <c r="A376" s="41" t="n"/>
      <c r="B376" s="41" t="n"/>
      <c r="C376" s="41" t="n"/>
      <c r="D376" s="41" t="n"/>
    </row>
    <row r="377" ht="15.75" customHeight="1" s="60">
      <c r="A377" s="41" t="n"/>
      <c r="B377" s="41" t="n"/>
      <c r="C377" s="41" t="n"/>
      <c r="D377" s="41" t="n"/>
    </row>
    <row r="378" ht="15.75" customHeight="1" s="60">
      <c r="A378" s="41" t="n"/>
      <c r="B378" s="41" t="n"/>
      <c r="C378" s="41" t="n"/>
      <c r="D378" s="41" t="n"/>
    </row>
    <row r="379" ht="15.75" customHeight="1" s="60">
      <c r="A379" s="41" t="n"/>
      <c r="B379" s="41" t="n"/>
      <c r="C379" s="41" t="n"/>
      <c r="D379" s="41" t="n"/>
    </row>
    <row r="380" ht="15.75" customHeight="1" s="60">
      <c r="A380" s="41" t="n"/>
      <c r="B380" s="41" t="n"/>
      <c r="C380" s="41" t="n"/>
      <c r="D380" s="41" t="n"/>
    </row>
    <row r="381" ht="15.75" customHeight="1" s="60">
      <c r="A381" s="41" t="n"/>
      <c r="B381" s="41" t="n"/>
      <c r="C381" s="41" t="n"/>
      <c r="D381" s="41" t="n"/>
    </row>
    <row r="382" ht="15.75" customHeight="1" s="60">
      <c r="A382" s="41" t="n"/>
      <c r="B382" s="41" t="n"/>
      <c r="C382" s="41" t="n"/>
      <c r="D382" s="41" t="n"/>
    </row>
    <row r="383" ht="15.75" customHeight="1" s="60">
      <c r="A383" s="41" t="n"/>
      <c r="B383" s="41" t="n"/>
      <c r="C383" s="41" t="n"/>
      <c r="D383" s="41" t="n"/>
    </row>
    <row r="384" ht="15.75" customHeight="1" s="60">
      <c r="A384" s="41" t="n"/>
      <c r="B384" s="41" t="n"/>
      <c r="C384" s="41" t="n"/>
      <c r="D384" s="41" t="n"/>
    </row>
    <row r="385" ht="15.75" customHeight="1" s="60">
      <c r="A385" s="41" t="n"/>
      <c r="B385" s="41" t="n"/>
      <c r="C385" s="41" t="n"/>
      <c r="D385" s="41" t="n"/>
    </row>
    <row r="386" ht="15.75" customHeight="1" s="60">
      <c r="A386" s="41" t="n"/>
      <c r="B386" s="41" t="n"/>
      <c r="C386" s="41" t="n"/>
      <c r="D386" s="41" t="n"/>
    </row>
    <row r="387" ht="15.75" customHeight="1" s="60">
      <c r="A387" s="41" t="n"/>
      <c r="B387" s="41" t="n"/>
      <c r="C387" s="41" t="n"/>
      <c r="D387" s="41" t="n"/>
    </row>
    <row r="388" ht="15.75" customHeight="1" s="60">
      <c r="A388" s="41" t="n"/>
      <c r="B388" s="41" t="n"/>
      <c r="C388" s="41" t="n"/>
      <c r="D388" s="41" t="n"/>
    </row>
    <row r="389" ht="15.75" customHeight="1" s="60">
      <c r="A389" s="41" t="n"/>
      <c r="B389" s="41" t="n"/>
      <c r="C389" s="41" t="n"/>
      <c r="D389" s="41" t="n"/>
    </row>
    <row r="390" ht="15.75" customHeight="1" s="60">
      <c r="A390" s="41" t="n"/>
      <c r="B390" s="41" t="n"/>
      <c r="C390" s="41" t="n"/>
      <c r="D390" s="41" t="n"/>
    </row>
    <row r="391" ht="15.75" customHeight="1" s="60">
      <c r="A391" s="41" t="n"/>
      <c r="B391" s="41" t="n"/>
      <c r="C391" s="41" t="n"/>
      <c r="D391" s="41" t="n"/>
    </row>
    <row r="392" ht="15.75" customHeight="1" s="60">
      <c r="A392" s="41" t="n"/>
      <c r="B392" s="41" t="n"/>
      <c r="C392" s="41" t="n"/>
      <c r="D392" s="41" t="n"/>
    </row>
    <row r="393" ht="15.75" customHeight="1" s="60">
      <c r="A393" s="41" t="n"/>
      <c r="B393" s="41" t="n"/>
      <c r="C393" s="41" t="n"/>
      <c r="D393" s="41" t="n"/>
    </row>
    <row r="394" ht="15.75" customHeight="1" s="60">
      <c r="A394" s="41" t="n"/>
      <c r="B394" s="41" t="n"/>
      <c r="C394" s="41" t="n"/>
      <c r="D394" s="41" t="n"/>
    </row>
    <row r="395" ht="15.75" customHeight="1" s="60">
      <c r="A395" s="41" t="n"/>
      <c r="B395" s="41" t="n"/>
      <c r="C395" s="41" t="n"/>
      <c r="D395" s="41" t="n"/>
    </row>
    <row r="396" ht="15.75" customHeight="1" s="60">
      <c r="A396" s="41" t="n"/>
      <c r="B396" s="41" t="n"/>
      <c r="C396" s="41" t="n"/>
      <c r="D396" s="41" t="n"/>
    </row>
    <row r="397" ht="15.75" customHeight="1" s="60">
      <c r="A397" s="41" t="n"/>
      <c r="B397" s="41" t="n"/>
      <c r="C397" s="41" t="n"/>
      <c r="D397" s="41" t="n"/>
    </row>
    <row r="398" ht="15.75" customHeight="1" s="60">
      <c r="A398" s="41" t="n"/>
      <c r="B398" s="41" t="n"/>
      <c r="C398" s="41" t="n"/>
      <c r="D398" s="41" t="n"/>
    </row>
    <row r="399" ht="15.75" customHeight="1" s="60">
      <c r="A399" s="41" t="n"/>
      <c r="B399" s="41" t="n"/>
      <c r="C399" s="41" t="n"/>
      <c r="D399" s="41" t="n"/>
    </row>
    <row r="400" ht="15.75" customHeight="1" s="60">
      <c r="A400" s="41" t="n"/>
      <c r="B400" s="41" t="n"/>
      <c r="C400" s="41" t="n"/>
      <c r="D400" s="41" t="n"/>
    </row>
    <row r="401" ht="15.75" customHeight="1" s="60">
      <c r="A401" s="41" t="n"/>
      <c r="B401" s="41" t="n"/>
      <c r="C401" s="41" t="n"/>
      <c r="D401" s="41" t="n"/>
    </row>
    <row r="402" ht="15.75" customHeight="1" s="60">
      <c r="A402" s="41" t="n"/>
      <c r="B402" s="41" t="n"/>
      <c r="C402" s="41" t="n"/>
      <c r="D402" s="41" t="n"/>
    </row>
    <row r="403" ht="15.75" customHeight="1" s="60">
      <c r="A403" s="41" t="n"/>
      <c r="B403" s="41" t="n"/>
      <c r="C403" s="41" t="n"/>
      <c r="D403" s="41" t="n"/>
    </row>
    <row r="404" ht="15.75" customHeight="1" s="60">
      <c r="A404" s="41" t="n"/>
      <c r="B404" s="41" t="n"/>
      <c r="C404" s="41" t="n"/>
      <c r="D404" s="41" t="n"/>
    </row>
    <row r="405" ht="15.75" customHeight="1" s="60">
      <c r="A405" s="41" t="n"/>
      <c r="B405" s="41" t="n"/>
      <c r="C405" s="41" t="n"/>
      <c r="D405" s="41" t="n"/>
    </row>
    <row r="406" ht="15.75" customHeight="1" s="60">
      <c r="A406" s="41" t="n"/>
      <c r="B406" s="41" t="n"/>
      <c r="C406" s="41" t="n"/>
      <c r="D406" s="41" t="n"/>
    </row>
    <row r="407" ht="15.75" customHeight="1" s="60">
      <c r="A407" s="41" t="n"/>
      <c r="B407" s="41" t="n"/>
      <c r="C407" s="41" t="n"/>
      <c r="D407" s="41" t="n"/>
    </row>
    <row r="408" ht="15.75" customHeight="1" s="60">
      <c r="A408" s="41" t="n"/>
      <c r="B408" s="41" t="n"/>
      <c r="C408" s="41" t="n"/>
      <c r="D408" s="41" t="n"/>
    </row>
    <row r="409" ht="15.75" customHeight="1" s="60">
      <c r="A409" s="41" t="n"/>
      <c r="B409" s="41" t="n"/>
      <c r="C409" s="41" t="n"/>
      <c r="D409" s="41" t="n"/>
    </row>
    <row r="410" ht="15.75" customHeight="1" s="60">
      <c r="A410" s="41" t="n"/>
      <c r="B410" s="41" t="n"/>
      <c r="C410" s="41" t="n"/>
      <c r="D410" s="41" t="n"/>
    </row>
    <row r="411" ht="15.75" customHeight="1" s="60">
      <c r="A411" s="41" t="n"/>
      <c r="B411" s="41" t="n"/>
      <c r="C411" s="41" t="n"/>
      <c r="D411" s="41" t="n"/>
    </row>
    <row r="412" ht="15.75" customHeight="1" s="60">
      <c r="A412" s="41" t="n"/>
      <c r="B412" s="41" t="n"/>
      <c r="C412" s="41" t="n"/>
      <c r="D412" s="41" t="n"/>
    </row>
    <row r="413" ht="15.75" customHeight="1" s="60">
      <c r="A413" s="41" t="n"/>
      <c r="B413" s="41" t="n"/>
      <c r="C413" s="41" t="n"/>
      <c r="D413" s="41" t="n"/>
    </row>
    <row r="414" ht="15.75" customHeight="1" s="60">
      <c r="A414" s="41" t="n"/>
      <c r="B414" s="41" t="n"/>
      <c r="C414" s="41" t="n"/>
      <c r="D414" s="41" t="n"/>
    </row>
    <row r="415" ht="15.75" customHeight="1" s="60">
      <c r="A415" s="41" t="n"/>
      <c r="B415" s="41" t="n"/>
      <c r="C415" s="41" t="n"/>
      <c r="D415" s="41" t="n"/>
    </row>
    <row r="416" ht="15.75" customHeight="1" s="60">
      <c r="A416" s="41" t="n"/>
      <c r="B416" s="41" t="n"/>
      <c r="C416" s="41" t="n"/>
      <c r="D416" s="41" t="n"/>
    </row>
    <row r="417" ht="15.75" customHeight="1" s="60">
      <c r="A417" s="41" t="n"/>
      <c r="B417" s="41" t="n"/>
      <c r="C417" s="41" t="n"/>
      <c r="D417" s="41" t="n"/>
    </row>
    <row r="418" ht="15.75" customHeight="1" s="60">
      <c r="A418" s="41" t="n"/>
      <c r="B418" s="41" t="n"/>
      <c r="C418" s="41" t="n"/>
      <c r="D418" s="41" t="n"/>
    </row>
    <row r="419" ht="15.75" customHeight="1" s="60">
      <c r="A419" s="41" t="n"/>
      <c r="B419" s="41" t="n"/>
      <c r="C419" s="41" t="n"/>
      <c r="D419" s="41" t="n"/>
    </row>
    <row r="420" ht="15.75" customHeight="1" s="60">
      <c r="A420" s="41" t="n"/>
      <c r="B420" s="41" t="n"/>
      <c r="C420" s="41" t="n"/>
      <c r="D420" s="41" t="n"/>
    </row>
    <row r="421" ht="15.75" customHeight="1" s="60">
      <c r="A421" s="41" t="n"/>
      <c r="B421" s="41" t="n"/>
      <c r="C421" s="41" t="n"/>
      <c r="D421" s="41" t="n"/>
    </row>
    <row r="422" ht="15.75" customHeight="1" s="60">
      <c r="A422" s="41" t="n"/>
      <c r="B422" s="41" t="n"/>
      <c r="C422" s="41" t="n"/>
      <c r="D422" s="41" t="n"/>
    </row>
    <row r="423" ht="15.75" customHeight="1" s="60">
      <c r="A423" s="41" t="n"/>
      <c r="B423" s="41" t="n"/>
      <c r="C423" s="41" t="n"/>
      <c r="D423" s="41" t="n"/>
    </row>
    <row r="424" ht="15.75" customHeight="1" s="60">
      <c r="A424" s="41" t="n"/>
      <c r="B424" s="41" t="n"/>
      <c r="C424" s="41" t="n"/>
      <c r="D424" s="41" t="n"/>
    </row>
    <row r="425" ht="15.75" customHeight="1" s="60">
      <c r="A425" s="41" t="n"/>
      <c r="B425" s="41" t="n"/>
      <c r="C425" s="41" t="n"/>
      <c r="D425" s="41" t="n"/>
    </row>
    <row r="426" ht="15.75" customHeight="1" s="60">
      <c r="A426" s="41" t="n"/>
      <c r="B426" s="41" t="n"/>
      <c r="C426" s="41" t="n"/>
      <c r="D426" s="41" t="n"/>
    </row>
    <row r="427" ht="15.75" customHeight="1" s="60">
      <c r="A427" s="41" t="n"/>
      <c r="B427" s="41" t="n"/>
      <c r="C427" s="41" t="n"/>
      <c r="D427" s="41" t="n"/>
    </row>
    <row r="428" ht="15.75" customHeight="1" s="60">
      <c r="A428" s="41" t="n"/>
      <c r="B428" s="41" t="n"/>
      <c r="C428" s="41" t="n"/>
      <c r="D428" s="41" t="n"/>
    </row>
    <row r="429" ht="15.75" customHeight="1" s="60">
      <c r="A429" s="41" t="n"/>
      <c r="B429" s="41" t="n"/>
      <c r="C429" s="41" t="n"/>
      <c r="D429" s="41" t="n"/>
    </row>
    <row r="430" ht="15.75" customHeight="1" s="60">
      <c r="A430" s="41" t="n"/>
      <c r="B430" s="41" t="n"/>
      <c r="C430" s="41" t="n"/>
      <c r="D430" s="41" t="n"/>
    </row>
    <row r="431" ht="15.75" customHeight="1" s="60">
      <c r="A431" s="41" t="n"/>
      <c r="B431" s="41" t="n"/>
      <c r="C431" s="41" t="n"/>
      <c r="D431" s="41" t="n"/>
    </row>
    <row r="432" ht="15.75" customHeight="1" s="60">
      <c r="A432" s="41" t="n"/>
      <c r="B432" s="41" t="n"/>
      <c r="C432" s="41" t="n"/>
      <c r="D432" s="41" t="n"/>
    </row>
    <row r="433" ht="15.75" customHeight="1" s="60">
      <c r="A433" s="41" t="n"/>
      <c r="B433" s="41" t="n"/>
      <c r="C433" s="41" t="n"/>
      <c r="D433" s="41" t="n"/>
    </row>
    <row r="434" ht="15.75" customHeight="1" s="60">
      <c r="A434" s="41" t="n"/>
      <c r="B434" s="41" t="n"/>
      <c r="C434" s="41" t="n"/>
      <c r="D434" s="41" t="n"/>
    </row>
    <row r="435" ht="15.75" customHeight="1" s="60">
      <c r="A435" s="41" t="n"/>
      <c r="B435" s="41" t="n"/>
      <c r="C435" s="41" t="n"/>
      <c r="D435" s="41" t="n"/>
    </row>
    <row r="436" ht="15.75" customHeight="1" s="60">
      <c r="A436" s="41" t="n"/>
      <c r="B436" s="41" t="n"/>
      <c r="C436" s="41" t="n"/>
      <c r="D436" s="41" t="n"/>
    </row>
    <row r="437" ht="15.75" customHeight="1" s="60">
      <c r="A437" s="41" t="n"/>
      <c r="B437" s="41" t="n"/>
      <c r="C437" s="41" t="n"/>
      <c r="D437" s="41" t="n"/>
    </row>
    <row r="438" ht="15.75" customHeight="1" s="60">
      <c r="A438" s="41" t="n"/>
      <c r="B438" s="41" t="n"/>
      <c r="C438" s="41" t="n"/>
      <c r="D438" s="41" t="n"/>
    </row>
    <row r="439" ht="15.75" customHeight="1" s="60">
      <c r="A439" s="41" t="n"/>
      <c r="B439" s="41" t="n"/>
      <c r="C439" s="41" t="n"/>
      <c r="D439" s="41" t="n"/>
    </row>
    <row r="440" ht="15.75" customHeight="1" s="60">
      <c r="A440" s="41" t="n"/>
      <c r="B440" s="41" t="n"/>
      <c r="C440" s="41" t="n"/>
      <c r="D440" s="41" t="n"/>
    </row>
    <row r="441" ht="15.75" customHeight="1" s="60">
      <c r="A441" s="41" t="n"/>
      <c r="B441" s="41" t="n"/>
      <c r="C441" s="41" t="n"/>
      <c r="D441" s="41" t="n"/>
    </row>
    <row r="442" ht="15.75" customHeight="1" s="60">
      <c r="A442" s="41" t="n"/>
      <c r="B442" s="41" t="n"/>
      <c r="C442" s="41" t="n"/>
      <c r="D442" s="41" t="n"/>
    </row>
    <row r="443" ht="15.75" customHeight="1" s="60">
      <c r="A443" s="41" t="n"/>
      <c r="B443" s="41" t="n"/>
      <c r="C443" s="41" t="n"/>
      <c r="D443" s="41" t="n"/>
    </row>
    <row r="444" ht="15.75" customHeight="1" s="60">
      <c r="A444" s="41" t="n"/>
      <c r="B444" s="41" t="n"/>
      <c r="C444" s="41" t="n"/>
      <c r="D444" s="41" t="n"/>
    </row>
    <row r="445" ht="15.75" customHeight="1" s="60">
      <c r="A445" s="41" t="n"/>
      <c r="B445" s="41" t="n"/>
      <c r="C445" s="41" t="n"/>
      <c r="D445" s="41" t="n"/>
    </row>
    <row r="446" ht="15.75" customHeight="1" s="60">
      <c r="A446" s="41" t="n"/>
      <c r="B446" s="41" t="n"/>
      <c r="C446" s="41" t="n"/>
      <c r="D446" s="41" t="n"/>
    </row>
    <row r="447" ht="15.75" customHeight="1" s="60">
      <c r="A447" s="41" t="n"/>
      <c r="B447" s="41" t="n"/>
      <c r="C447" s="41" t="n"/>
      <c r="D447" s="41" t="n"/>
    </row>
    <row r="448" ht="15.75" customHeight="1" s="60">
      <c r="A448" s="41" t="n"/>
      <c r="B448" s="41" t="n"/>
      <c r="C448" s="41" t="n"/>
      <c r="D448" s="41" t="n"/>
    </row>
    <row r="449" ht="15.75" customHeight="1" s="60">
      <c r="A449" s="41" t="n"/>
      <c r="B449" s="41" t="n"/>
      <c r="C449" s="41" t="n"/>
      <c r="D449" s="41" t="n"/>
    </row>
    <row r="450" ht="15.75" customHeight="1" s="60">
      <c r="A450" s="41" t="n"/>
      <c r="B450" s="41" t="n"/>
      <c r="C450" s="41" t="n"/>
      <c r="D450" s="41" t="n"/>
    </row>
    <row r="451" ht="15.75" customHeight="1" s="60">
      <c r="A451" s="41" t="n"/>
      <c r="B451" s="41" t="n"/>
      <c r="C451" s="41" t="n"/>
      <c r="D451" s="41" t="n"/>
    </row>
    <row r="452" ht="15.75" customHeight="1" s="60">
      <c r="A452" s="41" t="n"/>
      <c r="B452" s="41" t="n"/>
      <c r="C452" s="41" t="n"/>
      <c r="D452" s="41" t="n"/>
    </row>
    <row r="453" ht="15.75" customHeight="1" s="60">
      <c r="A453" s="41" t="n"/>
      <c r="B453" s="41" t="n"/>
      <c r="C453" s="41" t="n"/>
      <c r="D453" s="41" t="n"/>
    </row>
    <row r="454" ht="15.75" customHeight="1" s="60">
      <c r="A454" s="41" t="n"/>
      <c r="B454" s="41" t="n"/>
      <c r="C454" s="41" t="n"/>
      <c r="D454" s="41" t="n"/>
    </row>
    <row r="455" ht="15.75" customHeight="1" s="60">
      <c r="A455" s="41" t="n"/>
      <c r="B455" s="41" t="n"/>
      <c r="C455" s="41" t="n"/>
      <c r="D455" s="41" t="n"/>
    </row>
    <row r="456" ht="15.75" customHeight="1" s="60">
      <c r="A456" s="41" t="n"/>
      <c r="B456" s="41" t="n"/>
      <c r="C456" s="41" t="n"/>
      <c r="D456" s="41" t="n"/>
    </row>
    <row r="457" ht="15.75" customHeight="1" s="60">
      <c r="A457" s="41" t="n"/>
      <c r="B457" s="41" t="n"/>
      <c r="C457" s="41" t="n"/>
      <c r="D457" s="41" t="n"/>
    </row>
    <row r="458" ht="15.75" customHeight="1" s="60">
      <c r="A458" s="41" t="n"/>
      <c r="B458" s="41" t="n"/>
      <c r="C458" s="41" t="n"/>
      <c r="D458" s="41" t="n"/>
    </row>
    <row r="459" ht="15.75" customHeight="1" s="60">
      <c r="A459" s="41" t="n"/>
      <c r="B459" s="41" t="n"/>
      <c r="C459" s="41" t="n"/>
      <c r="D459" s="41" t="n"/>
    </row>
    <row r="460" ht="15.75" customHeight="1" s="60">
      <c r="A460" s="41" t="n"/>
      <c r="B460" s="41" t="n"/>
      <c r="C460" s="41" t="n"/>
      <c r="D460" s="41" t="n"/>
    </row>
    <row r="461" ht="15.75" customHeight="1" s="60">
      <c r="A461" s="41" t="n"/>
      <c r="B461" s="41" t="n"/>
      <c r="C461" s="41" t="n"/>
      <c r="D461" s="41" t="n"/>
    </row>
    <row r="462" ht="15.75" customHeight="1" s="60">
      <c r="A462" s="41" t="n"/>
      <c r="B462" s="41" t="n"/>
      <c r="C462" s="41" t="n"/>
      <c r="D462" s="41" t="n"/>
    </row>
    <row r="463" ht="15.75" customHeight="1" s="60">
      <c r="A463" s="41" t="n"/>
      <c r="B463" s="41" t="n"/>
      <c r="C463" s="41" t="n"/>
      <c r="D463" s="41" t="n"/>
    </row>
    <row r="464" ht="15.75" customHeight="1" s="60">
      <c r="A464" s="41" t="n"/>
      <c r="B464" s="41" t="n"/>
      <c r="C464" s="41" t="n"/>
      <c r="D464" s="41" t="n"/>
    </row>
    <row r="465" ht="15.75" customHeight="1" s="60">
      <c r="A465" s="41" t="n"/>
      <c r="B465" s="41" t="n"/>
      <c r="C465" s="41" t="n"/>
      <c r="D465" s="41" t="n"/>
    </row>
    <row r="466" ht="15.75" customHeight="1" s="60">
      <c r="A466" s="41" t="n"/>
      <c r="B466" s="41" t="n"/>
      <c r="C466" s="41" t="n"/>
      <c r="D466" s="41" t="n"/>
    </row>
    <row r="467" ht="15.75" customHeight="1" s="60">
      <c r="A467" s="41" t="n"/>
      <c r="B467" s="41" t="n"/>
      <c r="C467" s="41" t="n"/>
      <c r="D467" s="41" t="n"/>
    </row>
    <row r="468" ht="15.75" customHeight="1" s="60">
      <c r="A468" s="41" t="n"/>
      <c r="B468" s="41" t="n"/>
      <c r="C468" s="41" t="n"/>
      <c r="D468" s="41" t="n"/>
    </row>
    <row r="469" ht="15.75" customHeight="1" s="60">
      <c r="A469" s="41" t="n"/>
      <c r="B469" s="41" t="n"/>
      <c r="C469" s="41" t="n"/>
      <c r="D469" s="41" t="n"/>
    </row>
    <row r="470" ht="15.75" customHeight="1" s="60">
      <c r="A470" s="41" t="n"/>
      <c r="B470" s="41" t="n"/>
      <c r="C470" s="41" t="n"/>
      <c r="D470" s="41" t="n"/>
    </row>
    <row r="471" ht="15.75" customHeight="1" s="60">
      <c r="A471" s="41" t="n"/>
      <c r="B471" s="41" t="n"/>
      <c r="C471" s="41" t="n"/>
      <c r="D471" s="41" t="n"/>
    </row>
    <row r="472" ht="15.75" customHeight="1" s="60">
      <c r="A472" s="41" t="n"/>
      <c r="B472" s="41" t="n"/>
      <c r="C472" s="41" t="n"/>
      <c r="D472" s="41" t="n"/>
    </row>
    <row r="473" ht="15.75" customHeight="1" s="60">
      <c r="A473" s="41" t="n"/>
      <c r="B473" s="41" t="n"/>
      <c r="C473" s="41" t="n"/>
      <c r="D473" s="41" t="n"/>
    </row>
    <row r="474" ht="15.75" customHeight="1" s="60">
      <c r="A474" s="41" t="n"/>
      <c r="B474" s="41" t="n"/>
      <c r="C474" s="41" t="n"/>
      <c r="D474" s="41" t="n"/>
    </row>
    <row r="475" ht="15.75" customHeight="1" s="60">
      <c r="A475" s="41" t="n"/>
      <c r="B475" s="41" t="n"/>
      <c r="C475" s="41" t="n"/>
      <c r="D475" s="41" t="n"/>
    </row>
    <row r="476" ht="15.75" customHeight="1" s="60">
      <c r="A476" s="41" t="n"/>
      <c r="B476" s="41" t="n"/>
      <c r="C476" s="41" t="n"/>
      <c r="D476" s="41" t="n"/>
    </row>
    <row r="477" ht="15.75" customHeight="1" s="60">
      <c r="A477" s="41" t="n"/>
      <c r="B477" s="41" t="n"/>
      <c r="C477" s="41" t="n"/>
      <c r="D477" s="41" t="n"/>
    </row>
    <row r="478" ht="15.75" customHeight="1" s="60">
      <c r="A478" s="41" t="n"/>
      <c r="B478" s="41" t="n"/>
      <c r="C478" s="41" t="n"/>
      <c r="D478" s="41" t="n"/>
    </row>
    <row r="479" ht="15.75" customHeight="1" s="60">
      <c r="A479" s="41" t="n"/>
      <c r="B479" s="41" t="n"/>
      <c r="C479" s="41" t="n"/>
      <c r="D479" s="41" t="n"/>
    </row>
    <row r="480" ht="15.75" customHeight="1" s="60">
      <c r="A480" s="41" t="n"/>
      <c r="B480" s="41" t="n"/>
      <c r="C480" s="41" t="n"/>
      <c r="D480" s="41" t="n"/>
    </row>
    <row r="481" ht="15.75" customHeight="1" s="60">
      <c r="A481" s="41" t="n"/>
      <c r="B481" s="41" t="n"/>
      <c r="C481" s="41" t="n"/>
      <c r="D481" s="41" t="n"/>
    </row>
    <row r="482" ht="15.75" customHeight="1" s="60">
      <c r="A482" s="41" t="n"/>
      <c r="B482" s="41" t="n"/>
      <c r="C482" s="41" t="n"/>
      <c r="D482" s="41" t="n"/>
    </row>
    <row r="483" ht="15.75" customHeight="1" s="60">
      <c r="A483" s="41" t="n"/>
      <c r="B483" s="41" t="n"/>
      <c r="C483" s="41" t="n"/>
      <c r="D483" s="41" t="n"/>
    </row>
    <row r="484" ht="15.75" customHeight="1" s="60">
      <c r="A484" s="41" t="n"/>
      <c r="B484" s="41" t="n"/>
      <c r="C484" s="41" t="n"/>
      <c r="D484" s="41" t="n"/>
    </row>
    <row r="485" ht="15.75" customHeight="1" s="60">
      <c r="A485" s="41" t="n"/>
      <c r="B485" s="41" t="n"/>
      <c r="C485" s="41" t="n"/>
      <c r="D485" s="41" t="n"/>
    </row>
    <row r="486" ht="15.75" customHeight="1" s="60">
      <c r="A486" s="41" t="n"/>
      <c r="B486" s="41" t="n"/>
      <c r="C486" s="41" t="n"/>
      <c r="D486" s="41" t="n"/>
    </row>
    <row r="487" ht="15.75" customHeight="1" s="60">
      <c r="A487" s="41" t="n"/>
      <c r="B487" s="41" t="n"/>
      <c r="C487" s="41" t="n"/>
      <c r="D487" s="41" t="n"/>
    </row>
    <row r="488" ht="15.75" customHeight="1" s="60">
      <c r="A488" s="41" t="n"/>
      <c r="B488" s="41" t="n"/>
      <c r="C488" s="41" t="n"/>
      <c r="D488" s="41" t="n"/>
    </row>
    <row r="489" ht="15.75" customHeight="1" s="60">
      <c r="A489" s="41" t="n"/>
      <c r="B489" s="41" t="n"/>
      <c r="C489" s="41" t="n"/>
      <c r="D489" s="41" t="n"/>
    </row>
    <row r="490" ht="15.75" customHeight="1" s="60">
      <c r="A490" s="41" t="n"/>
      <c r="B490" s="41" t="n"/>
      <c r="C490" s="41" t="n"/>
      <c r="D490" s="41" t="n"/>
    </row>
    <row r="491" ht="15.75" customHeight="1" s="60">
      <c r="A491" s="41" t="n"/>
      <c r="B491" s="41" t="n"/>
      <c r="C491" s="41" t="n"/>
      <c r="D491" s="41" t="n"/>
    </row>
    <row r="492" ht="15.75" customHeight="1" s="60">
      <c r="A492" s="41" t="n"/>
      <c r="B492" s="41" t="n"/>
      <c r="C492" s="41" t="n"/>
      <c r="D492" s="41" t="n"/>
    </row>
    <row r="493" ht="15.75" customHeight="1" s="60">
      <c r="A493" s="41" t="n"/>
      <c r="B493" s="41" t="n"/>
      <c r="C493" s="41" t="n"/>
      <c r="D493" s="41" t="n"/>
    </row>
    <row r="494" ht="15.75" customHeight="1" s="60">
      <c r="A494" s="41" t="n"/>
      <c r="B494" s="41" t="n"/>
      <c r="C494" s="41" t="n"/>
      <c r="D494" s="41" t="n"/>
    </row>
    <row r="495" ht="15.75" customHeight="1" s="60">
      <c r="A495" s="41" t="n"/>
      <c r="B495" s="41" t="n"/>
      <c r="C495" s="41" t="n"/>
      <c r="D495" s="41" t="n"/>
    </row>
    <row r="496" ht="15.75" customHeight="1" s="60">
      <c r="A496" s="41" t="n"/>
      <c r="B496" s="41" t="n"/>
      <c r="C496" s="41" t="n"/>
      <c r="D496" s="41" t="n"/>
    </row>
    <row r="497" ht="15.75" customHeight="1" s="60">
      <c r="A497" s="41" t="n"/>
      <c r="B497" s="41" t="n"/>
      <c r="C497" s="41" t="n"/>
      <c r="D497" s="41" t="n"/>
    </row>
    <row r="498" ht="15.75" customHeight="1" s="60">
      <c r="A498" s="41" t="n"/>
      <c r="B498" s="41" t="n"/>
      <c r="C498" s="41" t="n"/>
      <c r="D498" s="41" t="n"/>
    </row>
    <row r="499" ht="15.75" customHeight="1" s="60">
      <c r="A499" s="41" t="n"/>
      <c r="B499" s="41" t="n"/>
      <c r="C499" s="41" t="n"/>
      <c r="D499" s="41" t="n"/>
    </row>
    <row r="500" ht="15.75" customHeight="1" s="60">
      <c r="A500" s="41" t="n"/>
      <c r="B500" s="41" t="n"/>
      <c r="C500" s="41" t="n"/>
      <c r="D500" s="41" t="n"/>
    </row>
    <row r="501" ht="15.75" customHeight="1" s="60">
      <c r="A501" s="41" t="n"/>
      <c r="B501" s="41" t="n"/>
      <c r="C501" s="41" t="n"/>
      <c r="D501" s="41" t="n"/>
    </row>
    <row r="502" ht="15.75" customHeight="1" s="60">
      <c r="A502" s="41" t="n"/>
      <c r="B502" s="41" t="n"/>
      <c r="C502" s="41" t="n"/>
      <c r="D502" s="41" t="n"/>
    </row>
    <row r="503" ht="15.75" customHeight="1" s="60">
      <c r="A503" s="41" t="n"/>
      <c r="B503" s="41" t="n"/>
      <c r="C503" s="41" t="n"/>
      <c r="D503" s="41" t="n"/>
    </row>
    <row r="504" ht="15.75" customHeight="1" s="60">
      <c r="A504" s="41" t="n"/>
      <c r="B504" s="41" t="n"/>
      <c r="C504" s="41" t="n"/>
      <c r="D504" s="41" t="n"/>
    </row>
    <row r="505" ht="15.75" customHeight="1" s="60">
      <c r="A505" s="41" t="n"/>
      <c r="B505" s="41" t="n"/>
      <c r="C505" s="41" t="n"/>
      <c r="D505" s="41" t="n"/>
    </row>
    <row r="506" ht="15.75" customHeight="1" s="60">
      <c r="A506" s="41" t="n"/>
      <c r="B506" s="41" t="n"/>
      <c r="C506" s="41" t="n"/>
      <c r="D506" s="41" t="n"/>
    </row>
    <row r="507" ht="15.75" customHeight="1" s="60">
      <c r="A507" s="41" t="n"/>
      <c r="B507" s="41" t="n"/>
      <c r="C507" s="41" t="n"/>
      <c r="D507" s="41" t="n"/>
    </row>
    <row r="508" ht="15.75" customHeight="1" s="60">
      <c r="A508" s="41" t="n"/>
      <c r="B508" s="41" t="n"/>
      <c r="C508" s="41" t="n"/>
      <c r="D508" s="41" t="n"/>
    </row>
    <row r="509" ht="15.75" customHeight="1" s="60">
      <c r="A509" s="41" t="n"/>
      <c r="B509" s="41" t="n"/>
      <c r="C509" s="41" t="n"/>
      <c r="D509" s="41" t="n"/>
    </row>
    <row r="510" ht="15.75" customHeight="1" s="60">
      <c r="A510" s="41" t="n"/>
      <c r="B510" s="41" t="n"/>
      <c r="C510" s="41" t="n"/>
      <c r="D510" s="41" t="n"/>
    </row>
    <row r="511" ht="15.75" customHeight="1" s="60">
      <c r="A511" s="41" t="n"/>
      <c r="B511" s="41" t="n"/>
      <c r="C511" s="41" t="n"/>
      <c r="D511" s="41" t="n"/>
    </row>
    <row r="512" ht="15.75" customHeight="1" s="60">
      <c r="A512" s="41" t="n"/>
      <c r="B512" s="41" t="n"/>
      <c r="C512" s="41" t="n"/>
      <c r="D512" s="41" t="n"/>
    </row>
    <row r="513" ht="15.75" customHeight="1" s="60">
      <c r="A513" s="41" t="n"/>
      <c r="B513" s="41" t="n"/>
      <c r="C513" s="41" t="n"/>
      <c r="D513" s="41" t="n"/>
    </row>
    <row r="514" ht="15.75" customHeight="1" s="60">
      <c r="A514" s="41" t="n"/>
      <c r="B514" s="41" t="n"/>
      <c r="C514" s="41" t="n"/>
      <c r="D514" s="41" t="n"/>
    </row>
    <row r="515" ht="15.75" customHeight="1" s="60">
      <c r="A515" s="41" t="n"/>
      <c r="B515" s="41" t="n"/>
      <c r="C515" s="41" t="n"/>
      <c r="D515" s="41" t="n"/>
    </row>
    <row r="516" ht="15.75" customHeight="1" s="60">
      <c r="A516" s="41" t="n"/>
      <c r="B516" s="41" t="n"/>
      <c r="C516" s="41" t="n"/>
      <c r="D516" s="41" t="n"/>
    </row>
    <row r="517" ht="15.75" customHeight="1" s="60">
      <c r="A517" s="41" t="n"/>
      <c r="B517" s="41" t="n"/>
      <c r="C517" s="41" t="n"/>
      <c r="D517" s="41" t="n"/>
    </row>
    <row r="518" ht="15.75" customHeight="1" s="60">
      <c r="A518" s="41" t="n"/>
      <c r="B518" s="41" t="n"/>
      <c r="C518" s="41" t="n"/>
      <c r="D518" s="41" t="n"/>
    </row>
    <row r="519" ht="15.75" customHeight="1" s="60">
      <c r="A519" s="41" t="n"/>
      <c r="B519" s="41" t="n"/>
      <c r="C519" s="41" t="n"/>
      <c r="D519" s="41" t="n"/>
    </row>
    <row r="520" ht="15.75" customHeight="1" s="60">
      <c r="A520" s="41" t="n"/>
      <c r="B520" s="41" t="n"/>
      <c r="C520" s="41" t="n"/>
      <c r="D520" s="41" t="n"/>
    </row>
    <row r="521" ht="15.75" customHeight="1" s="60">
      <c r="A521" s="41" t="n"/>
      <c r="B521" s="41" t="n"/>
      <c r="C521" s="41" t="n"/>
      <c r="D521" s="41" t="n"/>
    </row>
    <row r="522" ht="15.75" customHeight="1" s="60">
      <c r="A522" s="41" t="n"/>
      <c r="B522" s="41" t="n"/>
      <c r="C522" s="41" t="n"/>
      <c r="D522" s="41" t="n"/>
    </row>
    <row r="523" ht="15.75" customHeight="1" s="60">
      <c r="A523" s="41" t="n"/>
      <c r="B523" s="41" t="n"/>
      <c r="C523" s="41" t="n"/>
      <c r="D523" s="41" t="n"/>
    </row>
    <row r="524" ht="15.75" customHeight="1" s="60">
      <c r="A524" s="41" t="n"/>
      <c r="B524" s="41" t="n"/>
      <c r="C524" s="41" t="n"/>
      <c r="D524" s="41" t="n"/>
    </row>
    <row r="525" ht="15.75" customHeight="1" s="60">
      <c r="A525" s="41" t="n"/>
      <c r="B525" s="41" t="n"/>
      <c r="C525" s="41" t="n"/>
      <c r="D525" s="41" t="n"/>
    </row>
    <row r="526" ht="15.75" customHeight="1" s="60">
      <c r="A526" s="41" t="n"/>
      <c r="B526" s="41" t="n"/>
      <c r="C526" s="41" t="n"/>
      <c r="D526" s="41" t="n"/>
    </row>
    <row r="527" ht="15.75" customHeight="1" s="60">
      <c r="A527" s="41" t="n"/>
      <c r="B527" s="41" t="n"/>
      <c r="C527" s="41" t="n"/>
      <c r="D527" s="41" t="n"/>
    </row>
    <row r="528" ht="15.75" customHeight="1" s="60">
      <c r="A528" s="41" t="n"/>
      <c r="B528" s="41" t="n"/>
      <c r="C528" s="41" t="n"/>
      <c r="D528" s="41" t="n"/>
    </row>
    <row r="529" ht="15.75" customHeight="1" s="60">
      <c r="A529" s="41" t="n"/>
      <c r="B529" s="41" t="n"/>
      <c r="C529" s="41" t="n"/>
      <c r="D529" s="41" t="n"/>
    </row>
    <row r="530" ht="15.75" customHeight="1" s="60">
      <c r="A530" s="41" t="n"/>
      <c r="B530" s="41" t="n"/>
      <c r="C530" s="41" t="n"/>
      <c r="D530" s="41" t="n"/>
    </row>
    <row r="531" ht="15.75" customHeight="1" s="60">
      <c r="A531" s="41" t="n"/>
      <c r="B531" s="41" t="n"/>
      <c r="C531" s="41" t="n"/>
      <c r="D531" s="41" t="n"/>
    </row>
    <row r="532" ht="15.75" customHeight="1" s="60">
      <c r="A532" s="41" t="n"/>
      <c r="B532" s="41" t="n"/>
      <c r="C532" s="41" t="n"/>
      <c r="D532" s="41" t="n"/>
    </row>
    <row r="533" ht="15.75" customHeight="1" s="60">
      <c r="A533" s="41" t="n"/>
      <c r="B533" s="41" t="n"/>
      <c r="C533" s="41" t="n"/>
      <c r="D533" s="41" t="n"/>
    </row>
    <row r="534" ht="15.75" customHeight="1" s="60">
      <c r="A534" s="41" t="n"/>
      <c r="B534" s="41" t="n"/>
      <c r="C534" s="41" t="n"/>
      <c r="D534" s="41" t="n"/>
    </row>
    <row r="535" ht="15.75" customHeight="1" s="60">
      <c r="A535" s="41" t="n"/>
      <c r="B535" s="41" t="n"/>
      <c r="C535" s="41" t="n"/>
      <c r="D535" s="41" t="n"/>
    </row>
    <row r="536" ht="15.75" customHeight="1" s="60">
      <c r="A536" s="41" t="n"/>
      <c r="B536" s="41" t="n"/>
      <c r="C536" s="41" t="n"/>
      <c r="D536" s="41" t="n"/>
    </row>
    <row r="537" ht="15.75" customHeight="1" s="60">
      <c r="A537" s="41" t="n"/>
      <c r="B537" s="41" t="n"/>
      <c r="C537" s="41" t="n"/>
      <c r="D537" s="41" t="n"/>
    </row>
    <row r="538" ht="15.75" customHeight="1" s="60">
      <c r="A538" s="41" t="n"/>
      <c r="B538" s="41" t="n"/>
      <c r="C538" s="41" t="n"/>
      <c r="D538" s="41" t="n"/>
    </row>
    <row r="539" ht="15.75" customHeight="1" s="60">
      <c r="A539" s="41" t="n"/>
      <c r="B539" s="41" t="n"/>
      <c r="C539" s="41" t="n"/>
      <c r="D539" s="41" t="n"/>
    </row>
    <row r="540" ht="15.75" customHeight="1" s="60">
      <c r="A540" s="41" t="n"/>
      <c r="B540" s="41" t="n"/>
      <c r="C540" s="41" t="n"/>
      <c r="D540" s="41" t="n"/>
    </row>
    <row r="541" ht="15.75" customHeight="1" s="60">
      <c r="A541" s="41" t="n"/>
      <c r="B541" s="41" t="n"/>
      <c r="C541" s="41" t="n"/>
      <c r="D541" s="41" t="n"/>
    </row>
    <row r="542" ht="15.75" customHeight="1" s="60">
      <c r="A542" s="41" t="n"/>
      <c r="B542" s="41" t="n"/>
      <c r="C542" s="41" t="n"/>
      <c r="D542" s="41" t="n"/>
    </row>
    <row r="543" ht="15.75" customHeight="1" s="60">
      <c r="A543" s="41" t="n"/>
      <c r="B543" s="41" t="n"/>
      <c r="C543" s="41" t="n"/>
      <c r="D543" s="41" t="n"/>
    </row>
    <row r="544" ht="15.75" customHeight="1" s="60">
      <c r="A544" s="41" t="n"/>
      <c r="B544" s="41" t="n"/>
      <c r="C544" s="41" t="n"/>
      <c r="D544" s="41" t="n"/>
    </row>
    <row r="545" ht="15.75" customHeight="1" s="60">
      <c r="A545" s="41" t="n"/>
      <c r="B545" s="41" t="n"/>
      <c r="C545" s="41" t="n"/>
      <c r="D545" s="41" t="n"/>
    </row>
    <row r="546" ht="15.75" customHeight="1" s="60">
      <c r="A546" s="41" t="n"/>
      <c r="B546" s="41" t="n"/>
      <c r="C546" s="41" t="n"/>
      <c r="D546" s="41" t="n"/>
    </row>
    <row r="547" ht="15.75" customHeight="1" s="60">
      <c r="A547" s="41" t="n"/>
      <c r="B547" s="41" t="n"/>
      <c r="C547" s="41" t="n"/>
      <c r="D547" s="41" t="n"/>
    </row>
    <row r="548" ht="15.75" customHeight="1" s="60">
      <c r="A548" s="41" t="n"/>
      <c r="B548" s="41" t="n"/>
      <c r="C548" s="41" t="n"/>
      <c r="D548" s="41" t="n"/>
    </row>
    <row r="549" ht="15.75" customHeight="1" s="60">
      <c r="A549" s="41" t="n"/>
      <c r="B549" s="41" t="n"/>
      <c r="C549" s="41" t="n"/>
      <c r="D549" s="41" t="n"/>
    </row>
    <row r="550" ht="15.75" customHeight="1" s="60">
      <c r="A550" s="41" t="n"/>
      <c r="B550" s="41" t="n"/>
      <c r="C550" s="41" t="n"/>
      <c r="D550" s="41" t="n"/>
    </row>
    <row r="551" ht="15.75" customHeight="1" s="60">
      <c r="A551" s="41" t="n"/>
      <c r="B551" s="41" t="n"/>
      <c r="C551" s="41" t="n"/>
      <c r="D551" s="41" t="n"/>
    </row>
    <row r="552" ht="15.75" customHeight="1" s="60">
      <c r="A552" s="41" t="n"/>
      <c r="B552" s="41" t="n"/>
      <c r="C552" s="41" t="n"/>
      <c r="D552" s="41" t="n"/>
    </row>
    <row r="553" ht="15.75" customHeight="1" s="60">
      <c r="A553" s="41" t="n"/>
      <c r="B553" s="41" t="n"/>
      <c r="C553" s="41" t="n"/>
      <c r="D553" s="41" t="n"/>
    </row>
    <row r="554" ht="15.75" customHeight="1" s="60">
      <c r="A554" s="41" t="n"/>
      <c r="B554" s="41" t="n"/>
      <c r="C554" s="41" t="n"/>
      <c r="D554" s="41" t="n"/>
    </row>
    <row r="555" ht="15.75" customHeight="1" s="60">
      <c r="A555" s="41" t="n"/>
      <c r="B555" s="41" t="n"/>
      <c r="C555" s="41" t="n"/>
      <c r="D555" s="41" t="n"/>
    </row>
    <row r="556" ht="15.75" customHeight="1" s="60">
      <c r="A556" s="41" t="n"/>
      <c r="B556" s="41" t="n"/>
      <c r="C556" s="41" t="n"/>
      <c r="D556" s="41" t="n"/>
    </row>
    <row r="557" ht="15.75" customHeight="1" s="60">
      <c r="A557" s="41" t="n"/>
      <c r="B557" s="41" t="n"/>
      <c r="C557" s="41" t="n"/>
      <c r="D557" s="41" t="n"/>
    </row>
    <row r="558" ht="15.75" customHeight="1" s="60">
      <c r="A558" s="41" t="n"/>
      <c r="B558" s="41" t="n"/>
      <c r="C558" s="41" t="n"/>
      <c r="D558" s="41" t="n"/>
    </row>
    <row r="559" ht="15.75" customHeight="1" s="60">
      <c r="A559" s="41" t="n"/>
      <c r="B559" s="41" t="n"/>
      <c r="C559" s="41" t="n"/>
      <c r="D559" s="41" t="n"/>
    </row>
    <row r="560" ht="15.75" customHeight="1" s="60">
      <c r="A560" s="41" t="n"/>
      <c r="B560" s="41" t="n"/>
      <c r="C560" s="41" t="n"/>
      <c r="D560" s="41" t="n"/>
    </row>
    <row r="561" ht="15.75" customHeight="1" s="60">
      <c r="A561" s="41" t="n"/>
      <c r="B561" s="41" t="n"/>
      <c r="C561" s="41" t="n"/>
      <c r="D561" s="41" t="n"/>
    </row>
    <row r="562" ht="15.75" customHeight="1" s="60">
      <c r="A562" s="41" t="n"/>
      <c r="B562" s="41" t="n"/>
      <c r="C562" s="41" t="n"/>
      <c r="D562" s="41" t="n"/>
    </row>
    <row r="563" ht="15.75" customHeight="1" s="60">
      <c r="A563" s="41" t="n"/>
      <c r="B563" s="41" t="n"/>
      <c r="C563" s="41" t="n"/>
      <c r="D563" s="41" t="n"/>
    </row>
    <row r="564" ht="15.75" customHeight="1" s="60">
      <c r="A564" s="41" t="n"/>
      <c r="B564" s="41" t="n"/>
      <c r="C564" s="41" t="n"/>
      <c r="D564" s="41" t="n"/>
    </row>
    <row r="565" ht="15.75" customHeight="1" s="60">
      <c r="A565" s="41" t="n"/>
      <c r="B565" s="41" t="n"/>
      <c r="C565" s="41" t="n"/>
      <c r="D565" s="41" t="n"/>
    </row>
    <row r="566" ht="15.75" customHeight="1" s="60">
      <c r="A566" s="41" t="n"/>
      <c r="B566" s="41" t="n"/>
      <c r="C566" s="41" t="n"/>
      <c r="D566" s="41" t="n"/>
    </row>
    <row r="567" ht="15.75" customHeight="1" s="60">
      <c r="A567" s="41" t="n"/>
      <c r="B567" s="41" t="n"/>
      <c r="C567" s="41" t="n"/>
      <c r="D567" s="41" t="n"/>
    </row>
    <row r="568" ht="15.75" customHeight="1" s="60">
      <c r="A568" s="41" t="n"/>
      <c r="B568" s="41" t="n"/>
      <c r="C568" s="41" t="n"/>
      <c r="D568" s="41" t="n"/>
    </row>
    <row r="569" ht="15.75" customHeight="1" s="60">
      <c r="A569" s="41" t="n"/>
      <c r="B569" s="41" t="n"/>
      <c r="C569" s="41" t="n"/>
      <c r="D569" s="41" t="n"/>
    </row>
    <row r="570" ht="15.75" customHeight="1" s="60">
      <c r="A570" s="41" t="n"/>
      <c r="B570" s="41" t="n"/>
      <c r="C570" s="41" t="n"/>
      <c r="D570" s="41" t="n"/>
    </row>
    <row r="571" ht="15.75" customHeight="1" s="60">
      <c r="A571" s="41" t="n"/>
      <c r="B571" s="41" t="n"/>
      <c r="C571" s="41" t="n"/>
      <c r="D571" s="41" t="n"/>
    </row>
    <row r="572" ht="15.75" customHeight="1" s="60">
      <c r="A572" s="41" t="n"/>
      <c r="B572" s="41" t="n"/>
      <c r="C572" s="41" t="n"/>
      <c r="D572" s="41" t="n"/>
    </row>
    <row r="573" ht="15.75" customHeight="1" s="60">
      <c r="A573" s="41" t="n"/>
      <c r="B573" s="41" t="n"/>
      <c r="C573" s="41" t="n"/>
      <c r="D573" s="41" t="n"/>
    </row>
    <row r="574" ht="15.75" customHeight="1" s="60">
      <c r="A574" s="41" t="n"/>
      <c r="B574" s="41" t="n"/>
      <c r="C574" s="41" t="n"/>
      <c r="D574" s="41" t="n"/>
    </row>
    <row r="575" ht="15.75" customHeight="1" s="60">
      <c r="A575" s="41" t="n"/>
      <c r="B575" s="41" t="n"/>
      <c r="C575" s="41" t="n"/>
      <c r="D575" s="41" t="n"/>
    </row>
    <row r="576" ht="15.75" customHeight="1" s="60">
      <c r="A576" s="41" t="n"/>
      <c r="B576" s="41" t="n"/>
      <c r="C576" s="41" t="n"/>
      <c r="D576" s="41" t="n"/>
    </row>
    <row r="577" ht="15.75" customHeight="1" s="60">
      <c r="A577" s="41" t="n"/>
      <c r="B577" s="41" t="n"/>
      <c r="C577" s="41" t="n"/>
      <c r="D577" s="41" t="n"/>
    </row>
    <row r="578" ht="15.75" customHeight="1" s="60">
      <c r="A578" s="41" t="n"/>
      <c r="B578" s="41" t="n"/>
      <c r="C578" s="41" t="n"/>
      <c r="D578" s="41" t="n"/>
    </row>
    <row r="579" ht="15.75" customHeight="1" s="60">
      <c r="A579" s="41" t="n"/>
      <c r="B579" s="41" t="n"/>
      <c r="C579" s="41" t="n"/>
      <c r="D579" s="41" t="n"/>
    </row>
    <row r="580" ht="15.75" customHeight="1" s="60">
      <c r="A580" s="41" t="n"/>
      <c r="B580" s="41" t="n"/>
      <c r="C580" s="41" t="n"/>
      <c r="D580" s="41" t="n"/>
    </row>
    <row r="581" ht="15.75" customHeight="1" s="60">
      <c r="A581" s="41" t="n"/>
      <c r="B581" s="41" t="n"/>
      <c r="C581" s="41" t="n"/>
      <c r="D581" s="41" t="n"/>
    </row>
    <row r="582" ht="15.75" customHeight="1" s="60">
      <c r="A582" s="41" t="n"/>
      <c r="B582" s="41" t="n"/>
      <c r="C582" s="41" t="n"/>
      <c r="D582" s="41" t="n"/>
    </row>
    <row r="583" ht="15.75" customHeight="1" s="60">
      <c r="A583" s="41" t="n"/>
      <c r="B583" s="41" t="n"/>
      <c r="C583" s="41" t="n"/>
      <c r="D583" s="41" t="n"/>
    </row>
    <row r="584" ht="15.75" customHeight="1" s="60">
      <c r="A584" s="41" t="n"/>
      <c r="B584" s="41" t="n"/>
      <c r="C584" s="41" t="n"/>
      <c r="D584" s="41" t="n"/>
    </row>
    <row r="585" ht="15.75" customHeight="1" s="60">
      <c r="A585" s="41" t="n"/>
      <c r="B585" s="41" t="n"/>
      <c r="C585" s="41" t="n"/>
      <c r="D585" s="41" t="n"/>
    </row>
    <row r="586" ht="15.75" customHeight="1" s="60">
      <c r="A586" s="41" t="n"/>
      <c r="B586" s="41" t="n"/>
      <c r="C586" s="41" t="n"/>
      <c r="D586" s="41" t="n"/>
    </row>
    <row r="587" ht="15.75" customHeight="1" s="60">
      <c r="A587" s="41" t="n"/>
      <c r="B587" s="41" t="n"/>
      <c r="C587" s="41" t="n"/>
      <c r="D587" s="41" t="n"/>
    </row>
    <row r="588" ht="15.75" customHeight="1" s="60">
      <c r="A588" s="41" t="n"/>
      <c r="B588" s="41" t="n"/>
      <c r="C588" s="41" t="n"/>
      <c r="D588" s="41" t="n"/>
    </row>
    <row r="589" ht="15.75" customHeight="1" s="60">
      <c r="A589" s="41" t="n"/>
      <c r="B589" s="41" t="n"/>
      <c r="C589" s="41" t="n"/>
      <c r="D589" s="41" t="n"/>
    </row>
    <row r="590" ht="15.75" customHeight="1" s="60">
      <c r="A590" s="41" t="n"/>
      <c r="B590" s="41" t="n"/>
      <c r="C590" s="41" t="n"/>
      <c r="D590" s="41" t="n"/>
    </row>
    <row r="591" ht="15.75" customHeight="1" s="60">
      <c r="A591" s="41" t="n"/>
      <c r="B591" s="41" t="n"/>
      <c r="C591" s="41" t="n"/>
      <c r="D591" s="41" t="n"/>
    </row>
    <row r="592" ht="15.75" customHeight="1" s="60">
      <c r="A592" s="41" t="n"/>
      <c r="B592" s="41" t="n"/>
      <c r="C592" s="41" t="n"/>
      <c r="D592" s="41" t="n"/>
    </row>
    <row r="593" ht="15.75" customHeight="1" s="60">
      <c r="A593" s="41" t="n"/>
      <c r="B593" s="41" t="n"/>
      <c r="C593" s="41" t="n"/>
      <c r="D593" s="41" t="n"/>
    </row>
    <row r="594" ht="15.75" customHeight="1" s="60">
      <c r="A594" s="41" t="n"/>
      <c r="B594" s="41" t="n"/>
      <c r="C594" s="41" t="n"/>
      <c r="D594" s="41" t="n"/>
    </row>
    <row r="595" ht="15.75" customHeight="1" s="60">
      <c r="A595" s="41" t="n"/>
      <c r="B595" s="41" t="n"/>
      <c r="C595" s="41" t="n"/>
      <c r="D595" s="41" t="n"/>
    </row>
    <row r="596" ht="15.75" customHeight="1" s="60">
      <c r="A596" s="41" t="n"/>
      <c r="B596" s="41" t="n"/>
      <c r="C596" s="41" t="n"/>
      <c r="D596" s="41" t="n"/>
    </row>
    <row r="597" ht="15.75" customHeight="1" s="60">
      <c r="A597" s="41" t="n"/>
      <c r="B597" s="41" t="n"/>
      <c r="C597" s="41" t="n"/>
      <c r="D597" s="41" t="n"/>
    </row>
    <row r="598" ht="15.75" customHeight="1" s="60">
      <c r="A598" s="41" t="n"/>
      <c r="B598" s="41" t="n"/>
      <c r="C598" s="41" t="n"/>
      <c r="D598" s="41" t="n"/>
    </row>
    <row r="599" ht="15.75" customHeight="1" s="60">
      <c r="A599" s="41" t="n"/>
      <c r="B599" s="41" t="n"/>
      <c r="C599" s="41" t="n"/>
      <c r="D599" s="41" t="n"/>
    </row>
    <row r="600" ht="15.75" customHeight="1" s="60">
      <c r="A600" s="41" t="n"/>
      <c r="B600" s="41" t="n"/>
      <c r="C600" s="41" t="n"/>
      <c r="D600" s="41" t="n"/>
    </row>
    <row r="601" ht="15.75" customHeight="1" s="60">
      <c r="A601" s="41" t="n"/>
      <c r="B601" s="41" t="n"/>
      <c r="C601" s="41" t="n"/>
      <c r="D601" s="41" t="n"/>
    </row>
    <row r="602" ht="15.75" customHeight="1" s="60">
      <c r="A602" s="41" t="n"/>
      <c r="B602" s="41" t="n"/>
      <c r="C602" s="41" t="n"/>
      <c r="D602" s="41" t="n"/>
    </row>
    <row r="603" ht="15.75" customHeight="1" s="60">
      <c r="A603" s="41" t="n"/>
      <c r="B603" s="41" t="n"/>
      <c r="C603" s="41" t="n"/>
      <c r="D603" s="41" t="n"/>
    </row>
    <row r="604" ht="15.75" customHeight="1" s="60">
      <c r="A604" s="41" t="n"/>
      <c r="B604" s="41" t="n"/>
      <c r="C604" s="41" t="n"/>
      <c r="D604" s="41" t="n"/>
    </row>
    <row r="605" ht="15.75" customHeight="1" s="60">
      <c r="A605" s="41" t="n"/>
      <c r="B605" s="41" t="n"/>
      <c r="C605" s="41" t="n"/>
      <c r="D605" s="41" t="n"/>
    </row>
    <row r="606" ht="15.75" customHeight="1" s="60">
      <c r="A606" s="41" t="n"/>
      <c r="B606" s="41" t="n"/>
      <c r="C606" s="41" t="n"/>
      <c r="D606" s="41" t="n"/>
    </row>
    <row r="607" ht="15.75" customHeight="1" s="60">
      <c r="A607" s="41" t="n"/>
      <c r="B607" s="41" t="n"/>
      <c r="C607" s="41" t="n"/>
      <c r="D607" s="41" t="n"/>
    </row>
    <row r="608" ht="15.75" customHeight="1" s="60">
      <c r="A608" s="41" t="n"/>
      <c r="B608" s="41" t="n"/>
      <c r="C608" s="41" t="n"/>
      <c r="D608" s="41" t="n"/>
    </row>
    <row r="609" ht="15.75" customHeight="1" s="60">
      <c r="A609" s="41" t="n"/>
      <c r="B609" s="41" t="n"/>
      <c r="C609" s="41" t="n"/>
      <c r="D609" s="41" t="n"/>
    </row>
    <row r="610" ht="15.75" customHeight="1" s="60">
      <c r="A610" s="41" t="n"/>
      <c r="B610" s="41" t="n"/>
      <c r="C610" s="41" t="n"/>
      <c r="D610" s="41" t="n"/>
    </row>
    <row r="611" ht="15.75" customHeight="1" s="60">
      <c r="A611" s="41" t="n"/>
      <c r="B611" s="41" t="n"/>
      <c r="C611" s="41" t="n"/>
      <c r="D611" s="41" t="n"/>
    </row>
    <row r="612" ht="15.75" customHeight="1" s="60">
      <c r="A612" s="41" t="n"/>
      <c r="B612" s="41" t="n"/>
      <c r="C612" s="41" t="n"/>
      <c r="D612" s="41" t="n"/>
    </row>
    <row r="613" ht="15.75" customHeight="1" s="60">
      <c r="A613" s="41" t="n"/>
      <c r="B613" s="41" t="n"/>
      <c r="C613" s="41" t="n"/>
      <c r="D613" s="41" t="n"/>
    </row>
    <row r="614" ht="15.75" customHeight="1" s="60">
      <c r="A614" s="41" t="n"/>
      <c r="B614" s="41" t="n"/>
      <c r="C614" s="41" t="n"/>
      <c r="D614" s="41" t="n"/>
    </row>
    <row r="615" ht="15.75" customHeight="1" s="60">
      <c r="A615" s="41" t="n"/>
      <c r="B615" s="41" t="n"/>
      <c r="C615" s="41" t="n"/>
      <c r="D615" s="41" t="n"/>
    </row>
    <row r="616" ht="15.75" customHeight="1" s="60">
      <c r="A616" s="41" t="n"/>
      <c r="B616" s="41" t="n"/>
      <c r="C616" s="41" t="n"/>
      <c r="D616" s="41" t="n"/>
    </row>
    <row r="617" ht="15.75" customHeight="1" s="60">
      <c r="A617" s="41" t="n"/>
      <c r="B617" s="41" t="n"/>
      <c r="C617" s="41" t="n"/>
      <c r="D617" s="41" t="n"/>
    </row>
    <row r="618" ht="15.75" customHeight="1" s="60">
      <c r="A618" s="41" t="n"/>
      <c r="B618" s="41" t="n"/>
      <c r="C618" s="41" t="n"/>
      <c r="D618" s="41" t="n"/>
    </row>
    <row r="619" ht="15.75" customHeight="1" s="60">
      <c r="A619" s="41" t="n"/>
      <c r="B619" s="41" t="n"/>
      <c r="C619" s="41" t="n"/>
      <c r="D619" s="41" t="n"/>
    </row>
    <row r="620" ht="15.75" customHeight="1" s="60">
      <c r="A620" s="41" t="n"/>
      <c r="B620" s="41" t="n"/>
      <c r="C620" s="41" t="n"/>
      <c r="D620" s="41" t="n"/>
    </row>
    <row r="621" ht="15.75" customHeight="1" s="60">
      <c r="A621" s="41" t="n"/>
      <c r="B621" s="41" t="n"/>
      <c r="C621" s="41" t="n"/>
      <c r="D621" s="41" t="n"/>
    </row>
    <row r="622" ht="15.75" customHeight="1" s="60">
      <c r="A622" s="41" t="n"/>
      <c r="B622" s="41" t="n"/>
      <c r="C622" s="41" t="n"/>
      <c r="D622" s="41" t="n"/>
    </row>
    <row r="623" ht="15.75" customHeight="1" s="60">
      <c r="A623" s="41" t="n"/>
      <c r="B623" s="41" t="n"/>
      <c r="C623" s="41" t="n"/>
      <c r="D623" s="41" t="n"/>
    </row>
    <row r="624" ht="15.75" customHeight="1" s="60">
      <c r="A624" s="41" t="n"/>
      <c r="B624" s="41" t="n"/>
      <c r="C624" s="41" t="n"/>
      <c r="D624" s="41" t="n"/>
    </row>
    <row r="625" ht="15.75" customHeight="1" s="60">
      <c r="A625" s="41" t="n"/>
      <c r="B625" s="41" t="n"/>
      <c r="C625" s="41" t="n"/>
      <c r="D625" s="41" t="n"/>
    </row>
    <row r="626" ht="15.75" customHeight="1" s="60">
      <c r="A626" s="41" t="n"/>
      <c r="B626" s="41" t="n"/>
      <c r="C626" s="41" t="n"/>
      <c r="D626" s="41" t="n"/>
    </row>
    <row r="627" ht="15.75" customHeight="1" s="60">
      <c r="A627" s="41" t="n"/>
      <c r="B627" s="41" t="n"/>
      <c r="C627" s="41" t="n"/>
      <c r="D627" s="41" t="n"/>
    </row>
    <row r="628" ht="15.75" customHeight="1" s="60">
      <c r="A628" s="41" t="n"/>
      <c r="B628" s="41" t="n"/>
      <c r="C628" s="41" t="n"/>
      <c r="D628" s="41" t="n"/>
    </row>
    <row r="629" ht="15.75" customHeight="1" s="60">
      <c r="A629" s="41" t="n"/>
      <c r="B629" s="41" t="n"/>
      <c r="C629" s="41" t="n"/>
      <c r="D629" s="41" t="n"/>
    </row>
    <row r="630" ht="15.75" customHeight="1" s="60">
      <c r="A630" s="41" t="n"/>
      <c r="B630" s="41" t="n"/>
      <c r="C630" s="41" t="n"/>
      <c r="D630" s="41" t="n"/>
    </row>
    <row r="631" ht="15.75" customHeight="1" s="60">
      <c r="A631" s="41" t="n"/>
      <c r="B631" s="41" t="n"/>
      <c r="C631" s="41" t="n"/>
      <c r="D631" s="41" t="n"/>
    </row>
    <row r="632" ht="15.75" customHeight="1" s="60">
      <c r="A632" s="41" t="n"/>
      <c r="B632" s="41" t="n"/>
      <c r="C632" s="41" t="n"/>
      <c r="D632" s="41" t="n"/>
    </row>
    <row r="633" ht="15.75" customHeight="1" s="60">
      <c r="A633" s="41" t="n"/>
      <c r="B633" s="41" t="n"/>
      <c r="C633" s="41" t="n"/>
      <c r="D633" s="41" t="n"/>
    </row>
    <row r="634" ht="15.75" customHeight="1" s="60">
      <c r="A634" s="41" t="n"/>
      <c r="B634" s="41" t="n"/>
      <c r="C634" s="41" t="n"/>
      <c r="D634" s="41" t="n"/>
    </row>
    <row r="635" ht="15.75" customHeight="1" s="60">
      <c r="A635" s="41" t="n"/>
      <c r="B635" s="41" t="n"/>
      <c r="C635" s="41" t="n"/>
      <c r="D635" s="41" t="n"/>
    </row>
    <row r="636" ht="15.75" customHeight="1" s="60">
      <c r="A636" s="41" t="n"/>
      <c r="B636" s="41" t="n"/>
      <c r="C636" s="41" t="n"/>
      <c r="D636" s="41" t="n"/>
    </row>
    <row r="637" ht="15.75" customHeight="1" s="60">
      <c r="A637" s="41" t="n"/>
      <c r="B637" s="41" t="n"/>
      <c r="C637" s="41" t="n"/>
      <c r="D637" s="41" t="n"/>
    </row>
    <row r="638" ht="15.75" customHeight="1" s="60">
      <c r="A638" s="41" t="n"/>
      <c r="B638" s="41" t="n"/>
      <c r="C638" s="41" t="n"/>
      <c r="D638" s="41" t="n"/>
    </row>
    <row r="639" ht="15.75" customHeight="1" s="60">
      <c r="A639" s="41" t="n"/>
      <c r="B639" s="41" t="n"/>
      <c r="C639" s="41" t="n"/>
      <c r="D639" s="41" t="n"/>
    </row>
    <row r="640" ht="15.75" customHeight="1" s="60">
      <c r="A640" s="41" t="n"/>
      <c r="B640" s="41" t="n"/>
      <c r="C640" s="41" t="n"/>
      <c r="D640" s="41" t="n"/>
    </row>
    <row r="641" ht="15.75" customHeight="1" s="60">
      <c r="A641" s="41" t="n"/>
      <c r="B641" s="41" t="n"/>
      <c r="C641" s="41" t="n"/>
      <c r="D641" s="41" t="n"/>
    </row>
    <row r="642" ht="15.75" customHeight="1" s="60">
      <c r="A642" s="41" t="n"/>
      <c r="B642" s="41" t="n"/>
      <c r="C642" s="41" t="n"/>
      <c r="D642" s="41" t="n"/>
    </row>
    <row r="643" ht="15.75" customHeight="1" s="60">
      <c r="A643" s="41" t="n"/>
      <c r="B643" s="41" t="n"/>
      <c r="C643" s="41" t="n"/>
      <c r="D643" s="41" t="n"/>
    </row>
    <row r="644" ht="15.75" customHeight="1" s="60">
      <c r="A644" s="41" t="n"/>
      <c r="B644" s="41" t="n"/>
      <c r="C644" s="41" t="n"/>
      <c r="D644" s="41" t="n"/>
    </row>
    <row r="645" ht="15.75" customHeight="1" s="60">
      <c r="A645" s="41" t="n"/>
      <c r="B645" s="41" t="n"/>
      <c r="C645" s="41" t="n"/>
      <c r="D645" s="41" t="n"/>
    </row>
    <row r="646" ht="15.75" customHeight="1" s="60">
      <c r="A646" s="41" t="n"/>
      <c r="B646" s="41" t="n"/>
      <c r="C646" s="41" t="n"/>
      <c r="D646" s="41" t="n"/>
    </row>
    <row r="647" ht="15.75" customHeight="1" s="60">
      <c r="A647" s="41" t="n"/>
      <c r="B647" s="41" t="n"/>
      <c r="C647" s="41" t="n"/>
      <c r="D647" s="41" t="n"/>
    </row>
    <row r="648" ht="15.75" customHeight="1" s="60">
      <c r="A648" s="41" t="n"/>
      <c r="B648" s="41" t="n"/>
      <c r="C648" s="41" t="n"/>
      <c r="D648" s="41" t="n"/>
    </row>
    <row r="649" ht="15.75" customHeight="1" s="60">
      <c r="A649" s="41" t="n"/>
      <c r="B649" s="41" t="n"/>
      <c r="C649" s="41" t="n"/>
      <c r="D649" s="41" t="n"/>
    </row>
    <row r="650" ht="15.75" customHeight="1" s="60">
      <c r="A650" s="41" t="n"/>
      <c r="B650" s="41" t="n"/>
      <c r="C650" s="41" t="n"/>
      <c r="D650" s="41" t="n"/>
    </row>
    <row r="651" ht="15.75" customHeight="1" s="60">
      <c r="A651" s="41" t="n"/>
      <c r="B651" s="41" t="n"/>
      <c r="C651" s="41" t="n"/>
      <c r="D651" s="41" t="n"/>
    </row>
    <row r="652" ht="15.75" customHeight="1" s="60">
      <c r="A652" s="41" t="n"/>
      <c r="B652" s="41" t="n"/>
      <c r="C652" s="41" t="n"/>
      <c r="D652" s="41" t="n"/>
    </row>
    <row r="653" ht="15.75" customHeight="1" s="60">
      <c r="A653" s="41" t="n"/>
      <c r="B653" s="41" t="n"/>
      <c r="C653" s="41" t="n"/>
      <c r="D653" s="41" t="n"/>
    </row>
    <row r="654" ht="15.75" customHeight="1" s="60">
      <c r="A654" s="41" t="n"/>
      <c r="B654" s="41" t="n"/>
      <c r="C654" s="41" t="n"/>
      <c r="D654" s="41" t="n"/>
    </row>
    <row r="655" ht="15.75" customHeight="1" s="60">
      <c r="A655" s="41" t="n"/>
      <c r="B655" s="41" t="n"/>
      <c r="C655" s="41" t="n"/>
      <c r="D655" s="41" t="n"/>
    </row>
    <row r="656" ht="15.75" customHeight="1" s="60">
      <c r="A656" s="41" t="n"/>
      <c r="B656" s="41" t="n"/>
      <c r="C656" s="41" t="n"/>
      <c r="D656" s="41" t="n"/>
    </row>
    <row r="657" ht="15.75" customHeight="1" s="60">
      <c r="A657" s="41" t="n"/>
      <c r="B657" s="41" t="n"/>
      <c r="C657" s="41" t="n"/>
      <c r="D657" s="41" t="n"/>
    </row>
    <row r="658" ht="15.75" customHeight="1" s="60">
      <c r="A658" s="41" t="n"/>
      <c r="B658" s="41" t="n"/>
      <c r="C658" s="41" t="n"/>
      <c r="D658" s="41" t="n"/>
    </row>
    <row r="659" ht="15.75" customHeight="1" s="60">
      <c r="A659" s="41" t="n"/>
      <c r="B659" s="41" t="n"/>
      <c r="C659" s="41" t="n"/>
      <c r="D659" s="41" t="n"/>
    </row>
    <row r="660" ht="15.75" customHeight="1" s="60">
      <c r="A660" s="41" t="n"/>
      <c r="B660" s="41" t="n"/>
      <c r="C660" s="41" t="n"/>
      <c r="D660" s="41" t="n"/>
    </row>
    <row r="661" ht="15.75" customHeight="1" s="60">
      <c r="A661" s="41" t="n"/>
      <c r="B661" s="41" t="n"/>
      <c r="C661" s="41" t="n"/>
      <c r="D661" s="41" t="n"/>
    </row>
    <row r="662" ht="15.75" customHeight="1" s="60">
      <c r="A662" s="41" t="n"/>
      <c r="B662" s="41" t="n"/>
      <c r="C662" s="41" t="n"/>
      <c r="D662" s="41" t="n"/>
    </row>
    <row r="663" ht="15.75" customHeight="1" s="60">
      <c r="A663" s="41" t="n"/>
      <c r="B663" s="41" t="n"/>
      <c r="C663" s="41" t="n"/>
      <c r="D663" s="41" t="n"/>
    </row>
    <row r="664" ht="15.75" customHeight="1" s="60">
      <c r="A664" s="41" t="n"/>
      <c r="B664" s="41" t="n"/>
      <c r="C664" s="41" t="n"/>
      <c r="D664" s="41" t="n"/>
    </row>
    <row r="665" ht="15.75" customHeight="1" s="60">
      <c r="A665" s="41" t="n"/>
      <c r="B665" s="41" t="n"/>
      <c r="C665" s="41" t="n"/>
      <c r="D665" s="41" t="n"/>
    </row>
    <row r="666" ht="15.75" customHeight="1" s="60">
      <c r="A666" s="41" t="n"/>
      <c r="B666" s="41" t="n"/>
      <c r="C666" s="41" t="n"/>
      <c r="D666" s="41" t="n"/>
    </row>
    <row r="667" ht="15.75" customHeight="1" s="60">
      <c r="A667" s="41" t="n"/>
      <c r="B667" s="41" t="n"/>
      <c r="C667" s="41" t="n"/>
      <c r="D667" s="41" t="n"/>
    </row>
    <row r="668" ht="15.75" customHeight="1" s="60">
      <c r="A668" s="41" t="n"/>
      <c r="B668" s="41" t="n"/>
      <c r="C668" s="41" t="n"/>
      <c r="D668" s="41" t="n"/>
    </row>
    <row r="669" ht="15.75" customHeight="1" s="60">
      <c r="A669" s="41" t="n"/>
      <c r="B669" s="41" t="n"/>
      <c r="C669" s="41" t="n"/>
      <c r="D669" s="41" t="n"/>
    </row>
    <row r="670" ht="15.75" customHeight="1" s="60">
      <c r="A670" s="41" t="n"/>
      <c r="B670" s="41" t="n"/>
      <c r="C670" s="41" t="n"/>
      <c r="D670" s="41" t="n"/>
    </row>
    <row r="671" ht="15.75" customHeight="1" s="60">
      <c r="A671" s="41" t="n"/>
      <c r="B671" s="41" t="n"/>
      <c r="C671" s="41" t="n"/>
      <c r="D671" s="41" t="n"/>
    </row>
    <row r="672" ht="15.75" customHeight="1" s="60">
      <c r="A672" s="41" t="n"/>
      <c r="B672" s="41" t="n"/>
      <c r="C672" s="41" t="n"/>
      <c r="D672" s="41" t="n"/>
    </row>
    <row r="673" ht="15.75" customHeight="1" s="60">
      <c r="A673" s="41" t="n"/>
      <c r="B673" s="41" t="n"/>
      <c r="C673" s="41" t="n"/>
      <c r="D673" s="41" t="n"/>
    </row>
    <row r="674" ht="15.75" customHeight="1" s="60">
      <c r="A674" s="41" t="n"/>
      <c r="B674" s="41" t="n"/>
      <c r="C674" s="41" t="n"/>
      <c r="D674" s="41" t="n"/>
    </row>
    <row r="675" ht="15.75" customHeight="1" s="60">
      <c r="A675" s="41" t="n"/>
      <c r="B675" s="41" t="n"/>
      <c r="C675" s="41" t="n"/>
      <c r="D675" s="41" t="n"/>
    </row>
    <row r="676" ht="15.75" customHeight="1" s="60">
      <c r="A676" s="41" t="n"/>
      <c r="B676" s="41" t="n"/>
      <c r="C676" s="41" t="n"/>
      <c r="D676" s="41" t="n"/>
    </row>
    <row r="677" ht="15.75" customHeight="1" s="60">
      <c r="A677" s="41" t="n"/>
      <c r="B677" s="41" t="n"/>
      <c r="C677" s="41" t="n"/>
      <c r="D677" s="41" t="n"/>
    </row>
    <row r="678" ht="15.75" customHeight="1" s="60">
      <c r="A678" s="41" t="n"/>
      <c r="B678" s="41" t="n"/>
      <c r="C678" s="41" t="n"/>
      <c r="D678" s="41" t="n"/>
    </row>
    <row r="679" ht="15.75" customHeight="1" s="60">
      <c r="A679" s="41" t="n"/>
      <c r="B679" s="41" t="n"/>
      <c r="C679" s="41" t="n"/>
      <c r="D679" s="41" t="n"/>
    </row>
    <row r="680" ht="15.75" customHeight="1" s="60">
      <c r="A680" s="41" t="n"/>
      <c r="B680" s="41" t="n"/>
      <c r="C680" s="41" t="n"/>
      <c r="D680" s="41" t="n"/>
    </row>
    <row r="681" ht="15.75" customHeight="1" s="60">
      <c r="A681" s="41" t="n"/>
      <c r="B681" s="41" t="n"/>
      <c r="C681" s="41" t="n"/>
      <c r="D681" s="41" t="n"/>
    </row>
    <row r="682" ht="15.75" customHeight="1" s="60">
      <c r="A682" s="41" t="n"/>
      <c r="B682" s="41" t="n"/>
      <c r="C682" s="41" t="n"/>
      <c r="D682" s="41" t="n"/>
    </row>
    <row r="683" ht="15.75" customHeight="1" s="60">
      <c r="A683" s="41" t="n"/>
      <c r="B683" s="41" t="n"/>
      <c r="C683" s="41" t="n"/>
      <c r="D683" s="41" t="n"/>
    </row>
    <row r="684" ht="15.75" customHeight="1" s="60">
      <c r="A684" s="41" t="n"/>
      <c r="B684" s="41" t="n"/>
      <c r="C684" s="41" t="n"/>
      <c r="D684" s="41" t="n"/>
    </row>
    <row r="685" ht="15.75" customHeight="1" s="60">
      <c r="A685" s="41" t="n"/>
      <c r="B685" s="41" t="n"/>
      <c r="C685" s="41" t="n"/>
      <c r="D685" s="41" t="n"/>
    </row>
    <row r="686" ht="15.75" customHeight="1" s="60">
      <c r="A686" s="41" t="n"/>
      <c r="B686" s="41" t="n"/>
      <c r="C686" s="41" t="n"/>
      <c r="D686" s="41" t="n"/>
    </row>
    <row r="687" ht="15.75" customHeight="1" s="60">
      <c r="A687" s="41" t="n"/>
      <c r="B687" s="41" t="n"/>
      <c r="C687" s="41" t="n"/>
      <c r="D687" s="41" t="n"/>
    </row>
    <row r="688" ht="15.75" customHeight="1" s="60">
      <c r="A688" s="41" t="n"/>
      <c r="B688" s="41" t="n"/>
      <c r="C688" s="41" t="n"/>
      <c r="D688" s="41" t="n"/>
    </row>
    <row r="689" ht="15.75" customHeight="1" s="60">
      <c r="A689" s="41" t="n"/>
      <c r="B689" s="41" t="n"/>
      <c r="C689" s="41" t="n"/>
      <c r="D689" s="41" t="n"/>
    </row>
    <row r="690" ht="15.75" customHeight="1" s="60">
      <c r="A690" s="41" t="n"/>
      <c r="B690" s="41" t="n"/>
      <c r="C690" s="41" t="n"/>
      <c r="D690" s="41" t="n"/>
    </row>
    <row r="691" ht="15.75" customHeight="1" s="60">
      <c r="A691" s="41" t="n"/>
      <c r="B691" s="41" t="n"/>
      <c r="C691" s="41" t="n"/>
      <c r="D691" s="41" t="n"/>
    </row>
    <row r="692" ht="15.75" customHeight="1" s="60">
      <c r="A692" s="41" t="n"/>
      <c r="B692" s="41" t="n"/>
      <c r="C692" s="41" t="n"/>
      <c r="D692" s="41" t="n"/>
    </row>
    <row r="693" ht="15.75" customHeight="1" s="60">
      <c r="A693" s="41" t="n"/>
      <c r="B693" s="41" t="n"/>
      <c r="C693" s="41" t="n"/>
      <c r="D693" s="41" t="n"/>
    </row>
    <row r="694" ht="15.75" customHeight="1" s="60">
      <c r="A694" s="41" t="n"/>
      <c r="B694" s="41" t="n"/>
      <c r="C694" s="41" t="n"/>
      <c r="D694" s="41" t="n"/>
    </row>
    <row r="695" ht="15.75" customHeight="1" s="60">
      <c r="A695" s="41" t="n"/>
      <c r="B695" s="41" t="n"/>
      <c r="C695" s="41" t="n"/>
      <c r="D695" s="41" t="n"/>
    </row>
    <row r="696" ht="15.75" customHeight="1" s="60">
      <c r="A696" s="41" t="n"/>
      <c r="B696" s="41" t="n"/>
      <c r="C696" s="41" t="n"/>
      <c r="D696" s="41" t="n"/>
    </row>
    <row r="697" ht="15.75" customHeight="1" s="60">
      <c r="A697" s="41" t="n"/>
      <c r="B697" s="41" t="n"/>
      <c r="C697" s="41" t="n"/>
      <c r="D697" s="41" t="n"/>
    </row>
    <row r="698" ht="15.75" customHeight="1" s="60">
      <c r="A698" s="41" t="n"/>
      <c r="B698" s="41" t="n"/>
      <c r="C698" s="41" t="n"/>
      <c r="D698" s="41" t="n"/>
    </row>
    <row r="699" ht="15.75" customHeight="1" s="60">
      <c r="A699" s="41" t="n"/>
      <c r="B699" s="41" t="n"/>
      <c r="C699" s="41" t="n"/>
      <c r="D699" s="41" t="n"/>
    </row>
    <row r="700" ht="15.75" customHeight="1" s="60">
      <c r="A700" s="41" t="n"/>
      <c r="B700" s="41" t="n"/>
      <c r="C700" s="41" t="n"/>
      <c r="D700" s="41" t="n"/>
    </row>
    <row r="701" ht="15.75" customHeight="1" s="60">
      <c r="A701" s="41" t="n"/>
      <c r="B701" s="41" t="n"/>
      <c r="C701" s="41" t="n"/>
      <c r="D701" s="41" t="n"/>
    </row>
    <row r="702" ht="15.75" customHeight="1" s="60">
      <c r="A702" s="41" t="n"/>
      <c r="B702" s="41" t="n"/>
      <c r="C702" s="41" t="n"/>
      <c r="D702" s="41" t="n"/>
    </row>
    <row r="703" ht="15.75" customHeight="1" s="60">
      <c r="A703" s="41" t="n"/>
      <c r="B703" s="41" t="n"/>
      <c r="C703" s="41" t="n"/>
      <c r="D703" s="41" t="n"/>
    </row>
    <row r="704" ht="15.75" customHeight="1" s="60">
      <c r="A704" s="41" t="n"/>
      <c r="B704" s="41" t="n"/>
      <c r="C704" s="41" t="n"/>
      <c r="D704" s="41" t="n"/>
    </row>
    <row r="705" ht="15.75" customHeight="1" s="60">
      <c r="A705" s="41" t="n"/>
      <c r="B705" s="41" t="n"/>
      <c r="C705" s="41" t="n"/>
      <c r="D705" s="41" t="n"/>
    </row>
    <row r="706" ht="15.75" customHeight="1" s="60">
      <c r="A706" s="41" t="n"/>
      <c r="B706" s="41" t="n"/>
      <c r="C706" s="41" t="n"/>
      <c r="D706" s="41" t="n"/>
    </row>
    <row r="707" ht="15.75" customHeight="1" s="60">
      <c r="A707" s="41" t="n"/>
      <c r="B707" s="41" t="n"/>
      <c r="C707" s="41" t="n"/>
      <c r="D707" s="41" t="n"/>
    </row>
    <row r="708" ht="15.75" customHeight="1" s="60">
      <c r="A708" s="41" t="n"/>
      <c r="B708" s="41" t="n"/>
      <c r="C708" s="41" t="n"/>
      <c r="D708" s="41" t="n"/>
    </row>
    <row r="709" ht="15.75" customHeight="1" s="60">
      <c r="A709" s="41" t="n"/>
      <c r="B709" s="41" t="n"/>
      <c r="C709" s="41" t="n"/>
      <c r="D709" s="41" t="n"/>
    </row>
    <row r="710" ht="15.75" customHeight="1" s="60">
      <c r="A710" s="41" t="n"/>
      <c r="B710" s="41" t="n"/>
      <c r="C710" s="41" t="n"/>
      <c r="D710" s="41" t="n"/>
    </row>
    <row r="711" ht="15.75" customHeight="1" s="60">
      <c r="A711" s="41" t="n"/>
      <c r="B711" s="41" t="n"/>
      <c r="C711" s="41" t="n"/>
      <c r="D711" s="41" t="n"/>
    </row>
    <row r="712" ht="15.75" customHeight="1" s="60">
      <c r="A712" s="41" t="n"/>
      <c r="B712" s="41" t="n"/>
      <c r="C712" s="41" t="n"/>
      <c r="D712" s="41" t="n"/>
    </row>
    <row r="713" ht="15.75" customHeight="1" s="60">
      <c r="A713" s="41" t="n"/>
      <c r="B713" s="41" t="n"/>
      <c r="C713" s="41" t="n"/>
      <c r="D713" s="41" t="n"/>
    </row>
    <row r="714" ht="15.75" customHeight="1" s="60">
      <c r="A714" s="41" t="n"/>
      <c r="B714" s="41" t="n"/>
      <c r="C714" s="41" t="n"/>
      <c r="D714" s="41" t="n"/>
    </row>
    <row r="715" ht="15.75" customHeight="1" s="60">
      <c r="A715" s="41" t="n"/>
      <c r="B715" s="41" t="n"/>
      <c r="C715" s="41" t="n"/>
      <c r="D715" s="41" t="n"/>
    </row>
    <row r="716" ht="15.75" customHeight="1" s="60">
      <c r="A716" s="41" t="n"/>
      <c r="B716" s="41" t="n"/>
      <c r="C716" s="41" t="n"/>
      <c r="D716" s="41" t="n"/>
    </row>
    <row r="717" ht="15.75" customHeight="1" s="60">
      <c r="A717" s="41" t="n"/>
      <c r="B717" s="41" t="n"/>
      <c r="C717" s="41" t="n"/>
      <c r="D717" s="41" t="n"/>
    </row>
    <row r="718" ht="15.75" customHeight="1" s="60">
      <c r="A718" s="41" t="n"/>
      <c r="B718" s="41" t="n"/>
      <c r="C718" s="41" t="n"/>
      <c r="D718" s="41" t="n"/>
    </row>
    <row r="719" ht="15.75" customHeight="1" s="60">
      <c r="A719" s="41" t="n"/>
      <c r="B719" s="41" t="n"/>
      <c r="C719" s="41" t="n"/>
      <c r="D719" s="41" t="n"/>
    </row>
    <row r="720" ht="15.75" customHeight="1" s="60">
      <c r="A720" s="41" t="n"/>
      <c r="B720" s="41" t="n"/>
      <c r="C720" s="41" t="n"/>
      <c r="D720" s="41" t="n"/>
    </row>
    <row r="721" ht="15.75" customHeight="1" s="60">
      <c r="A721" s="41" t="n"/>
      <c r="B721" s="41" t="n"/>
      <c r="C721" s="41" t="n"/>
      <c r="D721" s="41" t="n"/>
    </row>
    <row r="722" ht="15.75" customHeight="1" s="60">
      <c r="A722" s="41" t="n"/>
      <c r="B722" s="41" t="n"/>
      <c r="C722" s="41" t="n"/>
      <c r="D722" s="41" t="n"/>
    </row>
    <row r="723" ht="15.75" customHeight="1" s="60">
      <c r="A723" s="41" t="n"/>
      <c r="B723" s="41" t="n"/>
      <c r="C723" s="41" t="n"/>
      <c r="D723" s="41" t="n"/>
    </row>
    <row r="724" ht="15.75" customHeight="1" s="60">
      <c r="A724" s="41" t="n"/>
      <c r="B724" s="41" t="n"/>
      <c r="C724" s="41" t="n"/>
      <c r="D724" s="41" t="n"/>
    </row>
    <row r="725" ht="15.75" customHeight="1" s="60">
      <c r="A725" s="41" t="n"/>
      <c r="B725" s="41" t="n"/>
      <c r="C725" s="41" t="n"/>
      <c r="D725" s="41" t="n"/>
    </row>
    <row r="726" ht="15.75" customHeight="1" s="60">
      <c r="A726" s="41" t="n"/>
      <c r="B726" s="41" t="n"/>
      <c r="C726" s="41" t="n"/>
      <c r="D726" s="41" t="n"/>
    </row>
    <row r="727" ht="15.75" customHeight="1" s="60">
      <c r="A727" s="41" t="n"/>
      <c r="B727" s="41" t="n"/>
      <c r="C727" s="41" t="n"/>
      <c r="D727" s="41" t="n"/>
    </row>
    <row r="728" ht="15.75" customHeight="1" s="60">
      <c r="A728" s="41" t="n"/>
      <c r="B728" s="41" t="n"/>
      <c r="C728" s="41" t="n"/>
      <c r="D728" s="41" t="n"/>
    </row>
    <row r="729" ht="15.75" customHeight="1" s="60">
      <c r="A729" s="41" t="n"/>
      <c r="B729" s="41" t="n"/>
      <c r="C729" s="41" t="n"/>
      <c r="D729" s="41" t="n"/>
    </row>
    <row r="730" ht="15.75" customHeight="1" s="60">
      <c r="A730" s="41" t="n"/>
      <c r="B730" s="41" t="n"/>
      <c r="C730" s="41" t="n"/>
      <c r="D730" s="41" t="n"/>
    </row>
    <row r="731" ht="15.75" customHeight="1" s="60">
      <c r="A731" s="41" t="n"/>
      <c r="B731" s="41" t="n"/>
      <c r="C731" s="41" t="n"/>
      <c r="D731" s="41" t="n"/>
    </row>
    <row r="732" ht="15.75" customHeight="1" s="60">
      <c r="A732" s="41" t="n"/>
      <c r="B732" s="41" t="n"/>
      <c r="C732" s="41" t="n"/>
      <c r="D732" s="41" t="n"/>
    </row>
    <row r="733" ht="15.75" customHeight="1" s="60">
      <c r="A733" s="41" t="n"/>
      <c r="B733" s="41" t="n"/>
      <c r="C733" s="41" t="n"/>
      <c r="D733" s="41" t="n"/>
    </row>
    <row r="734" ht="15.75" customHeight="1" s="60">
      <c r="A734" s="41" t="n"/>
      <c r="B734" s="41" t="n"/>
      <c r="C734" s="41" t="n"/>
      <c r="D734" s="41" t="n"/>
    </row>
    <row r="735" ht="15.75" customHeight="1" s="60">
      <c r="A735" s="41" t="n"/>
      <c r="B735" s="41" t="n"/>
      <c r="C735" s="41" t="n"/>
      <c r="D735" s="41" t="n"/>
    </row>
    <row r="736" ht="15.75" customHeight="1" s="60">
      <c r="A736" s="41" t="n"/>
      <c r="B736" s="41" t="n"/>
      <c r="C736" s="41" t="n"/>
      <c r="D736" s="41" t="n"/>
    </row>
    <row r="737" ht="15.75" customHeight="1" s="60">
      <c r="A737" s="41" t="n"/>
      <c r="B737" s="41" t="n"/>
      <c r="C737" s="41" t="n"/>
      <c r="D737" s="41" t="n"/>
    </row>
    <row r="738" ht="15.75" customHeight="1" s="60">
      <c r="A738" s="41" t="n"/>
      <c r="B738" s="41" t="n"/>
      <c r="C738" s="41" t="n"/>
      <c r="D738" s="41" t="n"/>
    </row>
    <row r="739" ht="15.75" customHeight="1" s="60">
      <c r="A739" s="41" t="n"/>
      <c r="B739" s="41" t="n"/>
      <c r="C739" s="41" t="n"/>
      <c r="D739" s="41" t="n"/>
    </row>
    <row r="740" ht="15.75" customHeight="1" s="60">
      <c r="A740" s="41" t="n"/>
      <c r="B740" s="41" t="n"/>
      <c r="C740" s="41" t="n"/>
      <c r="D740" s="41" t="n"/>
    </row>
    <row r="741" ht="15.75" customHeight="1" s="60">
      <c r="A741" s="41" t="n"/>
      <c r="B741" s="41" t="n"/>
      <c r="C741" s="41" t="n"/>
      <c r="D741" s="41" t="n"/>
    </row>
    <row r="742" ht="15.75" customHeight="1" s="60">
      <c r="A742" s="41" t="n"/>
      <c r="B742" s="41" t="n"/>
      <c r="C742" s="41" t="n"/>
      <c r="D742" s="41" t="n"/>
    </row>
    <row r="743" ht="15.75" customHeight="1" s="60">
      <c r="A743" s="41" t="n"/>
      <c r="B743" s="41" t="n"/>
      <c r="C743" s="41" t="n"/>
      <c r="D743" s="41" t="n"/>
    </row>
    <row r="744" ht="15.75" customHeight="1" s="60">
      <c r="A744" s="41" t="n"/>
      <c r="B744" s="41" t="n"/>
      <c r="C744" s="41" t="n"/>
      <c r="D744" s="41" t="n"/>
    </row>
    <row r="745" ht="15.75" customHeight="1" s="60">
      <c r="A745" s="41" t="n"/>
      <c r="B745" s="41" t="n"/>
      <c r="C745" s="41" t="n"/>
      <c r="D745" s="41" t="n"/>
    </row>
    <row r="746" ht="15.75" customHeight="1" s="60">
      <c r="A746" s="41" t="n"/>
      <c r="B746" s="41" t="n"/>
      <c r="C746" s="41" t="n"/>
      <c r="D746" s="41" t="n"/>
    </row>
    <row r="747" ht="15.75" customHeight="1" s="60">
      <c r="A747" s="41" t="n"/>
      <c r="B747" s="41" t="n"/>
      <c r="C747" s="41" t="n"/>
      <c r="D747" s="41" t="n"/>
    </row>
    <row r="748" ht="15.75" customHeight="1" s="60">
      <c r="A748" s="41" t="n"/>
      <c r="B748" s="41" t="n"/>
      <c r="C748" s="41" t="n"/>
      <c r="D748" s="41" t="n"/>
    </row>
    <row r="749" ht="15.75" customHeight="1" s="60">
      <c r="A749" s="41" t="n"/>
      <c r="B749" s="41" t="n"/>
      <c r="C749" s="41" t="n"/>
      <c r="D749" s="41" t="n"/>
    </row>
    <row r="750" ht="15.75" customHeight="1" s="60">
      <c r="A750" s="41" t="n"/>
      <c r="B750" s="41" t="n"/>
      <c r="C750" s="41" t="n"/>
      <c r="D750" s="41" t="n"/>
    </row>
    <row r="751" ht="15.75" customHeight="1" s="60">
      <c r="A751" s="41" t="n"/>
      <c r="B751" s="41" t="n"/>
      <c r="C751" s="41" t="n"/>
      <c r="D751" s="41" t="n"/>
    </row>
    <row r="752" ht="15.75" customHeight="1" s="60">
      <c r="A752" s="41" t="n"/>
      <c r="B752" s="41" t="n"/>
      <c r="C752" s="41" t="n"/>
      <c r="D752" s="41" t="n"/>
    </row>
    <row r="753" ht="15.75" customHeight="1" s="60">
      <c r="A753" s="41" t="n"/>
      <c r="B753" s="41" t="n"/>
      <c r="C753" s="41" t="n"/>
      <c r="D753" s="41" t="n"/>
    </row>
    <row r="754" ht="15.75" customHeight="1" s="60">
      <c r="A754" s="41" t="n"/>
      <c r="B754" s="41" t="n"/>
      <c r="C754" s="41" t="n"/>
      <c r="D754" s="41" t="n"/>
    </row>
    <row r="755" ht="15.75" customHeight="1" s="60">
      <c r="A755" s="41" t="n"/>
      <c r="B755" s="41" t="n"/>
      <c r="C755" s="41" t="n"/>
      <c r="D755" s="41" t="n"/>
    </row>
    <row r="756" ht="15.75" customHeight="1" s="60">
      <c r="A756" s="41" t="n"/>
      <c r="B756" s="41" t="n"/>
      <c r="C756" s="41" t="n"/>
      <c r="D756" s="41" t="n"/>
    </row>
    <row r="757" ht="15.75" customHeight="1" s="60">
      <c r="A757" s="41" t="n"/>
      <c r="B757" s="41" t="n"/>
      <c r="C757" s="41" t="n"/>
      <c r="D757" s="41" t="n"/>
    </row>
    <row r="758" ht="15.75" customHeight="1" s="60">
      <c r="A758" s="41" t="n"/>
      <c r="B758" s="41" t="n"/>
      <c r="C758" s="41" t="n"/>
      <c r="D758" s="41" t="n"/>
    </row>
    <row r="759" ht="15.75" customHeight="1" s="60">
      <c r="A759" s="41" t="n"/>
      <c r="B759" s="41" t="n"/>
      <c r="C759" s="41" t="n"/>
      <c r="D759" s="41" t="n"/>
    </row>
    <row r="760" ht="15.75" customHeight="1" s="60">
      <c r="A760" s="41" t="n"/>
      <c r="B760" s="41" t="n"/>
      <c r="C760" s="41" t="n"/>
      <c r="D760" s="41" t="n"/>
    </row>
    <row r="761" ht="15.75" customHeight="1" s="60">
      <c r="A761" s="41" t="n"/>
      <c r="B761" s="41" t="n"/>
      <c r="C761" s="41" t="n"/>
      <c r="D761" s="41" t="n"/>
    </row>
    <row r="762" ht="15.75" customHeight="1" s="60">
      <c r="A762" s="41" t="n"/>
      <c r="B762" s="41" t="n"/>
      <c r="C762" s="41" t="n"/>
      <c r="D762" s="41" t="n"/>
    </row>
    <row r="763" ht="15.75" customHeight="1" s="60">
      <c r="A763" s="41" t="n"/>
      <c r="B763" s="41" t="n"/>
      <c r="C763" s="41" t="n"/>
      <c r="D763" s="41" t="n"/>
    </row>
    <row r="764" ht="15.75" customHeight="1" s="60">
      <c r="A764" s="41" t="n"/>
      <c r="B764" s="41" t="n"/>
      <c r="C764" s="41" t="n"/>
      <c r="D764" s="41" t="n"/>
    </row>
    <row r="765" ht="15.75" customHeight="1" s="60">
      <c r="A765" s="41" t="n"/>
      <c r="B765" s="41" t="n"/>
      <c r="C765" s="41" t="n"/>
      <c r="D765" s="41" t="n"/>
    </row>
    <row r="766" ht="15.75" customHeight="1" s="60">
      <c r="A766" s="41" t="n"/>
      <c r="B766" s="41" t="n"/>
      <c r="C766" s="41" t="n"/>
      <c r="D766" s="41" t="n"/>
    </row>
    <row r="767" ht="15.75" customHeight="1" s="60">
      <c r="A767" s="41" t="n"/>
      <c r="B767" s="41" t="n"/>
      <c r="C767" s="41" t="n"/>
      <c r="D767" s="41" t="n"/>
    </row>
    <row r="768" ht="15.75" customHeight="1" s="60">
      <c r="A768" s="41" t="n"/>
      <c r="B768" s="41" t="n"/>
      <c r="C768" s="41" t="n"/>
      <c r="D768" s="41" t="n"/>
    </row>
    <row r="769" ht="15.75" customHeight="1" s="60">
      <c r="A769" s="41" t="n"/>
      <c r="B769" s="41" t="n"/>
      <c r="C769" s="41" t="n"/>
      <c r="D769" s="41" t="n"/>
    </row>
    <row r="770" ht="15.75" customHeight="1" s="60">
      <c r="A770" s="41" t="n"/>
      <c r="B770" s="41" t="n"/>
      <c r="C770" s="41" t="n"/>
      <c r="D770" s="41" t="n"/>
    </row>
    <row r="771" ht="15.75" customHeight="1" s="60">
      <c r="A771" s="41" t="n"/>
      <c r="B771" s="41" t="n"/>
      <c r="C771" s="41" t="n"/>
      <c r="D771" s="41" t="n"/>
    </row>
    <row r="772" ht="15.75" customHeight="1" s="60">
      <c r="A772" s="41" t="n"/>
      <c r="B772" s="41" t="n"/>
      <c r="C772" s="41" t="n"/>
      <c r="D772" s="41" t="n"/>
    </row>
    <row r="773" ht="15.75" customHeight="1" s="60">
      <c r="A773" s="41" t="n"/>
      <c r="B773" s="41" t="n"/>
      <c r="C773" s="41" t="n"/>
      <c r="D773" s="41" t="n"/>
    </row>
    <row r="774" ht="15.75" customHeight="1" s="60">
      <c r="A774" s="41" t="n"/>
      <c r="B774" s="41" t="n"/>
      <c r="C774" s="41" t="n"/>
      <c r="D774" s="41" t="n"/>
    </row>
    <row r="775" ht="15.75" customHeight="1" s="60">
      <c r="A775" s="41" t="n"/>
      <c r="B775" s="41" t="n"/>
      <c r="C775" s="41" t="n"/>
      <c r="D775" s="41" t="n"/>
    </row>
    <row r="776" ht="15.75" customHeight="1" s="60">
      <c r="A776" s="41" t="n"/>
      <c r="B776" s="41" t="n"/>
      <c r="C776" s="41" t="n"/>
      <c r="D776" s="41" t="n"/>
    </row>
    <row r="777" ht="15.75" customHeight="1" s="60">
      <c r="A777" s="41" t="n"/>
      <c r="B777" s="41" t="n"/>
      <c r="C777" s="41" t="n"/>
      <c r="D777" s="41" t="n"/>
    </row>
    <row r="778" ht="15.75" customHeight="1" s="60">
      <c r="A778" s="41" t="n"/>
      <c r="B778" s="41" t="n"/>
      <c r="C778" s="41" t="n"/>
      <c r="D778" s="41" t="n"/>
    </row>
    <row r="779" ht="15.75" customHeight="1" s="60">
      <c r="A779" s="41" t="n"/>
      <c r="B779" s="41" t="n"/>
      <c r="C779" s="41" t="n"/>
      <c r="D779" s="41" t="n"/>
    </row>
    <row r="780" ht="15.75" customHeight="1" s="60">
      <c r="A780" s="41" t="n"/>
      <c r="B780" s="41" t="n"/>
      <c r="C780" s="41" t="n"/>
      <c r="D780" s="41" t="n"/>
    </row>
    <row r="781" ht="15.75" customHeight="1" s="60">
      <c r="A781" s="41" t="n"/>
      <c r="B781" s="41" t="n"/>
      <c r="C781" s="41" t="n"/>
      <c r="D781" s="41" t="n"/>
    </row>
    <row r="782" ht="15.75" customHeight="1" s="60">
      <c r="A782" s="41" t="n"/>
      <c r="B782" s="41" t="n"/>
      <c r="C782" s="41" t="n"/>
      <c r="D782" s="41" t="n"/>
    </row>
    <row r="783" ht="15.75" customHeight="1" s="60">
      <c r="A783" s="41" t="n"/>
      <c r="B783" s="41" t="n"/>
      <c r="C783" s="41" t="n"/>
      <c r="D783" s="41" t="n"/>
    </row>
    <row r="784" ht="15.75" customHeight="1" s="60">
      <c r="A784" s="41" t="n"/>
      <c r="B784" s="41" t="n"/>
      <c r="C784" s="41" t="n"/>
      <c r="D784" s="41" t="n"/>
    </row>
    <row r="785" ht="15.75" customHeight="1" s="60">
      <c r="A785" s="41" t="n"/>
      <c r="B785" s="41" t="n"/>
      <c r="C785" s="41" t="n"/>
      <c r="D785" s="41" t="n"/>
    </row>
    <row r="786" ht="15.75" customHeight="1" s="60">
      <c r="A786" s="41" t="n"/>
      <c r="B786" s="41" t="n"/>
      <c r="C786" s="41" t="n"/>
      <c r="D786" s="41" t="n"/>
    </row>
    <row r="787" ht="15.75" customHeight="1" s="60">
      <c r="A787" s="41" t="n"/>
      <c r="B787" s="41" t="n"/>
      <c r="C787" s="41" t="n"/>
      <c r="D787" s="41" t="n"/>
    </row>
    <row r="788" ht="15.75" customHeight="1" s="60">
      <c r="A788" s="41" t="n"/>
      <c r="B788" s="41" t="n"/>
      <c r="C788" s="41" t="n"/>
      <c r="D788" s="41" t="n"/>
    </row>
    <row r="789" ht="15.75" customHeight="1" s="60">
      <c r="A789" s="41" t="n"/>
      <c r="B789" s="41" t="n"/>
      <c r="C789" s="41" t="n"/>
      <c r="D789" s="41" t="n"/>
    </row>
    <row r="790" ht="15.75" customHeight="1" s="60">
      <c r="A790" s="41" t="n"/>
      <c r="B790" s="41" t="n"/>
      <c r="C790" s="41" t="n"/>
      <c r="D790" s="41" t="n"/>
    </row>
    <row r="791" ht="15.75" customHeight="1" s="60">
      <c r="A791" s="41" t="n"/>
      <c r="B791" s="41" t="n"/>
      <c r="C791" s="41" t="n"/>
      <c r="D791" s="41" t="n"/>
    </row>
    <row r="792" ht="15.75" customHeight="1" s="60">
      <c r="A792" s="41" t="n"/>
      <c r="B792" s="41" t="n"/>
      <c r="C792" s="41" t="n"/>
      <c r="D792" s="41" t="n"/>
    </row>
    <row r="793" ht="15.75" customHeight="1" s="60">
      <c r="A793" s="41" t="n"/>
      <c r="B793" s="41" t="n"/>
      <c r="C793" s="41" t="n"/>
      <c r="D793" s="41" t="n"/>
    </row>
    <row r="794" ht="15.75" customHeight="1" s="60">
      <c r="A794" s="41" t="n"/>
      <c r="B794" s="41" t="n"/>
      <c r="C794" s="41" t="n"/>
      <c r="D794" s="41" t="n"/>
    </row>
    <row r="795" ht="15.75" customHeight="1" s="60">
      <c r="A795" s="41" t="n"/>
      <c r="B795" s="41" t="n"/>
      <c r="C795" s="41" t="n"/>
      <c r="D795" s="41" t="n"/>
    </row>
    <row r="796" ht="15.75" customHeight="1" s="60">
      <c r="A796" s="41" t="n"/>
      <c r="B796" s="41" t="n"/>
      <c r="C796" s="41" t="n"/>
      <c r="D796" s="41" t="n"/>
    </row>
    <row r="797" ht="15.75" customHeight="1" s="60">
      <c r="A797" s="41" t="n"/>
      <c r="B797" s="41" t="n"/>
      <c r="C797" s="41" t="n"/>
      <c r="D797" s="41" t="n"/>
    </row>
    <row r="798" ht="15.75" customHeight="1" s="60">
      <c r="A798" s="41" t="n"/>
      <c r="B798" s="41" t="n"/>
      <c r="C798" s="41" t="n"/>
      <c r="D798" s="41" t="n"/>
    </row>
    <row r="799" ht="15.75" customHeight="1" s="60">
      <c r="A799" s="41" t="n"/>
      <c r="B799" s="41" t="n"/>
      <c r="C799" s="41" t="n"/>
      <c r="D799" s="41" t="n"/>
    </row>
    <row r="800" ht="15.75" customHeight="1" s="60">
      <c r="A800" s="41" t="n"/>
      <c r="B800" s="41" t="n"/>
      <c r="C800" s="41" t="n"/>
      <c r="D800" s="41" t="n"/>
    </row>
    <row r="801" ht="15.75" customHeight="1" s="60">
      <c r="A801" s="41" t="n"/>
      <c r="B801" s="41" t="n"/>
      <c r="C801" s="41" t="n"/>
      <c r="D801" s="41" t="n"/>
    </row>
    <row r="802" ht="15.75" customHeight="1" s="60">
      <c r="A802" s="41" t="n"/>
      <c r="B802" s="41" t="n"/>
      <c r="C802" s="41" t="n"/>
      <c r="D802" s="41" t="n"/>
    </row>
    <row r="803" ht="15.75" customHeight="1" s="60">
      <c r="A803" s="41" t="n"/>
      <c r="B803" s="41" t="n"/>
      <c r="C803" s="41" t="n"/>
      <c r="D803" s="41" t="n"/>
    </row>
    <row r="804" ht="15.75" customHeight="1" s="60">
      <c r="A804" s="41" t="n"/>
      <c r="B804" s="41" t="n"/>
      <c r="C804" s="41" t="n"/>
      <c r="D804" s="41" t="n"/>
    </row>
    <row r="805" ht="15.75" customHeight="1" s="60">
      <c r="A805" s="41" t="n"/>
      <c r="B805" s="41" t="n"/>
      <c r="C805" s="41" t="n"/>
      <c r="D805" s="41" t="n"/>
    </row>
    <row r="806" ht="15.75" customHeight="1" s="60">
      <c r="A806" s="41" t="n"/>
      <c r="B806" s="41" t="n"/>
      <c r="C806" s="41" t="n"/>
      <c r="D806" s="41" t="n"/>
    </row>
    <row r="807" ht="15.75" customHeight="1" s="60">
      <c r="A807" s="41" t="n"/>
      <c r="B807" s="41" t="n"/>
      <c r="C807" s="41" t="n"/>
      <c r="D807" s="41" t="n"/>
    </row>
    <row r="808" ht="15.75" customHeight="1" s="60">
      <c r="A808" s="41" t="n"/>
      <c r="B808" s="41" t="n"/>
      <c r="C808" s="41" t="n"/>
      <c r="D808" s="41" t="n"/>
    </row>
    <row r="809" ht="15.75" customHeight="1" s="60">
      <c r="A809" s="41" t="n"/>
      <c r="B809" s="41" t="n"/>
      <c r="C809" s="41" t="n"/>
      <c r="D809" s="41" t="n"/>
    </row>
    <row r="810" ht="15.75" customHeight="1" s="60">
      <c r="A810" s="41" t="n"/>
      <c r="B810" s="41" t="n"/>
      <c r="C810" s="41" t="n"/>
      <c r="D810" s="41" t="n"/>
    </row>
    <row r="811" ht="15.75" customHeight="1" s="60">
      <c r="A811" s="41" t="n"/>
      <c r="B811" s="41" t="n"/>
      <c r="C811" s="41" t="n"/>
      <c r="D811" s="41" t="n"/>
    </row>
    <row r="812" ht="15.75" customHeight="1" s="60">
      <c r="A812" s="41" t="n"/>
      <c r="B812" s="41" t="n"/>
      <c r="C812" s="41" t="n"/>
      <c r="D812" s="41" t="n"/>
    </row>
    <row r="813" ht="15.75" customHeight="1" s="60">
      <c r="A813" s="41" t="n"/>
      <c r="B813" s="41" t="n"/>
      <c r="C813" s="41" t="n"/>
      <c r="D813" s="41" t="n"/>
    </row>
    <row r="814" ht="15.75" customHeight="1" s="60">
      <c r="A814" s="41" t="n"/>
      <c r="B814" s="41" t="n"/>
      <c r="C814" s="41" t="n"/>
      <c r="D814" s="41" t="n"/>
    </row>
    <row r="815" ht="15.75" customHeight="1" s="60">
      <c r="A815" s="41" t="n"/>
      <c r="B815" s="41" t="n"/>
      <c r="C815" s="41" t="n"/>
      <c r="D815" s="41" t="n"/>
    </row>
    <row r="816" ht="15.75" customHeight="1" s="60">
      <c r="A816" s="41" t="n"/>
      <c r="B816" s="41" t="n"/>
      <c r="C816" s="41" t="n"/>
      <c r="D816" s="41" t="n"/>
    </row>
    <row r="817" ht="15.75" customHeight="1" s="60">
      <c r="A817" s="41" t="n"/>
      <c r="B817" s="41" t="n"/>
      <c r="C817" s="41" t="n"/>
      <c r="D817" s="41" t="n"/>
    </row>
    <row r="818" ht="15.75" customHeight="1" s="60">
      <c r="A818" s="41" t="n"/>
      <c r="B818" s="41" t="n"/>
      <c r="C818" s="41" t="n"/>
      <c r="D818" s="41" t="n"/>
    </row>
    <row r="819" ht="15.75" customHeight="1" s="60">
      <c r="A819" s="41" t="n"/>
      <c r="B819" s="41" t="n"/>
      <c r="C819" s="41" t="n"/>
      <c r="D819" s="41" t="n"/>
    </row>
    <row r="820" ht="15.75" customHeight="1" s="60">
      <c r="A820" s="41" t="n"/>
      <c r="B820" s="41" t="n"/>
      <c r="C820" s="41" t="n"/>
      <c r="D820" s="41" t="n"/>
    </row>
    <row r="821" ht="15.75" customHeight="1" s="60">
      <c r="A821" s="41" t="n"/>
      <c r="B821" s="41" t="n"/>
      <c r="C821" s="41" t="n"/>
      <c r="D821" s="41" t="n"/>
    </row>
    <row r="822" ht="15.75" customHeight="1" s="60">
      <c r="A822" s="41" t="n"/>
      <c r="B822" s="41" t="n"/>
      <c r="C822" s="41" t="n"/>
      <c r="D822" s="41" t="n"/>
    </row>
    <row r="823" ht="15.75" customHeight="1" s="60">
      <c r="A823" s="41" t="n"/>
      <c r="B823" s="41" t="n"/>
      <c r="C823" s="41" t="n"/>
      <c r="D823" s="41" t="n"/>
    </row>
    <row r="824" ht="15.75" customHeight="1" s="60">
      <c r="A824" s="41" t="n"/>
      <c r="B824" s="41" t="n"/>
      <c r="C824" s="41" t="n"/>
      <c r="D824" s="41" t="n"/>
    </row>
    <row r="825" ht="15.75" customHeight="1" s="60">
      <c r="A825" s="41" t="n"/>
      <c r="B825" s="41" t="n"/>
      <c r="C825" s="41" t="n"/>
      <c r="D825" s="41" t="n"/>
    </row>
    <row r="826" ht="15.75" customHeight="1" s="60">
      <c r="A826" s="41" t="n"/>
      <c r="B826" s="41" t="n"/>
      <c r="C826" s="41" t="n"/>
      <c r="D826" s="41" t="n"/>
    </row>
    <row r="827" ht="15.75" customHeight="1" s="60">
      <c r="A827" s="41" t="n"/>
      <c r="B827" s="41" t="n"/>
      <c r="C827" s="41" t="n"/>
      <c r="D827" s="41" t="n"/>
    </row>
    <row r="828" ht="15.75" customHeight="1" s="60">
      <c r="A828" s="41" t="n"/>
      <c r="B828" s="41" t="n"/>
      <c r="C828" s="41" t="n"/>
      <c r="D828" s="41" t="n"/>
    </row>
    <row r="829" ht="15.75" customHeight="1" s="60">
      <c r="A829" s="41" t="n"/>
      <c r="B829" s="41" t="n"/>
      <c r="C829" s="41" t="n"/>
      <c r="D829" s="41" t="n"/>
    </row>
    <row r="830" ht="15.75" customHeight="1" s="60">
      <c r="A830" s="41" t="n"/>
      <c r="B830" s="41" t="n"/>
      <c r="C830" s="41" t="n"/>
      <c r="D830" s="41" t="n"/>
    </row>
    <row r="831" ht="15.75" customHeight="1" s="60">
      <c r="A831" s="41" t="n"/>
      <c r="B831" s="41" t="n"/>
      <c r="C831" s="41" t="n"/>
      <c r="D831" s="41" t="n"/>
    </row>
    <row r="832" ht="15.75" customHeight="1" s="60">
      <c r="A832" s="41" t="n"/>
      <c r="B832" s="41" t="n"/>
      <c r="C832" s="41" t="n"/>
      <c r="D832" s="41" t="n"/>
    </row>
    <row r="833" ht="15.75" customHeight="1" s="60">
      <c r="A833" s="41" t="n"/>
      <c r="B833" s="41" t="n"/>
      <c r="C833" s="41" t="n"/>
      <c r="D833" s="41" t="n"/>
    </row>
    <row r="834" ht="15.75" customHeight="1" s="60">
      <c r="A834" s="41" t="n"/>
      <c r="B834" s="41" t="n"/>
      <c r="C834" s="41" t="n"/>
      <c r="D834" s="41" t="n"/>
    </row>
    <row r="835" ht="15.75" customHeight="1" s="60">
      <c r="A835" s="41" t="n"/>
      <c r="B835" s="41" t="n"/>
      <c r="C835" s="41" t="n"/>
      <c r="D835" s="41" t="n"/>
    </row>
    <row r="836" ht="15.75" customHeight="1" s="60">
      <c r="A836" s="41" t="n"/>
      <c r="B836" s="41" t="n"/>
      <c r="C836" s="41" t="n"/>
      <c r="D836" s="41" t="n"/>
    </row>
    <row r="837" ht="15.75" customHeight="1" s="60">
      <c r="A837" s="41" t="n"/>
      <c r="B837" s="41" t="n"/>
      <c r="C837" s="41" t="n"/>
      <c r="D837" s="41" t="n"/>
    </row>
    <row r="838" ht="15.75" customHeight="1" s="60">
      <c r="A838" s="41" t="n"/>
      <c r="B838" s="41" t="n"/>
      <c r="C838" s="41" t="n"/>
      <c r="D838" s="41" t="n"/>
    </row>
    <row r="839" ht="15.75" customHeight="1" s="60">
      <c r="A839" s="41" t="n"/>
      <c r="B839" s="41" t="n"/>
      <c r="C839" s="41" t="n"/>
      <c r="D839" s="41" t="n"/>
    </row>
    <row r="840" ht="15.75" customHeight="1" s="60">
      <c r="A840" s="41" t="n"/>
      <c r="B840" s="41" t="n"/>
      <c r="C840" s="41" t="n"/>
      <c r="D840" s="41" t="n"/>
    </row>
    <row r="841" ht="15.75" customHeight="1" s="60">
      <c r="A841" s="41" t="n"/>
      <c r="B841" s="41" t="n"/>
      <c r="C841" s="41" t="n"/>
      <c r="D841" s="41" t="n"/>
    </row>
    <row r="842" ht="15.75" customHeight="1" s="60">
      <c r="A842" s="41" t="n"/>
      <c r="B842" s="41" t="n"/>
      <c r="C842" s="41" t="n"/>
      <c r="D842" s="41" t="n"/>
    </row>
    <row r="843" ht="15.75" customHeight="1" s="60">
      <c r="A843" s="41" t="n"/>
      <c r="B843" s="41" t="n"/>
      <c r="C843" s="41" t="n"/>
      <c r="D843" s="41" t="n"/>
    </row>
    <row r="844" ht="15.75" customHeight="1" s="60">
      <c r="A844" s="41" t="n"/>
      <c r="B844" s="41" t="n"/>
      <c r="C844" s="41" t="n"/>
      <c r="D844" s="41" t="n"/>
    </row>
    <row r="845" ht="15.75" customHeight="1" s="60">
      <c r="A845" s="41" t="n"/>
      <c r="B845" s="41" t="n"/>
      <c r="C845" s="41" t="n"/>
      <c r="D845" s="41" t="n"/>
    </row>
    <row r="846" ht="15.75" customHeight="1" s="60">
      <c r="A846" s="41" t="n"/>
      <c r="B846" s="41" t="n"/>
      <c r="C846" s="41" t="n"/>
      <c r="D846" s="41" t="n"/>
    </row>
    <row r="847" ht="15.75" customHeight="1" s="60">
      <c r="A847" s="41" t="n"/>
      <c r="B847" s="41" t="n"/>
      <c r="C847" s="41" t="n"/>
      <c r="D847" s="41" t="n"/>
    </row>
    <row r="848" ht="15.75" customHeight="1" s="60">
      <c r="A848" s="41" t="n"/>
      <c r="B848" s="41" t="n"/>
      <c r="C848" s="41" t="n"/>
      <c r="D848" s="41" t="n"/>
    </row>
    <row r="849" ht="15.75" customHeight="1" s="60">
      <c r="A849" s="41" t="n"/>
      <c r="B849" s="41" t="n"/>
      <c r="C849" s="41" t="n"/>
      <c r="D849" s="41" t="n"/>
    </row>
    <row r="850" ht="15.75" customHeight="1" s="60">
      <c r="A850" s="41" t="n"/>
      <c r="B850" s="41" t="n"/>
      <c r="C850" s="41" t="n"/>
      <c r="D850" s="41" t="n"/>
    </row>
    <row r="851" ht="15.75" customHeight="1" s="60">
      <c r="A851" s="41" t="n"/>
      <c r="B851" s="41" t="n"/>
      <c r="C851" s="41" t="n"/>
      <c r="D851" s="41" t="n"/>
    </row>
    <row r="852" ht="15.75" customHeight="1" s="60">
      <c r="A852" s="41" t="n"/>
      <c r="B852" s="41" t="n"/>
      <c r="C852" s="41" t="n"/>
      <c r="D852" s="41" t="n"/>
    </row>
    <row r="853" ht="15.75" customHeight="1" s="60">
      <c r="A853" s="41" t="n"/>
      <c r="B853" s="41" t="n"/>
      <c r="C853" s="41" t="n"/>
      <c r="D853" s="41" t="n"/>
    </row>
    <row r="854" ht="15.75" customHeight="1" s="60">
      <c r="A854" s="41" t="n"/>
      <c r="B854" s="41" t="n"/>
      <c r="C854" s="41" t="n"/>
      <c r="D854" s="41" t="n"/>
    </row>
    <row r="855" ht="15.75" customHeight="1" s="60">
      <c r="A855" s="41" t="n"/>
      <c r="B855" s="41" t="n"/>
      <c r="C855" s="41" t="n"/>
      <c r="D855" s="41" t="n"/>
    </row>
    <row r="856" ht="15.75" customHeight="1" s="60">
      <c r="A856" s="41" t="n"/>
      <c r="B856" s="41" t="n"/>
      <c r="C856" s="41" t="n"/>
      <c r="D856" s="41" t="n"/>
    </row>
    <row r="857" ht="15.75" customHeight="1" s="60">
      <c r="A857" s="41" t="n"/>
      <c r="B857" s="41" t="n"/>
      <c r="C857" s="41" t="n"/>
      <c r="D857" s="41" t="n"/>
    </row>
    <row r="858" ht="15.75" customHeight="1" s="60">
      <c r="A858" s="41" t="n"/>
      <c r="B858" s="41" t="n"/>
      <c r="C858" s="41" t="n"/>
      <c r="D858" s="41" t="n"/>
    </row>
    <row r="859" ht="15.75" customHeight="1" s="60">
      <c r="A859" s="41" t="n"/>
      <c r="B859" s="41" t="n"/>
      <c r="C859" s="41" t="n"/>
      <c r="D859" s="41" t="n"/>
    </row>
    <row r="860" ht="15.75" customHeight="1" s="60">
      <c r="A860" s="41" t="n"/>
      <c r="B860" s="41" t="n"/>
      <c r="C860" s="41" t="n"/>
      <c r="D860" s="41" t="n"/>
    </row>
    <row r="861" ht="15.75" customHeight="1" s="60">
      <c r="A861" s="41" t="n"/>
      <c r="B861" s="41" t="n"/>
      <c r="C861" s="41" t="n"/>
      <c r="D861" s="41" t="n"/>
    </row>
    <row r="862" ht="15.75" customHeight="1" s="60">
      <c r="A862" s="41" t="n"/>
      <c r="B862" s="41" t="n"/>
      <c r="C862" s="41" t="n"/>
      <c r="D862" s="41" t="n"/>
    </row>
    <row r="863" ht="15.75" customHeight="1" s="60">
      <c r="A863" s="41" t="n"/>
      <c r="B863" s="41" t="n"/>
      <c r="C863" s="41" t="n"/>
      <c r="D863" s="41" t="n"/>
    </row>
    <row r="864" ht="15.75" customHeight="1" s="60">
      <c r="A864" s="41" t="n"/>
      <c r="B864" s="41" t="n"/>
      <c r="C864" s="41" t="n"/>
      <c r="D864" s="41" t="n"/>
    </row>
    <row r="865" ht="15.75" customHeight="1" s="60">
      <c r="A865" s="41" t="n"/>
      <c r="B865" s="41" t="n"/>
      <c r="C865" s="41" t="n"/>
      <c r="D865" s="41" t="n"/>
    </row>
    <row r="866" ht="15.75" customHeight="1" s="60">
      <c r="A866" s="41" t="n"/>
      <c r="B866" s="41" t="n"/>
      <c r="C866" s="41" t="n"/>
      <c r="D866" s="41" t="n"/>
    </row>
    <row r="867" ht="15.75" customHeight="1" s="60">
      <c r="A867" s="41" t="n"/>
      <c r="B867" s="41" t="n"/>
      <c r="C867" s="41" t="n"/>
      <c r="D867" s="41" t="n"/>
    </row>
    <row r="868" ht="15.75" customHeight="1" s="60">
      <c r="A868" s="41" t="n"/>
      <c r="B868" s="41" t="n"/>
      <c r="C868" s="41" t="n"/>
      <c r="D868" s="41" t="n"/>
    </row>
    <row r="869" ht="15.75" customHeight="1" s="60">
      <c r="A869" s="41" t="n"/>
      <c r="B869" s="41" t="n"/>
      <c r="C869" s="41" t="n"/>
      <c r="D869" s="41" t="n"/>
    </row>
    <row r="870" ht="15.75" customHeight="1" s="60">
      <c r="A870" s="41" t="n"/>
      <c r="B870" s="41" t="n"/>
      <c r="C870" s="41" t="n"/>
      <c r="D870" s="41" t="n"/>
    </row>
    <row r="871" ht="15.75" customHeight="1" s="60">
      <c r="A871" s="41" t="n"/>
      <c r="B871" s="41" t="n"/>
      <c r="C871" s="41" t="n"/>
      <c r="D871" s="41" t="n"/>
    </row>
    <row r="872" ht="15.75" customHeight="1" s="60">
      <c r="A872" s="41" t="n"/>
      <c r="B872" s="41" t="n"/>
      <c r="C872" s="41" t="n"/>
      <c r="D872" s="41" t="n"/>
    </row>
    <row r="873" ht="15.75" customHeight="1" s="60">
      <c r="A873" s="41" t="n"/>
      <c r="B873" s="41" t="n"/>
      <c r="C873" s="41" t="n"/>
      <c r="D873" s="41" t="n"/>
    </row>
    <row r="874" ht="15.75" customHeight="1" s="60">
      <c r="A874" s="41" t="n"/>
      <c r="B874" s="41" t="n"/>
      <c r="C874" s="41" t="n"/>
      <c r="D874" s="41" t="n"/>
    </row>
    <row r="875" ht="15.75" customHeight="1" s="60">
      <c r="A875" s="41" t="n"/>
      <c r="B875" s="41" t="n"/>
      <c r="C875" s="41" t="n"/>
      <c r="D875" s="41" t="n"/>
    </row>
    <row r="876" ht="15.75" customHeight="1" s="60">
      <c r="A876" s="41" t="n"/>
      <c r="B876" s="41" t="n"/>
      <c r="C876" s="41" t="n"/>
      <c r="D876" s="41" t="n"/>
    </row>
    <row r="877" ht="15.75" customHeight="1" s="60">
      <c r="A877" s="41" t="n"/>
      <c r="B877" s="41" t="n"/>
      <c r="C877" s="41" t="n"/>
      <c r="D877" s="41" t="n"/>
    </row>
    <row r="878" ht="15.75" customHeight="1" s="60">
      <c r="A878" s="41" t="n"/>
      <c r="B878" s="41" t="n"/>
      <c r="C878" s="41" t="n"/>
      <c r="D878" s="41" t="n"/>
    </row>
    <row r="879" ht="15.75" customHeight="1" s="60">
      <c r="A879" s="41" t="n"/>
      <c r="B879" s="41" t="n"/>
      <c r="C879" s="41" t="n"/>
      <c r="D879" s="41" t="n"/>
    </row>
    <row r="880" ht="15.75" customHeight="1" s="60">
      <c r="A880" s="41" t="n"/>
      <c r="B880" s="41" t="n"/>
      <c r="C880" s="41" t="n"/>
      <c r="D880" s="41" t="n"/>
    </row>
    <row r="881" ht="15.75" customHeight="1" s="60">
      <c r="A881" s="41" t="n"/>
      <c r="B881" s="41" t="n"/>
      <c r="C881" s="41" t="n"/>
      <c r="D881" s="41" t="n"/>
    </row>
    <row r="882" ht="15.75" customHeight="1" s="60">
      <c r="A882" s="41" t="n"/>
      <c r="B882" s="41" t="n"/>
      <c r="C882" s="41" t="n"/>
      <c r="D882" s="41" t="n"/>
    </row>
    <row r="883" ht="15.75" customHeight="1" s="60">
      <c r="A883" s="41" t="n"/>
      <c r="B883" s="41" t="n"/>
      <c r="C883" s="41" t="n"/>
      <c r="D883" s="41" t="n"/>
    </row>
    <row r="884" ht="15.75" customHeight="1" s="60">
      <c r="A884" s="41" t="n"/>
      <c r="B884" s="41" t="n"/>
      <c r="C884" s="41" t="n"/>
      <c r="D884" s="41" t="n"/>
    </row>
    <row r="885" ht="15.75" customHeight="1" s="60">
      <c r="A885" s="41" t="n"/>
      <c r="B885" s="41" t="n"/>
      <c r="C885" s="41" t="n"/>
      <c r="D885" s="41" t="n"/>
    </row>
    <row r="886" ht="15.75" customHeight="1" s="60">
      <c r="A886" s="41" t="n"/>
      <c r="B886" s="41" t="n"/>
      <c r="C886" s="41" t="n"/>
      <c r="D886" s="41" t="n"/>
    </row>
    <row r="887" ht="15.75" customHeight="1" s="60">
      <c r="A887" s="41" t="n"/>
      <c r="B887" s="41" t="n"/>
      <c r="C887" s="41" t="n"/>
      <c r="D887" s="41" t="n"/>
    </row>
    <row r="888" ht="15.75" customHeight="1" s="60">
      <c r="A888" s="41" t="n"/>
      <c r="B888" s="41" t="n"/>
      <c r="C888" s="41" t="n"/>
      <c r="D888" s="41" t="n"/>
    </row>
    <row r="889" ht="15.75" customHeight="1" s="60">
      <c r="A889" s="41" t="n"/>
      <c r="B889" s="41" t="n"/>
      <c r="C889" s="41" t="n"/>
      <c r="D889" s="41" t="n"/>
    </row>
    <row r="890" ht="15.75" customHeight="1" s="60">
      <c r="A890" s="41" t="n"/>
      <c r="B890" s="41" t="n"/>
      <c r="C890" s="41" t="n"/>
      <c r="D890" s="41" t="n"/>
    </row>
    <row r="891" ht="15.75" customHeight="1" s="60">
      <c r="A891" s="41" t="n"/>
      <c r="B891" s="41" t="n"/>
      <c r="C891" s="41" t="n"/>
      <c r="D891" s="41" t="n"/>
    </row>
    <row r="892" ht="15.75" customHeight="1" s="60">
      <c r="A892" s="41" t="n"/>
      <c r="B892" s="41" t="n"/>
      <c r="C892" s="41" t="n"/>
      <c r="D892" s="41" t="n"/>
    </row>
    <row r="893" ht="15.75" customHeight="1" s="60">
      <c r="A893" s="41" t="n"/>
      <c r="B893" s="41" t="n"/>
      <c r="C893" s="41" t="n"/>
      <c r="D893" s="41" t="n"/>
    </row>
    <row r="894" ht="15.75" customHeight="1" s="60">
      <c r="A894" s="41" t="n"/>
      <c r="B894" s="41" t="n"/>
      <c r="C894" s="41" t="n"/>
      <c r="D894" s="41" t="n"/>
    </row>
    <row r="895" ht="15.75" customHeight="1" s="60">
      <c r="A895" s="41" t="n"/>
      <c r="B895" s="41" t="n"/>
      <c r="C895" s="41" t="n"/>
      <c r="D895" s="41" t="n"/>
    </row>
    <row r="896" ht="15.75" customHeight="1" s="60">
      <c r="A896" s="41" t="n"/>
      <c r="B896" s="41" t="n"/>
      <c r="C896" s="41" t="n"/>
      <c r="D896" s="41" t="n"/>
    </row>
    <row r="897" ht="15.75" customHeight="1" s="60">
      <c r="A897" s="41" t="n"/>
      <c r="B897" s="41" t="n"/>
      <c r="C897" s="41" t="n"/>
      <c r="D897" s="41" t="n"/>
    </row>
    <row r="898" ht="15.75" customHeight="1" s="60">
      <c r="A898" s="41" t="n"/>
      <c r="B898" s="41" t="n"/>
      <c r="C898" s="41" t="n"/>
      <c r="D898" s="41" t="n"/>
    </row>
    <row r="899" ht="15.75" customHeight="1" s="60">
      <c r="A899" s="41" t="n"/>
      <c r="B899" s="41" t="n"/>
      <c r="C899" s="41" t="n"/>
      <c r="D899" s="41" t="n"/>
    </row>
    <row r="900" ht="15.75" customHeight="1" s="60">
      <c r="A900" s="41" t="n"/>
      <c r="B900" s="41" t="n"/>
      <c r="C900" s="41" t="n"/>
      <c r="D900" s="41" t="n"/>
    </row>
    <row r="901" ht="15.75" customHeight="1" s="60">
      <c r="A901" s="41" t="n"/>
      <c r="B901" s="41" t="n"/>
      <c r="C901" s="41" t="n"/>
      <c r="D901" s="41" t="n"/>
    </row>
    <row r="902" ht="15.75" customHeight="1" s="60">
      <c r="A902" s="41" t="n"/>
      <c r="B902" s="41" t="n"/>
      <c r="C902" s="41" t="n"/>
      <c r="D902" s="41" t="n"/>
    </row>
    <row r="903" ht="15.75" customHeight="1" s="60">
      <c r="A903" s="41" t="n"/>
      <c r="B903" s="41" t="n"/>
      <c r="C903" s="41" t="n"/>
      <c r="D903" s="41" t="n"/>
    </row>
    <row r="904" ht="15.75" customHeight="1" s="60">
      <c r="A904" s="41" t="n"/>
      <c r="B904" s="41" t="n"/>
      <c r="C904" s="41" t="n"/>
      <c r="D904" s="41" t="n"/>
    </row>
    <row r="905" ht="15.75" customHeight="1" s="60">
      <c r="A905" s="41" t="n"/>
      <c r="B905" s="41" t="n"/>
      <c r="C905" s="41" t="n"/>
      <c r="D905" s="41" t="n"/>
    </row>
    <row r="906" ht="15.75" customHeight="1" s="60">
      <c r="A906" s="41" t="n"/>
      <c r="B906" s="41" t="n"/>
      <c r="C906" s="41" t="n"/>
      <c r="D906" s="41" t="n"/>
    </row>
    <row r="907" ht="15.75" customHeight="1" s="60">
      <c r="A907" s="41" t="n"/>
      <c r="B907" s="41" t="n"/>
      <c r="C907" s="41" t="n"/>
      <c r="D907" s="41" t="n"/>
    </row>
    <row r="908" ht="15.75" customHeight="1" s="60">
      <c r="A908" s="41" t="n"/>
      <c r="B908" s="41" t="n"/>
      <c r="C908" s="41" t="n"/>
      <c r="D908" s="41" t="n"/>
    </row>
    <row r="909" ht="15.75" customHeight="1" s="60">
      <c r="A909" s="41" t="n"/>
      <c r="B909" s="41" t="n"/>
      <c r="C909" s="41" t="n"/>
      <c r="D909" s="41" t="n"/>
    </row>
    <row r="910" ht="15.75" customHeight="1" s="60">
      <c r="A910" s="41" t="n"/>
      <c r="B910" s="41" t="n"/>
      <c r="C910" s="41" t="n"/>
      <c r="D910" s="41" t="n"/>
    </row>
    <row r="911" ht="15.75" customHeight="1" s="60">
      <c r="A911" s="41" t="n"/>
      <c r="B911" s="41" t="n"/>
      <c r="C911" s="41" t="n"/>
      <c r="D911" s="41" t="n"/>
    </row>
    <row r="912" ht="15.75" customHeight="1" s="60">
      <c r="A912" s="41" t="n"/>
      <c r="B912" s="41" t="n"/>
      <c r="C912" s="41" t="n"/>
      <c r="D912" s="41" t="n"/>
    </row>
    <row r="913" ht="15.75" customHeight="1" s="60">
      <c r="A913" s="41" t="n"/>
      <c r="B913" s="41" t="n"/>
      <c r="C913" s="41" t="n"/>
      <c r="D913" s="41" t="n"/>
    </row>
    <row r="914" ht="15.75" customHeight="1" s="60">
      <c r="A914" s="41" t="n"/>
      <c r="B914" s="41" t="n"/>
      <c r="C914" s="41" t="n"/>
      <c r="D914" s="41" t="n"/>
    </row>
    <row r="915" ht="15.75" customHeight="1" s="60">
      <c r="A915" s="41" t="n"/>
      <c r="B915" s="41" t="n"/>
      <c r="C915" s="41" t="n"/>
      <c r="D915" s="41" t="n"/>
    </row>
    <row r="916" ht="15.75" customHeight="1" s="60">
      <c r="A916" s="41" t="n"/>
      <c r="B916" s="41" t="n"/>
      <c r="C916" s="41" t="n"/>
      <c r="D916" s="41" t="n"/>
    </row>
    <row r="917" ht="15.75" customHeight="1" s="60">
      <c r="A917" s="41" t="n"/>
      <c r="B917" s="41" t="n"/>
      <c r="C917" s="41" t="n"/>
      <c r="D917" s="41" t="n"/>
    </row>
    <row r="918" ht="15.75" customHeight="1" s="60">
      <c r="A918" s="41" t="n"/>
      <c r="B918" s="41" t="n"/>
      <c r="C918" s="41" t="n"/>
      <c r="D918" s="41" t="n"/>
    </row>
    <row r="919" ht="15.75" customHeight="1" s="60">
      <c r="A919" s="41" t="n"/>
      <c r="B919" s="41" t="n"/>
      <c r="C919" s="41" t="n"/>
      <c r="D919" s="41" t="n"/>
    </row>
    <row r="920" ht="15.75" customHeight="1" s="60">
      <c r="A920" s="41" t="n"/>
      <c r="B920" s="41" t="n"/>
      <c r="C920" s="41" t="n"/>
      <c r="D920" s="41" t="n"/>
    </row>
    <row r="921" ht="15.75" customHeight="1" s="60">
      <c r="A921" s="41" t="n"/>
      <c r="B921" s="41" t="n"/>
      <c r="C921" s="41" t="n"/>
      <c r="D921" s="41" t="n"/>
    </row>
    <row r="922" ht="15.75" customHeight="1" s="60">
      <c r="A922" s="41" t="n"/>
      <c r="B922" s="41" t="n"/>
      <c r="C922" s="41" t="n"/>
      <c r="D922" s="41" t="n"/>
    </row>
    <row r="923" ht="15.75" customHeight="1" s="60">
      <c r="A923" s="41" t="n"/>
      <c r="B923" s="41" t="n"/>
      <c r="C923" s="41" t="n"/>
      <c r="D923" s="41" t="n"/>
    </row>
    <row r="924" ht="15.75" customHeight="1" s="60">
      <c r="A924" s="41" t="n"/>
      <c r="B924" s="41" t="n"/>
      <c r="C924" s="41" t="n"/>
      <c r="D924" s="41" t="n"/>
    </row>
    <row r="925" ht="15.75" customHeight="1" s="60">
      <c r="A925" s="41" t="n"/>
      <c r="B925" s="41" t="n"/>
      <c r="C925" s="41" t="n"/>
      <c r="D925" s="41" t="n"/>
    </row>
    <row r="926" ht="15.75" customHeight="1" s="60">
      <c r="A926" s="41" t="n"/>
      <c r="B926" s="41" t="n"/>
      <c r="C926" s="41" t="n"/>
      <c r="D926" s="41" t="n"/>
    </row>
    <row r="927" ht="15.75" customHeight="1" s="60">
      <c r="A927" s="41" t="n"/>
      <c r="B927" s="41" t="n"/>
      <c r="C927" s="41" t="n"/>
      <c r="D927" s="41" t="n"/>
    </row>
    <row r="928" ht="15.75" customHeight="1" s="60">
      <c r="A928" s="41" t="n"/>
      <c r="B928" s="41" t="n"/>
      <c r="C928" s="41" t="n"/>
      <c r="D928" s="41" t="n"/>
    </row>
    <row r="929" ht="15.75" customHeight="1" s="60">
      <c r="A929" s="41" t="n"/>
      <c r="B929" s="41" t="n"/>
      <c r="C929" s="41" t="n"/>
      <c r="D929" s="41" t="n"/>
    </row>
    <row r="930" ht="15.75" customHeight="1" s="60">
      <c r="A930" s="41" t="n"/>
      <c r="B930" s="41" t="n"/>
      <c r="C930" s="41" t="n"/>
      <c r="D930" s="41" t="n"/>
    </row>
    <row r="931" ht="15.75" customHeight="1" s="60">
      <c r="A931" s="41" t="n"/>
      <c r="B931" s="41" t="n"/>
      <c r="C931" s="41" t="n"/>
      <c r="D931" s="41" t="n"/>
    </row>
    <row r="932" ht="15.75" customHeight="1" s="60">
      <c r="A932" s="41" t="n"/>
      <c r="B932" s="41" t="n"/>
      <c r="C932" s="41" t="n"/>
      <c r="D932" s="41" t="n"/>
    </row>
    <row r="933" ht="15.75" customHeight="1" s="60">
      <c r="A933" s="41" t="n"/>
      <c r="B933" s="41" t="n"/>
      <c r="C933" s="41" t="n"/>
      <c r="D933" s="41" t="n"/>
    </row>
    <row r="934" ht="15.75" customHeight="1" s="60">
      <c r="A934" s="41" t="n"/>
      <c r="B934" s="41" t="n"/>
      <c r="C934" s="41" t="n"/>
      <c r="D934" s="41" t="n"/>
    </row>
    <row r="935" ht="15.75" customHeight="1" s="60">
      <c r="A935" s="41" t="n"/>
      <c r="B935" s="41" t="n"/>
      <c r="C935" s="41" t="n"/>
      <c r="D935" s="41" t="n"/>
    </row>
    <row r="936" ht="15.75" customHeight="1" s="60">
      <c r="A936" s="41" t="n"/>
      <c r="B936" s="41" t="n"/>
      <c r="C936" s="41" t="n"/>
      <c r="D936" s="41" t="n"/>
    </row>
    <row r="937" ht="15.75" customHeight="1" s="60">
      <c r="A937" s="41" t="n"/>
      <c r="B937" s="41" t="n"/>
      <c r="C937" s="41" t="n"/>
      <c r="D937" s="41" t="n"/>
    </row>
    <row r="938" ht="15.75" customHeight="1" s="60">
      <c r="A938" s="41" t="n"/>
      <c r="B938" s="41" t="n"/>
      <c r="C938" s="41" t="n"/>
      <c r="D938" s="41" t="n"/>
    </row>
    <row r="939" ht="15.75" customHeight="1" s="60">
      <c r="A939" s="41" t="n"/>
      <c r="B939" s="41" t="n"/>
      <c r="C939" s="41" t="n"/>
      <c r="D939" s="41" t="n"/>
    </row>
    <row r="940" ht="15.75" customHeight="1" s="60">
      <c r="A940" s="41" t="n"/>
      <c r="B940" s="41" t="n"/>
      <c r="C940" s="41" t="n"/>
      <c r="D940" s="41" t="n"/>
    </row>
    <row r="941" ht="15.75" customHeight="1" s="60">
      <c r="A941" s="41" t="n"/>
      <c r="B941" s="41" t="n"/>
      <c r="C941" s="41" t="n"/>
      <c r="D941" s="41" t="n"/>
    </row>
    <row r="942" ht="15.75" customHeight="1" s="60">
      <c r="A942" s="41" t="n"/>
      <c r="B942" s="41" t="n"/>
      <c r="C942" s="41" t="n"/>
      <c r="D942" s="41" t="n"/>
    </row>
    <row r="943" ht="15.75" customHeight="1" s="60">
      <c r="A943" s="41" t="n"/>
      <c r="B943" s="41" t="n"/>
      <c r="C943" s="41" t="n"/>
      <c r="D943" s="41" t="n"/>
    </row>
    <row r="944" ht="15.75" customHeight="1" s="60">
      <c r="A944" s="41" t="n"/>
      <c r="B944" s="41" t="n"/>
      <c r="C944" s="41" t="n"/>
      <c r="D944" s="41" t="n"/>
    </row>
    <row r="945" ht="15.75" customHeight="1" s="60">
      <c r="A945" s="41" t="n"/>
      <c r="B945" s="41" t="n"/>
      <c r="C945" s="41" t="n"/>
      <c r="D945" s="41" t="n"/>
    </row>
    <row r="946" ht="15.75" customHeight="1" s="60">
      <c r="A946" s="41" t="n"/>
      <c r="B946" s="41" t="n"/>
      <c r="C946" s="41" t="n"/>
      <c r="D946" s="41" t="n"/>
    </row>
    <row r="947" ht="15.75" customHeight="1" s="60">
      <c r="A947" s="41" t="n"/>
      <c r="B947" s="41" t="n"/>
      <c r="C947" s="41" t="n"/>
      <c r="D947" s="41" t="n"/>
    </row>
    <row r="948" ht="15.75" customHeight="1" s="60">
      <c r="A948" s="41" t="n"/>
      <c r="B948" s="41" t="n"/>
      <c r="C948" s="41" t="n"/>
      <c r="D948" s="41" t="n"/>
    </row>
    <row r="949" ht="15.75" customHeight="1" s="60">
      <c r="A949" s="41" t="n"/>
      <c r="B949" s="41" t="n"/>
      <c r="C949" s="41" t="n"/>
      <c r="D949" s="41" t="n"/>
    </row>
    <row r="950" ht="15.75" customHeight="1" s="60">
      <c r="A950" s="41" t="n"/>
      <c r="B950" s="41" t="n"/>
      <c r="C950" s="41" t="n"/>
      <c r="D950" s="41" t="n"/>
    </row>
    <row r="951" ht="15.75" customHeight="1" s="60">
      <c r="A951" s="41" t="n"/>
      <c r="B951" s="41" t="n"/>
      <c r="C951" s="41" t="n"/>
      <c r="D951" s="41" t="n"/>
    </row>
    <row r="952" ht="15.75" customHeight="1" s="60">
      <c r="A952" s="41" t="n"/>
      <c r="B952" s="41" t="n"/>
      <c r="C952" s="41" t="n"/>
      <c r="D952" s="41" t="n"/>
    </row>
    <row r="953" ht="15.75" customHeight="1" s="60">
      <c r="A953" s="41" t="n"/>
      <c r="B953" s="41" t="n"/>
      <c r="C953" s="41" t="n"/>
      <c r="D953" s="41" t="n"/>
    </row>
    <row r="954" ht="15.75" customHeight="1" s="60">
      <c r="A954" s="41" t="n"/>
      <c r="B954" s="41" t="n"/>
      <c r="C954" s="41" t="n"/>
      <c r="D954" s="41" t="n"/>
    </row>
    <row r="955" ht="15.75" customHeight="1" s="60">
      <c r="A955" s="41" t="n"/>
      <c r="B955" s="41" t="n"/>
      <c r="C955" s="41" t="n"/>
      <c r="D955" s="41" t="n"/>
    </row>
    <row r="956" ht="15.75" customHeight="1" s="60">
      <c r="A956" s="41" t="n"/>
      <c r="B956" s="41" t="n"/>
      <c r="C956" s="41" t="n"/>
      <c r="D956" s="41" t="n"/>
    </row>
    <row r="957" ht="15.75" customHeight="1" s="60">
      <c r="A957" s="41" t="n"/>
      <c r="B957" s="41" t="n"/>
      <c r="C957" s="41" t="n"/>
      <c r="D957" s="41" t="n"/>
    </row>
    <row r="958" ht="15.75" customHeight="1" s="60">
      <c r="A958" s="41" t="n"/>
      <c r="B958" s="41" t="n"/>
      <c r="C958" s="41" t="n"/>
      <c r="D958" s="41" t="n"/>
    </row>
    <row r="959" ht="15.75" customHeight="1" s="60">
      <c r="A959" s="41" t="n"/>
      <c r="B959" s="41" t="n"/>
      <c r="C959" s="41" t="n"/>
      <c r="D959" s="41" t="n"/>
    </row>
    <row r="960" ht="15.75" customHeight="1" s="60">
      <c r="A960" s="41" t="n"/>
      <c r="B960" s="41" t="n"/>
      <c r="C960" s="41" t="n"/>
      <c r="D960" s="41" t="n"/>
    </row>
    <row r="961" ht="15.75" customHeight="1" s="60">
      <c r="A961" s="41" t="n"/>
      <c r="B961" s="41" t="n"/>
      <c r="C961" s="41" t="n"/>
      <c r="D961" s="41" t="n"/>
    </row>
    <row r="962" ht="15.75" customHeight="1" s="60">
      <c r="A962" s="41" t="n"/>
      <c r="B962" s="41" t="n"/>
      <c r="C962" s="41" t="n"/>
      <c r="D962" s="41" t="n"/>
    </row>
    <row r="963" ht="15.75" customHeight="1" s="60">
      <c r="A963" s="41" t="n"/>
      <c r="B963" s="41" t="n"/>
      <c r="C963" s="41" t="n"/>
      <c r="D963" s="41" t="n"/>
    </row>
    <row r="964" ht="15.75" customHeight="1" s="60">
      <c r="A964" s="41" t="n"/>
      <c r="B964" s="41" t="n"/>
      <c r="C964" s="41" t="n"/>
      <c r="D964" s="41" t="n"/>
    </row>
    <row r="965" ht="15.75" customHeight="1" s="60">
      <c r="A965" s="41" t="n"/>
      <c r="B965" s="41" t="n"/>
      <c r="C965" s="41" t="n"/>
      <c r="D965" s="41" t="n"/>
    </row>
    <row r="966" ht="15.75" customHeight="1" s="60">
      <c r="A966" s="41" t="n"/>
      <c r="B966" s="41" t="n"/>
      <c r="C966" s="41" t="n"/>
      <c r="D966" s="41" t="n"/>
    </row>
    <row r="967" ht="15.75" customHeight="1" s="60">
      <c r="A967" s="41" t="n"/>
      <c r="B967" s="41" t="n"/>
      <c r="C967" s="41" t="n"/>
      <c r="D967" s="41" t="n"/>
    </row>
    <row r="968" ht="15.75" customHeight="1" s="60">
      <c r="A968" s="41" t="n"/>
      <c r="B968" s="41" t="n"/>
      <c r="C968" s="41" t="n"/>
      <c r="D968" s="41" t="n"/>
    </row>
    <row r="969" ht="15.75" customHeight="1" s="60">
      <c r="A969" s="41" t="n"/>
      <c r="B969" s="41" t="n"/>
      <c r="C969" s="41" t="n"/>
      <c r="D969" s="41" t="n"/>
    </row>
    <row r="970" ht="15.75" customHeight="1" s="60">
      <c r="A970" s="41" t="n"/>
      <c r="B970" s="41" t="n"/>
      <c r="C970" s="41" t="n"/>
      <c r="D970" s="41" t="n"/>
    </row>
    <row r="971" ht="15.75" customHeight="1" s="60">
      <c r="A971" s="41" t="n"/>
      <c r="B971" s="41" t="n"/>
      <c r="C971" s="41" t="n"/>
      <c r="D971" s="41" t="n"/>
    </row>
    <row r="972" ht="15.75" customHeight="1" s="60">
      <c r="A972" s="41" t="n"/>
      <c r="B972" s="41" t="n"/>
      <c r="C972" s="41" t="n"/>
      <c r="D972" s="41" t="n"/>
    </row>
    <row r="973" ht="15.75" customHeight="1" s="60">
      <c r="A973" s="41" t="n"/>
      <c r="B973" s="41" t="n"/>
      <c r="C973" s="41" t="n"/>
      <c r="D973" s="41" t="n"/>
    </row>
    <row r="974" ht="15.75" customHeight="1" s="60">
      <c r="A974" s="41" t="n"/>
      <c r="B974" s="41" t="n"/>
      <c r="C974" s="41" t="n"/>
      <c r="D974" s="41" t="n"/>
    </row>
    <row r="975" ht="15.75" customHeight="1" s="60">
      <c r="A975" s="41" t="n"/>
      <c r="B975" s="41" t="n"/>
      <c r="C975" s="41" t="n"/>
      <c r="D975" s="41" t="n"/>
    </row>
    <row r="976" ht="15.75" customHeight="1" s="60">
      <c r="A976" s="41" t="n"/>
      <c r="B976" s="41" t="n"/>
      <c r="C976" s="41" t="n"/>
      <c r="D976" s="41" t="n"/>
    </row>
    <row r="977" ht="15.75" customHeight="1" s="60">
      <c r="A977" s="41" t="n"/>
      <c r="B977" s="41" t="n"/>
      <c r="C977" s="41" t="n"/>
      <c r="D977" s="41" t="n"/>
    </row>
    <row r="978" ht="15.75" customHeight="1" s="60">
      <c r="A978" s="41" t="n"/>
      <c r="B978" s="41" t="n"/>
      <c r="C978" s="41" t="n"/>
      <c r="D978" s="41" t="n"/>
    </row>
    <row r="979" ht="15.75" customHeight="1" s="60">
      <c r="A979" s="41" t="n"/>
      <c r="B979" s="41" t="n"/>
      <c r="C979" s="41" t="n"/>
      <c r="D979" s="41" t="n"/>
    </row>
    <row r="980" ht="15.75" customHeight="1" s="60">
      <c r="A980" s="41" t="n"/>
      <c r="B980" s="41" t="n"/>
      <c r="C980" s="41" t="n"/>
      <c r="D980" s="41" t="n"/>
    </row>
    <row r="981" ht="15.75" customHeight="1" s="60">
      <c r="A981" s="41" t="n"/>
      <c r="B981" s="41" t="n"/>
      <c r="C981" s="41" t="n"/>
      <c r="D981" s="41" t="n"/>
    </row>
    <row r="982" ht="15.75" customHeight="1" s="60">
      <c r="A982" s="41" t="n"/>
      <c r="B982" s="41" t="n"/>
      <c r="C982" s="41" t="n"/>
      <c r="D982" s="41" t="n"/>
    </row>
    <row r="983" ht="15.75" customHeight="1" s="60">
      <c r="A983" s="41" t="n"/>
      <c r="B983" s="41" t="n"/>
      <c r="C983" s="41" t="n"/>
      <c r="D983" s="41" t="n"/>
    </row>
    <row r="984" ht="15.75" customHeight="1" s="60">
      <c r="A984" s="41" t="n"/>
      <c r="B984" s="41" t="n"/>
      <c r="C984" s="41" t="n"/>
      <c r="D984" s="41" t="n"/>
    </row>
    <row r="985" ht="15.75" customHeight="1" s="60">
      <c r="A985" s="41" t="n"/>
      <c r="B985" s="41" t="n"/>
      <c r="C985" s="41" t="n"/>
      <c r="D985" s="41" t="n"/>
    </row>
    <row r="986" ht="15.75" customHeight="1" s="60">
      <c r="A986" s="41" t="n"/>
      <c r="B986" s="41" t="n"/>
      <c r="C986" s="41" t="n"/>
      <c r="D986" s="41" t="n"/>
    </row>
    <row r="987" ht="15.75" customHeight="1" s="60">
      <c r="A987" s="41" t="n"/>
      <c r="B987" s="41" t="n"/>
      <c r="C987" s="41" t="n"/>
      <c r="D987" s="41" t="n"/>
    </row>
    <row r="988" ht="15.75" customHeight="1" s="60">
      <c r="A988" s="41" t="n"/>
      <c r="B988" s="41" t="n"/>
      <c r="C988" s="41" t="n"/>
      <c r="D988" s="41" t="n"/>
    </row>
    <row r="989" ht="15.75" customHeight="1" s="60">
      <c r="A989" s="41" t="n"/>
      <c r="B989" s="41" t="n"/>
      <c r="C989" s="41" t="n"/>
      <c r="D989" s="41" t="n"/>
    </row>
    <row r="990" ht="15.75" customHeight="1" s="60">
      <c r="A990" s="41" t="n"/>
      <c r="B990" s="41" t="n"/>
      <c r="C990" s="41" t="n"/>
      <c r="D990" s="41" t="n"/>
    </row>
    <row r="991" ht="15.75" customHeight="1" s="60">
      <c r="A991" s="41" t="n"/>
      <c r="B991" s="41" t="n"/>
      <c r="C991" s="41" t="n"/>
      <c r="D991" s="41" t="n"/>
    </row>
    <row r="992" ht="15.75" customHeight="1" s="60">
      <c r="A992" s="41" t="n"/>
      <c r="B992" s="41" t="n"/>
      <c r="C992" s="41" t="n"/>
      <c r="D992" s="41" t="n"/>
    </row>
    <row r="993" ht="15.75" customHeight="1" s="60">
      <c r="A993" s="41" t="n"/>
      <c r="B993" s="41" t="n"/>
      <c r="C993" s="41" t="n"/>
      <c r="D993" s="41" t="n"/>
    </row>
    <row r="994" ht="15.75" customHeight="1" s="60">
      <c r="A994" s="41" t="n"/>
      <c r="B994" s="41" t="n"/>
      <c r="C994" s="41" t="n"/>
      <c r="D994" s="41" t="n"/>
    </row>
    <row r="995" ht="15.75" customHeight="1" s="60">
      <c r="A995" s="41" t="n"/>
      <c r="B995" s="41" t="n"/>
      <c r="C995" s="41" t="n"/>
      <c r="D995" s="41" t="n"/>
    </row>
    <row r="996" ht="15.75" customHeight="1" s="60">
      <c r="A996" s="41" t="n"/>
      <c r="B996" s="41" t="n"/>
      <c r="C996" s="41" t="n"/>
      <c r="D996" s="41" t="n"/>
    </row>
    <row r="997" ht="15.75" customHeight="1" s="60">
      <c r="A997" s="41" t="n"/>
      <c r="B997" s="41" t="n"/>
      <c r="C997" s="41" t="n"/>
      <c r="D997" s="41" t="n"/>
    </row>
    <row r="998" ht="15.75" customHeight="1" s="60">
      <c r="A998" s="41" t="n"/>
      <c r="B998" s="41" t="n"/>
      <c r="C998" s="41" t="n"/>
      <c r="D998" s="41" t="n"/>
    </row>
    <row r="999" ht="15.75" customHeight="1" s="60">
      <c r="A999" s="41" t="n"/>
      <c r="B999" s="41" t="n"/>
      <c r="C999" s="41" t="n"/>
      <c r="D999" s="41" t="n"/>
    </row>
    <row r="1000" ht="15.75" customHeight="1" s="60">
      <c r="A1000" s="41" t="n"/>
      <c r="B1000" s="41" t="n"/>
      <c r="C1000" s="41" t="n"/>
      <c r="D1000" s="41" t="n"/>
    </row>
  </sheetData>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C1000"/>
  <sheetViews>
    <sheetView workbookViewId="0">
      <pane ySplit="4" topLeftCell="A5" activePane="bottomLeft" state="frozen"/>
      <selection pane="bottomLeft" activeCell="B6" sqref="B6"/>
    </sheetView>
  </sheetViews>
  <sheetFormatPr baseColWidth="8" defaultColWidth="14.43" defaultRowHeight="15" customHeight="1"/>
  <cols>
    <col width="28" customWidth="1" style="60" min="1" max="2"/>
    <col width="50" customWidth="1" style="60" min="3" max="3"/>
    <col width="8.710000000000001" customWidth="1" style="60" min="4" max="26"/>
  </cols>
  <sheetData>
    <row r="1" ht="17.25" customHeight="1" s="60">
      <c r="A1" s="1" t="inlineStr">
        <is>
          <t>KAMUS ISTILAH (BILINGUAL GLOSSARY)</t>
        </is>
      </c>
      <c r="B1" s="41" t="n"/>
      <c r="C1" s="41" t="n"/>
    </row>
    <row r="2" ht="15" customHeight="1" s="60">
      <c r="A2" s="5" t="inlineStr">
        <is>
          <t>English = bahasa utama aplikasi web. Bahasa Malaysia = tooltip. Helaian ini boleh dibaca terus oleh wizard nanti.</t>
        </is>
      </c>
      <c r="B2" s="41" t="n"/>
      <c r="C2" s="41" t="n"/>
    </row>
    <row r="3">
      <c r="A3" s="41" t="n"/>
      <c r="B3" s="41" t="n"/>
      <c r="C3" s="41" t="n"/>
    </row>
    <row r="4" ht="25.5" customHeight="1" s="60">
      <c r="A4" s="7" t="inlineStr">
        <is>
          <t>Istilah (English)</t>
        </is>
      </c>
      <c r="B4" s="7" t="inlineStr">
        <is>
          <t>Istilah (Bahasa Malaysia)</t>
        </is>
      </c>
      <c r="C4" s="7" t="inlineStr">
        <is>
          <t>Penerangan Ringkas</t>
        </is>
      </c>
    </row>
    <row r="5" ht="15" customHeight="1" s="60">
      <c r="A5" s="38" t="inlineStr">
        <is>
          <t>Chart of Accounts</t>
        </is>
      </c>
      <c r="B5" s="38" t="inlineStr">
        <is>
          <t>Carta Akaun</t>
        </is>
      </c>
      <c r="C5" s="11" t="inlineStr">
        <is>
          <t>Senarai semua akaun yang koperasi guna, dengan jenis masing-masing</t>
        </is>
      </c>
    </row>
    <row r="6" ht="15" customHeight="1" s="60">
      <c r="A6" s="38" t="inlineStr">
        <is>
          <t>Account</t>
        </is>
      </c>
      <c r="B6" s="38" t="inlineStr">
        <is>
          <t>Akaun</t>
        </is>
      </c>
      <c r="C6" s="11" t="inlineStr">
        <is>
          <t>Satu kategori tempat wang direkod, cth. Bank, Jualan, Perbelanjaan Pejabat</t>
        </is>
      </c>
    </row>
    <row r="7" ht="15" customHeight="1" s="60">
      <c r="A7" s="38" t="inlineStr">
        <is>
          <t>Transaction</t>
        </is>
      </c>
      <c r="B7" s="38" t="inlineStr">
        <is>
          <t>Transaksi</t>
        </is>
      </c>
      <c r="C7" s="11" t="inlineStr">
        <is>
          <t>Satu peristiwa kewangan, cth. satu resit atau satu PV</t>
        </is>
      </c>
    </row>
    <row r="8" ht="15" customHeight="1" s="60">
      <c r="A8" s="38" t="inlineStr">
        <is>
          <t>Debit</t>
        </is>
      </c>
      <c r="B8" s="38" t="inlineStr">
        <is>
          <t>Debit</t>
        </is>
      </c>
      <c r="C8" s="11" t="inlineStr">
        <is>
          <t>Sisi kiri catatan berganda; menambah Aset/Perbelanjaan, mengurang Liabiliti/Ekuiti/Hasil</t>
        </is>
      </c>
    </row>
    <row r="9" ht="15" customHeight="1" s="60">
      <c r="A9" s="38" t="inlineStr">
        <is>
          <t>Credit</t>
        </is>
      </c>
      <c r="B9" s="38" t="inlineStr">
        <is>
          <t>Kredit</t>
        </is>
      </c>
      <c r="C9" s="11" t="inlineStr">
        <is>
          <t>Sisi kanan catatan berganda; menambah Liabiliti/Ekuiti/Hasil, mengurang Aset/Perbelanjaan</t>
        </is>
      </c>
    </row>
    <row r="10" ht="15" customHeight="1" s="60">
      <c r="A10" s="38" t="inlineStr">
        <is>
          <t>Trial Balance</t>
        </is>
      </c>
      <c r="B10" s="38" t="inlineStr">
        <is>
          <t>Imbangan Duga</t>
        </is>
      </c>
      <c r="C10" s="11" t="inlineStr">
        <is>
          <t>Senarai semua baki akaun; jumlah Debit mesti sama dengan jumlah Kredit</t>
        </is>
      </c>
    </row>
    <row r="11" ht="15" customHeight="1" s="60">
      <c r="A11" s="38" t="inlineStr">
        <is>
          <t>Balance Sheet</t>
        </is>
      </c>
      <c r="B11" s="38" t="inlineStr">
        <is>
          <t>Kunci Kira-Kira (KKK)</t>
        </is>
      </c>
      <c r="C11" s="11" t="inlineStr">
        <is>
          <t>Kedudukan Aset, Liabiliti dan Ekuiti pada satu tarikh</t>
        </is>
      </c>
    </row>
    <row r="12" ht="15" customHeight="1" s="60">
      <c r="A12" s="38" t="inlineStr">
        <is>
          <t>Income Statement</t>
        </is>
      </c>
      <c r="B12" s="38" t="inlineStr">
        <is>
          <t>Akaun Untung Rugi (UR)</t>
        </is>
      </c>
      <c r="C12" s="11" t="inlineStr">
        <is>
          <t>Hasil tolak Perbelanjaan bagi satu tempoh</t>
        </is>
      </c>
    </row>
    <row r="13" ht="15" customHeight="1" s="60">
      <c r="A13" s="38" t="inlineStr">
        <is>
          <t>Cash Flow Statement</t>
        </is>
      </c>
      <c r="B13" s="38" t="inlineStr">
        <is>
          <t>Penyata Aliran Tunai (AT)</t>
        </is>
      </c>
      <c r="C13" s="11" t="inlineStr">
        <is>
          <t>Pergerakan tunai masuk dan keluar bagi satu tempoh</t>
        </is>
      </c>
    </row>
    <row r="14" ht="15" customHeight="1" s="60">
      <c r="A14" s="38" t="inlineStr">
        <is>
          <t>Opening Balance</t>
        </is>
      </c>
      <c r="B14" s="38" t="inlineStr">
        <is>
          <t>Baki Awal / Pembukaan</t>
        </is>
      </c>
      <c r="C14" s="11" t="inlineStr">
        <is>
          <t>Baki setiap akaun pada permulaan tahun kewangan baharu</t>
        </is>
      </c>
    </row>
    <row r="15" ht="15" customHeight="1" s="60">
      <c r="A15" s="38" t="inlineStr">
        <is>
          <t>Member Equity</t>
        </is>
      </c>
      <c r="B15" s="38" t="inlineStr">
        <is>
          <t>Ekuiti Ahli</t>
        </is>
      </c>
      <c r="C15" s="11" t="inlineStr">
        <is>
          <t>Modal syer, rizab dan lebihan terkumpul kepunyaan ahli koperasi</t>
        </is>
      </c>
    </row>
    <row r="16" ht="15" customHeight="1" s="60">
      <c r="A16" s="38" t="inlineStr">
        <is>
          <t>Asset</t>
        </is>
      </c>
      <c r="B16" s="38" t="inlineStr">
        <is>
          <t>Aset</t>
        </is>
      </c>
      <c r="C16" s="11" t="inlineStr">
        <is>
          <t>Apa yang koperasi miliki atau berhak terima</t>
        </is>
      </c>
    </row>
    <row r="17" ht="15" customHeight="1" s="60">
      <c r="A17" s="38" t="inlineStr">
        <is>
          <t>Liability</t>
        </is>
      </c>
      <c r="B17" s="38" t="inlineStr">
        <is>
          <t>Liabiliti</t>
        </is>
      </c>
      <c r="C17" s="11" t="inlineStr">
        <is>
          <t>Apa yang koperasi berhutang</t>
        </is>
      </c>
    </row>
    <row r="18" ht="15" customHeight="1" s="60">
      <c r="A18" s="38" t="inlineStr">
        <is>
          <t>Revenue</t>
        </is>
      </c>
      <c r="B18" s="38" t="inlineStr">
        <is>
          <t>Hasil</t>
        </is>
      </c>
      <c r="C18" s="11" t="inlineStr">
        <is>
          <t>Pendapatan yang diperoleh koperasi</t>
        </is>
      </c>
    </row>
    <row r="19" ht="15" customHeight="1" s="60">
      <c r="A19" s="38" t="inlineStr">
        <is>
          <t>Expense</t>
        </is>
      </c>
      <c r="B19" s="38" t="inlineStr">
        <is>
          <t>Perbelanjaan</t>
        </is>
      </c>
      <c r="C19" s="11" t="inlineStr">
        <is>
          <t>Kos yang ditanggung koperasi</t>
        </is>
      </c>
    </row>
    <row r="20" ht="15" customHeight="1" s="60">
      <c r="A20" s="38" t="inlineStr">
        <is>
          <t>Payment Voucher (PV)</t>
        </is>
      </c>
      <c r="B20" s="38" t="inlineStr">
        <is>
          <t>Baucar Bayaran</t>
        </is>
      </c>
      <c r="C20" s="11" t="inlineStr">
        <is>
          <t>Dokumen rujukan untuk satu bayaran</t>
        </is>
      </c>
    </row>
    <row r="21" ht="15" customHeight="1" s="60">
      <c r="A21" s="38" t="inlineStr">
        <is>
          <t>Cash</t>
        </is>
      </c>
      <c r="B21" s="38" t="inlineStr">
        <is>
          <t>Tunai</t>
        </is>
      </c>
      <c r="C21" s="11" t="inlineStr">
        <is>
          <t>Wang di tangan, bukan di bank</t>
        </is>
      </c>
    </row>
    <row r="22" ht="15" customHeight="1" s="60">
      <c r="A22" s="38" t="inlineStr">
        <is>
          <t>Contra Entry</t>
        </is>
      </c>
      <c r="B22" s="38" t="inlineStr">
        <is>
          <t>Kontra</t>
        </is>
      </c>
      <c r="C22" s="11" t="inlineStr">
        <is>
          <t>Pindahan dalaman antara akaun tunai/bank sendiri, bukan pendapatan atau perbelanjaan</t>
        </is>
      </c>
    </row>
    <row r="23" ht="15" customHeight="1" s="60">
      <c r="A23" s="38" t="inlineStr">
        <is>
          <t>Receipt</t>
        </is>
      </c>
      <c r="B23" s="38" t="inlineStr">
        <is>
          <t>Resit / Terimaan</t>
        </is>
      </c>
      <c r="C23" s="11" t="inlineStr">
        <is>
          <t>Wang yang diterima</t>
        </is>
      </c>
    </row>
    <row r="24" ht="15" customHeight="1" s="60">
      <c r="A24" s="38" t="inlineStr">
        <is>
          <t>Payment</t>
        </is>
      </c>
      <c r="B24" s="38" t="inlineStr">
        <is>
          <t>Bayaran</t>
        </is>
      </c>
      <c r="C24" s="11" t="inlineStr">
        <is>
          <t>Wang yang dibayar keluar</t>
        </is>
      </c>
    </row>
    <row r="25" ht="15" customHeight="1" s="60">
      <c r="A25" s="38" t="inlineStr">
        <is>
          <t>Ledger</t>
        </is>
      </c>
      <c r="B25" s="38" t="inlineStr">
        <is>
          <t>Lejar</t>
        </is>
      </c>
      <c r="C25" s="11" t="inlineStr">
        <is>
          <t>Rekod semua baris transaksi bagi satu akaun</t>
        </is>
      </c>
    </row>
    <row r="26" ht="15" customHeight="1" s="60">
      <c r="A26" s="38" t="inlineStr">
        <is>
          <t>Dividend</t>
        </is>
      </c>
      <c r="B26" s="38" t="inlineStr">
        <is>
          <t>Dividen</t>
        </is>
      </c>
      <c r="C26" s="11" t="inlineStr">
        <is>
          <t>Bahagian lebihan yang diagihkan kepada ahli, diluluskan di AGM</t>
        </is>
      </c>
    </row>
    <row r="27" ht="15" customHeight="1" s="60">
      <c r="A27" s="38" t="inlineStr">
        <is>
          <t>Share Capital</t>
        </is>
      </c>
      <c r="B27" s="38" t="inlineStr">
        <is>
          <t>Modal Syer</t>
        </is>
      </c>
      <c r="C27" s="11" t="inlineStr">
        <is>
          <t>Wang yang dilaburkan ahli semasa menyertai koperasi</t>
        </is>
      </c>
    </row>
    <row r="28" ht="15" customHeight="1" s="60">
      <c r="A28" s="38" t="inlineStr">
        <is>
          <t>Reserve</t>
        </is>
      </c>
      <c r="B28" s="38" t="inlineStr">
        <is>
          <t>Rizab</t>
        </is>
      </c>
      <c r="C28" s="11" t="inlineStr">
        <is>
          <t>Peruntukan wajib atau pilihan daripada lebihan, bukan untuk diagihkan</t>
        </is>
      </c>
    </row>
    <row r="29" ht="15" customHeight="1" s="60">
      <c r="A29" s="38" t="inlineStr">
        <is>
          <t>Member Deposit</t>
        </is>
      </c>
      <c r="B29" s="38" t="inlineStr">
        <is>
          <t>Simpanan Deposit Ahli</t>
        </is>
      </c>
      <c r="C29" s="11" t="inlineStr">
        <is>
          <t>Simpanan ahli yang boleh dikeluarkan, berbeza daripada modal syer</t>
        </is>
      </c>
    </row>
    <row r="30" ht="15" customHeight="1" s="60">
      <c r="A30" s="16" t="inlineStr">
        <is>
          <t>Purchases (COGS)</t>
        </is>
      </c>
      <c r="B30" s="16" t="inlineStr">
        <is>
          <t>Belian</t>
        </is>
      </c>
      <c r="C30" s="20" t="inlineStr">
        <is>
          <t>Kos barangan dibeli untuk dijual semula</t>
        </is>
      </c>
    </row>
    <row r="31" ht="15" customHeight="1" s="60">
      <c r="A31" s="16" t="inlineStr">
        <is>
          <t>Purchase Returns</t>
        </is>
      </c>
      <c r="B31" s="16" t="inlineStr">
        <is>
          <t>Pulangan Belian</t>
        </is>
      </c>
      <c r="C31" s="20" t="inlineStr">
        <is>
          <t>Kontra-perbelanjaan: barang dikembalikan kepada pembekal, tolak daripada Belian</t>
        </is>
      </c>
    </row>
    <row r="32" ht="15" customHeight="1" s="60">
      <c r="A32" s="16" t="inlineStr">
        <is>
          <t>Sales Returns</t>
        </is>
      </c>
      <c r="B32" s="16" t="inlineStr">
        <is>
          <t>Pulangan Jualan</t>
        </is>
      </c>
      <c r="C32" s="20" t="inlineStr">
        <is>
          <t>Kontra-hasil: barang dikembalikan oleh pelanggan, tolak daripada Jualan</t>
        </is>
      </c>
    </row>
    <row r="33" ht="15" customHeight="1" s="60">
      <c r="A33" s="16" t="inlineStr">
        <is>
          <t>Freight-in</t>
        </is>
      </c>
      <c r="B33" s="16" t="inlineStr">
        <is>
          <t>Angkutan Masuk</t>
        </is>
      </c>
      <c r="C33" s="20" t="inlineStr">
        <is>
          <t>Kos penghantaran ke atas barang dibeli, ditambah kepada kos Belian</t>
        </is>
      </c>
    </row>
    <row r="34" ht="15" customHeight="1" s="60">
      <c r="A34" s="16" t="inlineStr">
        <is>
          <t>Contra Account</t>
        </is>
      </c>
      <c r="B34" s="16" t="inlineStr">
        <is>
          <t>Akaun Kontra</t>
        </is>
      </c>
      <c r="C34" s="20" t="inlineStr">
        <is>
          <t>Akaun dengan baki normal bertentangan dengan kumpulannya, untuk tolak (bukan tambah) daripada jumlah kumpulan itu</t>
        </is>
      </c>
    </row>
    <row r="35" ht="15" customHeight="1" s="60">
      <c r="A35" s="16" t="inlineStr">
        <is>
          <t>Net Balance (signed)</t>
        </is>
      </c>
      <c r="B35" s="16" t="inlineStr">
        <is>
          <t>Baki Bersih</t>
        </is>
      </c>
      <c r="C35" s="20" t="inlineStr">
        <is>
          <t>Baki akaun bertanda: positif ikut baki normal, negatif bermakna kedudukan kontra</t>
        </is>
      </c>
    </row>
    <row r="36" ht="15" customHeight="1" s="60">
      <c r="A36" s="16" t="inlineStr">
        <is>
          <t>Operating Activities</t>
        </is>
      </c>
      <c r="B36" s="16" t="inlineStr">
        <is>
          <t>Aktiviti Operasi</t>
        </is>
      </c>
      <c r="C36" s="20" t="inlineStr">
        <is>
          <t>Aliran tunai daripada perniagaan harian koperasi</t>
        </is>
      </c>
    </row>
    <row r="37" ht="15" customHeight="1" s="60">
      <c r="A37" s="16" t="inlineStr">
        <is>
          <t>Investing Activities</t>
        </is>
      </c>
      <c r="B37" s="16" t="inlineStr">
        <is>
          <t>Aktiviti Pelaburan</t>
        </is>
      </c>
      <c r="C37" s="20" t="inlineStr">
        <is>
          <t>Aliran tunai daripada beli/jual aset tetap dan pelaburan</t>
        </is>
      </c>
    </row>
    <row r="38" ht="15" customHeight="1" s="60">
      <c r="A38" s="16" t="inlineStr">
        <is>
          <t>Financing Activities</t>
        </is>
      </c>
      <c r="B38" s="16" t="inlineStr">
        <is>
          <t>Aktiviti Pembiayaan</t>
        </is>
      </c>
      <c r="C38" s="20" t="inlineStr">
        <is>
          <t>Aliran tunai daripada modal syer, simpanan ahli, pinjaman dan dividen</t>
        </is>
      </c>
    </row>
    <row r="39" ht="15" customHeight="1" s="60">
      <c r="A39" s="16" t="inlineStr">
        <is>
          <t>Cooperative Trust Fund (KWA)</t>
        </is>
      </c>
      <c r="B39" s="16" t="inlineStr">
        <is>
          <t>Kumpulan Wang Amanah (KWA)</t>
        </is>
      </c>
      <c r="C39" s="20" t="inlineStr">
        <is>
          <t>Peruntukan statutori daripada lebihan untuk pendidikan/pembangunan koperasi</t>
        </is>
      </c>
    </row>
    <row r="40" ht="15" customHeight="1" s="60">
      <c r="A40" s="16" t="inlineStr">
        <is>
          <t>Hibah (Islamic bank profit)</t>
        </is>
      </c>
      <c r="B40" s="16" t="inlineStr">
        <is>
          <t>Hibah</t>
        </is>
      </c>
      <c r="C40" s="20" t="inlineStr">
        <is>
          <t>Bonus/keuntungan bank patuh Syariah, gantian kepada faedah konvensional</t>
        </is>
      </c>
    </row>
    <row r="41" ht="15" customHeight="1" s="60">
      <c r="A41" s="16" t="inlineStr">
        <is>
          <t>Current Asset/Liability</t>
        </is>
      </c>
      <c r="B41" s="16" t="inlineStr">
        <is>
          <t>Aset/Liabiliti Semasa</t>
        </is>
      </c>
      <c r="C41" s="20" t="inlineStr">
        <is>
          <t>Dijangka tunai/kena bayar dalam tempoh 12 bulan</t>
        </is>
      </c>
    </row>
    <row r="42" ht="15" customHeight="1" s="60">
      <c r="A42" s="16" t="inlineStr">
        <is>
          <t>Non-current Asset/Liability</t>
        </is>
      </c>
      <c r="B42" s="16" t="inlineStr">
        <is>
          <t>Aset/Liabiliti Bukan Semasa</t>
        </is>
      </c>
      <c r="C42" s="20" t="inlineStr">
        <is>
          <t>Tempoh lebih 12 bulan — cth. Akaun Deposit Koperasi, Aset Tetap</t>
        </is>
      </c>
    </row>
    <row r="43" ht="15" customHeight="1" s="60">
      <c r="A43" s="16" t="inlineStr">
        <is>
          <t>Halal Slaughtering</t>
        </is>
      </c>
      <c r="B43" s="16" t="inlineStr">
        <is>
          <t>Sembelihan Halal</t>
        </is>
      </c>
      <c r="C43" s="20" t="inlineStr">
        <is>
          <t>Proses sembelihan ikut hukum Syarak, selalunya perlu pensijilan JAKIM</t>
        </is>
      </c>
    </row>
    <row r="44" ht="15" customHeight="1" s="60">
      <c r="A44" s="16" t="inlineStr">
        <is>
          <t>Cost of Goods Sold (COGS)</t>
        </is>
      </c>
      <c r="B44" s="16" t="inlineStr">
        <is>
          <t>Kos Barang Dijual</t>
        </is>
      </c>
      <c r="C44" s="20" t="inlineStr">
        <is>
          <t>Kos langsung barangan/bahan mentah untuk hasilkan jualan</t>
        </is>
      </c>
    </row>
    <row r="45" ht="15" customHeight="1" s="60">
      <c r="A45" s="16" t="inlineStr">
        <is>
          <t>Debtors / Receivables</t>
        </is>
      </c>
      <c r="B45" s="16" t="inlineStr">
        <is>
          <t>Penghutang</t>
        </is>
      </c>
      <c r="C45" s="21" t="inlineStr">
        <is>
          <t>Wang yang orang lain berhutang kepada koperasi</t>
        </is>
      </c>
    </row>
    <row r="46" ht="15" customHeight="1" s="60">
      <c r="A46" s="16" t="inlineStr">
        <is>
          <t>Creditors / Payables</t>
        </is>
      </c>
      <c r="B46" s="16" t="inlineStr">
        <is>
          <t>Pemiutang</t>
        </is>
      </c>
      <c r="C46" s="21" t="inlineStr">
        <is>
          <t>Wang yang koperasi berhutang kepada orang lain</t>
        </is>
      </c>
    </row>
    <row r="47" ht="15" customHeight="1" s="60">
      <c r="A47" s="16" t="inlineStr">
        <is>
          <t>Prepaid Expense</t>
        </is>
      </c>
      <c r="B47" s="16" t="inlineStr">
        <is>
          <t>Perbelanjaan Prabayar</t>
        </is>
      </c>
      <c r="C47" s="21" t="inlineStr">
        <is>
          <t>Dibayar sekarang, meliputi tempoh akan datang</t>
        </is>
      </c>
    </row>
    <row r="48" ht="15" customHeight="1" s="60">
      <c r="A48" s="16" t="inlineStr">
        <is>
          <t>Accrued Expense</t>
        </is>
      </c>
      <c r="B48" s="16" t="inlineStr">
        <is>
          <t>Perbelanjaan Terakru</t>
        </is>
      </c>
      <c r="C48" s="21" t="inlineStr">
        <is>
          <t>Sudah terlibat, belum dibayar</t>
        </is>
      </c>
    </row>
    <row r="49" ht="15" customHeight="1" s="60">
      <c r="A49" s="16" t="inlineStr">
        <is>
          <t>Unearned Revenue</t>
        </is>
      </c>
      <c r="B49" s="16" t="inlineStr">
        <is>
          <t>Pendapatan Belum Diperoleh</t>
        </is>
      </c>
      <c r="C49" s="21" t="inlineStr">
        <is>
          <t>Tunai diterima dahulu, perkhidmatan belum diberi</t>
        </is>
      </c>
    </row>
    <row r="50" ht="15" customHeight="1" s="60">
      <c r="A50" s="16" t="inlineStr">
        <is>
          <t>Accrued Revenue</t>
        </is>
      </c>
      <c r="B50" s="16" t="inlineStr">
        <is>
          <t>Pendapatan Terakru</t>
        </is>
      </c>
      <c r="C50" s="21" t="inlineStr">
        <is>
          <t>Sudah diperoleh, belum diterima tunai</t>
        </is>
      </c>
    </row>
    <row r="51" ht="15" customHeight="1" s="60">
      <c r="A51" s="16" t="inlineStr">
        <is>
          <t>Profit Distribution Statement</t>
        </is>
      </c>
      <c r="B51" s="16" t="inlineStr">
        <is>
          <t>Akaun Pembahagian Keuntungan (APK)</t>
        </is>
      </c>
      <c r="C51" s="21" t="inlineStr">
        <is>
          <t>Cara lebihan bersih diagihkan - rizab, KWA, cukai, zakat, dividen, honorarium</t>
        </is>
      </c>
    </row>
    <row r="52" ht="15" customHeight="1" s="60">
      <c r="A52" s="16" t="inlineStr">
        <is>
          <t>Statutory Reserve Rate</t>
        </is>
      </c>
      <c r="B52" s="16" t="inlineStr">
        <is>
          <t>Kadar Rizab Statutori</t>
        </is>
      </c>
      <c r="C52" s="21" t="inlineStr">
        <is>
          <t>s.57(1) Akta Koperasi 1993: 25% jika rizab &lt; 50% modal syer+yuran, 15% selepas itu</t>
        </is>
      </c>
    </row>
    <row r="53" ht="15" customHeight="1" s="60">
      <c r="A53" s="16" t="inlineStr">
        <is>
          <t>Contra Entry / Transfer</t>
        </is>
      </c>
      <c r="B53" s="16" t="inlineStr">
        <is>
          <t>Kontra / Pindahan</t>
        </is>
      </c>
      <c r="C53" s="21" t="inlineStr">
        <is>
          <t>Pindahan antara dua akaun wang sendiri, cth. petty ke bank - bukan hasil atau perbelanjaan</t>
        </is>
      </c>
    </row>
    <row r="54" ht="15.75" customHeight="1" s="60">
      <c r="A54" s="41" t="n"/>
      <c r="B54" s="41" t="n"/>
      <c r="C54" s="41" t="n"/>
    </row>
    <row r="55" ht="15.75" customHeight="1" s="60">
      <c r="A55" s="41" t="n"/>
      <c r="B55" s="41" t="n"/>
      <c r="C55" s="41" t="n"/>
    </row>
    <row r="56" ht="15.75" customHeight="1" s="60">
      <c r="A56" s="41" t="n"/>
      <c r="B56" s="41" t="n"/>
      <c r="C56" s="41" t="n"/>
    </row>
    <row r="57" ht="15.75" customHeight="1" s="60">
      <c r="A57" s="41" t="n"/>
      <c r="B57" s="41" t="n"/>
      <c r="C57" s="41" t="n"/>
    </row>
    <row r="58" ht="15.75" customHeight="1" s="60">
      <c r="A58" s="41" t="n"/>
      <c r="B58" s="41" t="n"/>
      <c r="C58" s="41" t="n"/>
    </row>
    <row r="59" ht="15.75" customHeight="1" s="60">
      <c r="A59" s="41" t="n"/>
      <c r="B59" s="41" t="n"/>
      <c r="C59" s="41" t="n"/>
    </row>
    <row r="60" ht="15.75" customHeight="1" s="60">
      <c r="A60" s="41" t="n"/>
      <c r="B60" s="41" t="n"/>
      <c r="C60" s="41" t="n"/>
    </row>
    <row r="61" ht="15.75" customHeight="1" s="60">
      <c r="A61" s="41" t="n"/>
      <c r="B61" s="41" t="n"/>
      <c r="C61" s="41" t="n"/>
    </row>
    <row r="62" ht="15.75" customHeight="1" s="60">
      <c r="A62" s="41" t="n"/>
      <c r="B62" s="41" t="n"/>
      <c r="C62" s="41" t="n"/>
    </row>
    <row r="63" ht="15.75" customHeight="1" s="60">
      <c r="A63" s="41" t="n"/>
      <c r="B63" s="41" t="n"/>
      <c r="C63" s="41" t="n"/>
    </row>
    <row r="64" ht="15.75" customHeight="1" s="60">
      <c r="A64" s="41" t="n"/>
      <c r="B64" s="41" t="n"/>
      <c r="C64" s="41" t="n"/>
    </row>
    <row r="65" ht="15.75" customHeight="1" s="60">
      <c r="A65" s="41" t="n"/>
      <c r="B65" s="41" t="n"/>
      <c r="C65" s="41" t="n"/>
    </row>
    <row r="66" ht="15.75" customHeight="1" s="60">
      <c r="A66" s="41" t="n"/>
      <c r="B66" s="41" t="n"/>
      <c r="C66" s="41" t="n"/>
    </row>
    <row r="67" ht="15.75" customHeight="1" s="60">
      <c r="A67" s="41" t="n"/>
      <c r="B67" s="41" t="n"/>
      <c r="C67" s="41" t="n"/>
    </row>
    <row r="68" ht="15.75" customHeight="1" s="60">
      <c r="A68" s="41" t="n"/>
      <c r="B68" s="41" t="n"/>
      <c r="C68" s="41" t="n"/>
    </row>
    <row r="69" ht="15.75" customHeight="1" s="60">
      <c r="A69" s="41" t="n"/>
      <c r="B69" s="41" t="n"/>
      <c r="C69" s="41" t="n"/>
    </row>
    <row r="70" ht="15.75" customHeight="1" s="60">
      <c r="A70" s="41" t="n"/>
      <c r="B70" s="41" t="n"/>
      <c r="C70" s="41" t="n"/>
    </row>
    <row r="71" ht="15.75" customHeight="1" s="60">
      <c r="A71" s="41" t="n"/>
      <c r="B71" s="41" t="n"/>
      <c r="C71" s="41" t="n"/>
    </row>
    <row r="72" ht="15.75" customHeight="1" s="60">
      <c r="A72" s="41" t="n"/>
      <c r="B72" s="41" t="n"/>
      <c r="C72" s="41" t="n"/>
    </row>
    <row r="73" ht="15.75" customHeight="1" s="60">
      <c r="A73" s="41" t="n"/>
      <c r="B73" s="41" t="n"/>
      <c r="C73" s="41" t="n"/>
    </row>
    <row r="74" ht="15.75" customHeight="1" s="60">
      <c r="A74" s="41" t="n"/>
      <c r="B74" s="41" t="n"/>
      <c r="C74" s="41" t="n"/>
    </row>
    <row r="75" ht="15.75" customHeight="1" s="60">
      <c r="A75" s="41" t="n"/>
      <c r="B75" s="41" t="n"/>
      <c r="C75" s="41" t="n"/>
    </row>
    <row r="76" ht="15.75" customHeight="1" s="60">
      <c r="A76" s="41" t="n"/>
      <c r="B76" s="41" t="n"/>
      <c r="C76" s="41" t="n"/>
    </row>
    <row r="77" ht="15.75" customHeight="1" s="60">
      <c r="A77" s="41" t="n"/>
      <c r="B77" s="41" t="n"/>
      <c r="C77" s="41" t="n"/>
    </row>
    <row r="78" ht="15.75" customHeight="1" s="60">
      <c r="A78" s="41" t="n"/>
      <c r="B78" s="41" t="n"/>
      <c r="C78" s="41" t="n"/>
    </row>
    <row r="79" ht="15.75" customHeight="1" s="60">
      <c r="A79" s="41" t="n"/>
      <c r="B79" s="41" t="n"/>
      <c r="C79" s="41" t="n"/>
    </row>
    <row r="80" ht="15.75" customHeight="1" s="60">
      <c r="A80" s="41" t="n"/>
      <c r="B80" s="41" t="n"/>
      <c r="C80" s="41" t="n"/>
    </row>
    <row r="81" ht="15.75" customHeight="1" s="60">
      <c r="A81" s="41" t="n"/>
      <c r="B81" s="41" t="n"/>
      <c r="C81" s="41" t="n"/>
    </row>
    <row r="82" ht="15.75" customHeight="1" s="60">
      <c r="A82" s="41" t="n"/>
      <c r="B82" s="41" t="n"/>
      <c r="C82" s="41" t="n"/>
    </row>
    <row r="83" ht="15.75" customHeight="1" s="60">
      <c r="A83" s="41" t="n"/>
      <c r="B83" s="41" t="n"/>
      <c r="C83" s="41" t="n"/>
    </row>
    <row r="84" ht="15.75" customHeight="1" s="60">
      <c r="A84" s="41" t="n"/>
      <c r="B84" s="41" t="n"/>
      <c r="C84" s="41" t="n"/>
    </row>
    <row r="85" ht="15.75" customHeight="1" s="60">
      <c r="A85" s="41" t="n"/>
      <c r="B85" s="41" t="n"/>
      <c r="C85" s="41" t="n"/>
    </row>
    <row r="86" ht="15.75" customHeight="1" s="60">
      <c r="A86" s="41" t="n"/>
      <c r="B86" s="41" t="n"/>
      <c r="C86" s="41" t="n"/>
    </row>
    <row r="87" ht="15.75" customHeight="1" s="60">
      <c r="A87" s="41" t="n"/>
      <c r="B87" s="41" t="n"/>
      <c r="C87" s="41" t="n"/>
    </row>
    <row r="88" ht="15.75" customHeight="1" s="60">
      <c r="A88" s="41" t="n"/>
      <c r="B88" s="41" t="n"/>
      <c r="C88" s="41" t="n"/>
    </row>
    <row r="89" ht="15.75" customHeight="1" s="60">
      <c r="A89" s="41" t="n"/>
      <c r="B89" s="41" t="n"/>
      <c r="C89" s="41" t="n"/>
    </row>
    <row r="90" ht="15.75" customHeight="1" s="60">
      <c r="A90" s="41" t="n"/>
      <c r="B90" s="41" t="n"/>
      <c r="C90" s="41" t="n"/>
    </row>
    <row r="91" ht="15.75" customHeight="1" s="60">
      <c r="A91" s="41" t="n"/>
      <c r="B91" s="41" t="n"/>
      <c r="C91" s="41" t="n"/>
    </row>
    <row r="92" ht="15.75" customHeight="1" s="60">
      <c r="A92" s="41" t="n"/>
      <c r="B92" s="41" t="n"/>
      <c r="C92" s="41" t="n"/>
    </row>
    <row r="93" ht="15.75" customHeight="1" s="60">
      <c r="A93" s="41" t="n"/>
      <c r="B93" s="41" t="n"/>
      <c r="C93" s="41" t="n"/>
    </row>
    <row r="94" ht="15.75" customHeight="1" s="60">
      <c r="A94" s="41" t="n"/>
      <c r="B94" s="41" t="n"/>
      <c r="C94" s="41" t="n"/>
    </row>
    <row r="95" ht="15.75" customHeight="1" s="60">
      <c r="A95" s="41" t="n"/>
      <c r="B95" s="41" t="n"/>
      <c r="C95" s="41" t="n"/>
    </row>
    <row r="96" ht="15.75" customHeight="1" s="60">
      <c r="A96" s="41" t="n"/>
      <c r="B96" s="41" t="n"/>
      <c r="C96" s="41" t="n"/>
    </row>
    <row r="97" ht="15.75" customHeight="1" s="60">
      <c r="A97" s="41" t="n"/>
      <c r="B97" s="41" t="n"/>
      <c r="C97" s="41" t="n"/>
    </row>
    <row r="98" ht="15.75" customHeight="1" s="60">
      <c r="A98" s="41" t="n"/>
      <c r="B98" s="41" t="n"/>
      <c r="C98" s="41" t="n"/>
    </row>
    <row r="99" ht="15.75" customHeight="1" s="60">
      <c r="A99" s="41" t="n"/>
      <c r="B99" s="41" t="n"/>
      <c r="C99" s="41" t="n"/>
    </row>
    <row r="100" ht="15.75" customHeight="1" s="60">
      <c r="A100" s="41" t="n"/>
      <c r="B100" s="41" t="n"/>
      <c r="C100" s="41" t="n"/>
    </row>
    <row r="101" ht="15.75" customHeight="1" s="60">
      <c r="A101" s="41" t="n"/>
      <c r="B101" s="41" t="n"/>
      <c r="C101" s="41" t="n"/>
    </row>
    <row r="102" ht="15.75" customHeight="1" s="60">
      <c r="A102" s="41" t="n"/>
      <c r="B102" s="41" t="n"/>
      <c r="C102" s="41" t="n"/>
    </row>
    <row r="103" ht="15.75" customHeight="1" s="60">
      <c r="A103" s="41" t="n"/>
      <c r="B103" s="41" t="n"/>
      <c r="C103" s="41" t="n"/>
    </row>
    <row r="104" ht="15.75" customHeight="1" s="60">
      <c r="A104" s="41" t="n"/>
      <c r="B104" s="41" t="n"/>
      <c r="C104" s="41" t="n"/>
    </row>
    <row r="105" ht="15.75" customHeight="1" s="60">
      <c r="A105" s="41" t="n"/>
      <c r="B105" s="41" t="n"/>
      <c r="C105" s="41" t="n"/>
    </row>
    <row r="106" ht="15.75" customHeight="1" s="60">
      <c r="A106" s="41" t="n"/>
      <c r="B106" s="41" t="n"/>
      <c r="C106" s="41" t="n"/>
    </row>
    <row r="107" ht="15.75" customHeight="1" s="60">
      <c r="A107" s="41" t="n"/>
      <c r="B107" s="41" t="n"/>
      <c r="C107" s="41" t="n"/>
    </row>
    <row r="108" ht="15.75" customHeight="1" s="60">
      <c r="A108" s="41" t="n"/>
      <c r="B108" s="41" t="n"/>
      <c r="C108" s="41" t="n"/>
    </row>
    <row r="109" ht="15.75" customHeight="1" s="60">
      <c r="A109" s="41" t="n"/>
      <c r="B109" s="41" t="n"/>
      <c r="C109" s="41" t="n"/>
    </row>
    <row r="110" ht="15.75" customHeight="1" s="60">
      <c r="A110" s="41" t="n"/>
      <c r="B110" s="41" t="n"/>
      <c r="C110" s="41" t="n"/>
    </row>
    <row r="111" ht="15.75" customHeight="1" s="60">
      <c r="A111" s="41" t="n"/>
      <c r="B111" s="41" t="n"/>
      <c r="C111" s="41" t="n"/>
    </row>
    <row r="112" ht="15.75" customHeight="1" s="60">
      <c r="A112" s="41" t="n"/>
      <c r="B112" s="41" t="n"/>
      <c r="C112" s="41" t="n"/>
    </row>
    <row r="113" ht="15.75" customHeight="1" s="60">
      <c r="A113" s="41" t="n"/>
      <c r="B113" s="41" t="n"/>
      <c r="C113" s="41" t="n"/>
    </row>
    <row r="114" ht="15.75" customHeight="1" s="60">
      <c r="A114" s="41" t="n"/>
      <c r="B114" s="41" t="n"/>
      <c r="C114" s="41" t="n"/>
    </row>
    <row r="115" ht="15.75" customHeight="1" s="60">
      <c r="A115" s="41" t="n"/>
      <c r="B115" s="41" t="n"/>
      <c r="C115" s="41" t="n"/>
    </row>
    <row r="116" ht="15.75" customHeight="1" s="60">
      <c r="A116" s="41" t="n"/>
      <c r="B116" s="41" t="n"/>
      <c r="C116" s="41" t="n"/>
    </row>
    <row r="117" ht="15.75" customHeight="1" s="60">
      <c r="A117" s="41" t="n"/>
      <c r="B117" s="41" t="n"/>
      <c r="C117" s="41" t="n"/>
    </row>
    <row r="118" ht="15.75" customHeight="1" s="60">
      <c r="A118" s="41" t="n"/>
      <c r="B118" s="41" t="n"/>
      <c r="C118" s="41" t="n"/>
    </row>
    <row r="119" ht="15.75" customHeight="1" s="60">
      <c r="A119" s="41" t="n"/>
      <c r="B119" s="41" t="n"/>
      <c r="C119" s="41" t="n"/>
    </row>
    <row r="120" ht="15.75" customHeight="1" s="60">
      <c r="A120" s="41" t="n"/>
      <c r="B120" s="41" t="n"/>
      <c r="C120" s="41" t="n"/>
    </row>
    <row r="121" ht="15.75" customHeight="1" s="60">
      <c r="A121" s="41" t="n"/>
      <c r="B121" s="41" t="n"/>
      <c r="C121" s="41" t="n"/>
    </row>
    <row r="122" ht="15.75" customHeight="1" s="60">
      <c r="A122" s="41" t="n"/>
      <c r="B122" s="41" t="n"/>
      <c r="C122" s="41" t="n"/>
    </row>
    <row r="123" ht="15.75" customHeight="1" s="60">
      <c r="A123" s="41" t="n"/>
      <c r="B123" s="41" t="n"/>
      <c r="C123" s="41" t="n"/>
    </row>
    <row r="124" ht="15.75" customHeight="1" s="60">
      <c r="A124" s="41" t="n"/>
      <c r="B124" s="41" t="n"/>
      <c r="C124" s="41" t="n"/>
    </row>
    <row r="125" ht="15.75" customHeight="1" s="60">
      <c r="A125" s="41" t="n"/>
      <c r="B125" s="41" t="n"/>
      <c r="C125" s="41" t="n"/>
    </row>
    <row r="126" ht="15.75" customHeight="1" s="60">
      <c r="A126" s="41" t="n"/>
      <c r="B126" s="41" t="n"/>
      <c r="C126" s="41" t="n"/>
    </row>
    <row r="127" ht="15.75" customHeight="1" s="60">
      <c r="A127" s="41" t="n"/>
      <c r="B127" s="41" t="n"/>
      <c r="C127" s="41" t="n"/>
    </row>
    <row r="128" ht="15.75" customHeight="1" s="60">
      <c r="A128" s="41" t="n"/>
      <c r="B128" s="41" t="n"/>
      <c r="C128" s="41" t="n"/>
    </row>
    <row r="129" ht="15.75" customHeight="1" s="60">
      <c r="A129" s="41" t="n"/>
      <c r="B129" s="41" t="n"/>
      <c r="C129" s="41" t="n"/>
    </row>
    <row r="130" ht="15.75" customHeight="1" s="60">
      <c r="A130" s="41" t="n"/>
      <c r="B130" s="41" t="n"/>
      <c r="C130" s="41" t="n"/>
    </row>
    <row r="131" ht="15.75" customHeight="1" s="60">
      <c r="A131" s="41" t="n"/>
      <c r="B131" s="41" t="n"/>
      <c r="C131" s="41" t="n"/>
    </row>
    <row r="132" ht="15.75" customHeight="1" s="60">
      <c r="A132" s="41" t="n"/>
      <c r="B132" s="41" t="n"/>
      <c r="C132" s="41" t="n"/>
    </row>
    <row r="133" ht="15.75" customHeight="1" s="60">
      <c r="A133" s="41" t="n"/>
      <c r="B133" s="41" t="n"/>
      <c r="C133" s="41" t="n"/>
    </row>
    <row r="134" ht="15.75" customHeight="1" s="60">
      <c r="A134" s="41" t="n"/>
      <c r="B134" s="41" t="n"/>
      <c r="C134" s="41" t="n"/>
    </row>
    <row r="135" ht="15.75" customHeight="1" s="60">
      <c r="A135" s="41" t="n"/>
      <c r="B135" s="41" t="n"/>
      <c r="C135" s="41" t="n"/>
    </row>
    <row r="136" ht="15.75" customHeight="1" s="60">
      <c r="A136" s="41" t="n"/>
      <c r="B136" s="41" t="n"/>
      <c r="C136" s="41" t="n"/>
    </row>
    <row r="137" ht="15.75" customHeight="1" s="60">
      <c r="A137" s="41" t="n"/>
      <c r="B137" s="41" t="n"/>
      <c r="C137" s="41" t="n"/>
    </row>
    <row r="138" ht="15.75" customHeight="1" s="60">
      <c r="A138" s="41" t="n"/>
      <c r="B138" s="41" t="n"/>
      <c r="C138" s="41" t="n"/>
    </row>
    <row r="139" ht="15.75" customHeight="1" s="60">
      <c r="A139" s="41" t="n"/>
      <c r="B139" s="41" t="n"/>
      <c r="C139" s="41" t="n"/>
    </row>
    <row r="140" ht="15.75" customHeight="1" s="60">
      <c r="A140" s="41" t="n"/>
      <c r="B140" s="41" t="n"/>
      <c r="C140" s="41" t="n"/>
    </row>
    <row r="141" ht="15.75" customHeight="1" s="60">
      <c r="A141" s="41" t="n"/>
      <c r="B141" s="41" t="n"/>
      <c r="C141" s="41" t="n"/>
    </row>
    <row r="142" ht="15.75" customHeight="1" s="60">
      <c r="A142" s="41" t="n"/>
      <c r="B142" s="41" t="n"/>
      <c r="C142" s="41" t="n"/>
    </row>
    <row r="143" ht="15.75" customHeight="1" s="60">
      <c r="A143" s="41" t="n"/>
      <c r="B143" s="41" t="n"/>
      <c r="C143" s="41" t="n"/>
    </row>
    <row r="144" ht="15.75" customHeight="1" s="60">
      <c r="A144" s="41" t="n"/>
      <c r="B144" s="41" t="n"/>
      <c r="C144" s="41" t="n"/>
    </row>
    <row r="145" ht="15.75" customHeight="1" s="60">
      <c r="A145" s="41" t="n"/>
      <c r="B145" s="41" t="n"/>
      <c r="C145" s="41" t="n"/>
    </row>
    <row r="146" ht="15.75" customHeight="1" s="60">
      <c r="A146" s="41" t="n"/>
      <c r="B146" s="41" t="n"/>
      <c r="C146" s="41" t="n"/>
    </row>
    <row r="147" ht="15.75" customHeight="1" s="60">
      <c r="A147" s="41" t="n"/>
      <c r="B147" s="41" t="n"/>
      <c r="C147" s="41" t="n"/>
    </row>
    <row r="148" ht="15.75" customHeight="1" s="60">
      <c r="A148" s="41" t="n"/>
      <c r="B148" s="41" t="n"/>
      <c r="C148" s="41" t="n"/>
    </row>
    <row r="149" ht="15.75" customHeight="1" s="60">
      <c r="A149" s="41" t="n"/>
      <c r="B149" s="41" t="n"/>
      <c r="C149" s="41" t="n"/>
    </row>
    <row r="150" ht="15.75" customHeight="1" s="60">
      <c r="A150" s="41" t="n"/>
      <c r="B150" s="41" t="n"/>
      <c r="C150" s="41" t="n"/>
    </row>
    <row r="151" ht="15.75" customHeight="1" s="60">
      <c r="A151" s="41" t="n"/>
      <c r="B151" s="41" t="n"/>
      <c r="C151" s="41" t="n"/>
    </row>
    <row r="152" ht="15.75" customHeight="1" s="60">
      <c r="A152" s="41" t="n"/>
      <c r="B152" s="41" t="n"/>
      <c r="C152" s="41" t="n"/>
    </row>
    <row r="153" ht="15.75" customHeight="1" s="60">
      <c r="A153" s="41" t="n"/>
      <c r="B153" s="41" t="n"/>
      <c r="C153" s="41" t="n"/>
    </row>
    <row r="154" ht="15.75" customHeight="1" s="60">
      <c r="A154" s="41" t="n"/>
      <c r="B154" s="41" t="n"/>
      <c r="C154" s="41" t="n"/>
    </row>
    <row r="155" ht="15.75" customHeight="1" s="60">
      <c r="A155" s="41" t="n"/>
      <c r="B155" s="41" t="n"/>
      <c r="C155" s="41" t="n"/>
    </row>
    <row r="156" ht="15.75" customHeight="1" s="60">
      <c r="A156" s="41" t="n"/>
      <c r="B156" s="41" t="n"/>
      <c r="C156" s="41" t="n"/>
    </row>
    <row r="157" ht="15.75" customHeight="1" s="60">
      <c r="A157" s="41" t="n"/>
      <c r="B157" s="41" t="n"/>
      <c r="C157" s="41" t="n"/>
    </row>
    <row r="158" ht="15.75" customHeight="1" s="60">
      <c r="A158" s="41" t="n"/>
      <c r="B158" s="41" t="n"/>
      <c r="C158" s="41" t="n"/>
    </row>
    <row r="159" ht="15.75" customHeight="1" s="60">
      <c r="A159" s="41" t="n"/>
      <c r="B159" s="41" t="n"/>
      <c r="C159" s="41" t="n"/>
    </row>
    <row r="160" ht="15.75" customHeight="1" s="60">
      <c r="A160" s="41" t="n"/>
      <c r="B160" s="41" t="n"/>
      <c r="C160" s="41" t="n"/>
    </row>
    <row r="161" ht="15.75" customHeight="1" s="60">
      <c r="A161" s="41" t="n"/>
      <c r="B161" s="41" t="n"/>
      <c r="C161" s="41" t="n"/>
    </row>
    <row r="162" ht="15.75" customHeight="1" s="60">
      <c r="A162" s="41" t="n"/>
      <c r="B162" s="41" t="n"/>
      <c r="C162" s="41" t="n"/>
    </row>
    <row r="163" ht="15.75" customHeight="1" s="60">
      <c r="A163" s="41" t="n"/>
      <c r="B163" s="41" t="n"/>
      <c r="C163" s="41" t="n"/>
    </row>
    <row r="164" ht="15.75" customHeight="1" s="60">
      <c r="A164" s="41" t="n"/>
      <c r="B164" s="41" t="n"/>
      <c r="C164" s="41" t="n"/>
    </row>
    <row r="165" ht="15.75" customHeight="1" s="60">
      <c r="A165" s="41" t="n"/>
      <c r="B165" s="41" t="n"/>
      <c r="C165" s="41" t="n"/>
    </row>
    <row r="166" ht="15.75" customHeight="1" s="60">
      <c r="A166" s="41" t="n"/>
      <c r="B166" s="41" t="n"/>
      <c r="C166" s="41" t="n"/>
    </row>
    <row r="167" ht="15.75" customHeight="1" s="60">
      <c r="A167" s="41" t="n"/>
      <c r="B167" s="41" t="n"/>
      <c r="C167" s="41" t="n"/>
    </row>
    <row r="168" ht="15.75" customHeight="1" s="60">
      <c r="A168" s="41" t="n"/>
      <c r="B168" s="41" t="n"/>
      <c r="C168" s="41" t="n"/>
    </row>
    <row r="169" ht="15.75" customHeight="1" s="60">
      <c r="A169" s="41" t="n"/>
      <c r="B169" s="41" t="n"/>
      <c r="C169" s="41" t="n"/>
    </row>
    <row r="170" ht="15.75" customHeight="1" s="60">
      <c r="A170" s="41" t="n"/>
      <c r="B170" s="41" t="n"/>
      <c r="C170" s="41" t="n"/>
    </row>
    <row r="171" ht="15.75" customHeight="1" s="60">
      <c r="A171" s="41" t="n"/>
      <c r="B171" s="41" t="n"/>
      <c r="C171" s="41" t="n"/>
    </row>
    <row r="172" ht="15.75" customHeight="1" s="60">
      <c r="A172" s="41" t="n"/>
      <c r="B172" s="41" t="n"/>
      <c r="C172" s="41" t="n"/>
    </row>
    <row r="173" ht="15.75" customHeight="1" s="60">
      <c r="A173" s="41" t="n"/>
      <c r="B173" s="41" t="n"/>
      <c r="C173" s="41" t="n"/>
    </row>
    <row r="174" ht="15.75" customHeight="1" s="60">
      <c r="A174" s="41" t="n"/>
      <c r="B174" s="41" t="n"/>
      <c r="C174" s="41" t="n"/>
    </row>
    <row r="175" ht="15.75" customHeight="1" s="60">
      <c r="A175" s="41" t="n"/>
      <c r="B175" s="41" t="n"/>
      <c r="C175" s="41" t="n"/>
    </row>
    <row r="176" ht="15.75" customHeight="1" s="60">
      <c r="A176" s="41" t="n"/>
      <c r="B176" s="41" t="n"/>
      <c r="C176" s="41" t="n"/>
    </row>
    <row r="177" ht="15.75" customHeight="1" s="60">
      <c r="A177" s="41" t="n"/>
      <c r="B177" s="41" t="n"/>
      <c r="C177" s="41" t="n"/>
    </row>
    <row r="178" ht="15.75" customHeight="1" s="60">
      <c r="A178" s="41" t="n"/>
      <c r="B178" s="41" t="n"/>
      <c r="C178" s="41" t="n"/>
    </row>
    <row r="179" ht="15.75" customHeight="1" s="60">
      <c r="A179" s="41" t="n"/>
      <c r="B179" s="41" t="n"/>
      <c r="C179" s="41" t="n"/>
    </row>
    <row r="180" ht="15.75" customHeight="1" s="60">
      <c r="A180" s="41" t="n"/>
      <c r="B180" s="41" t="n"/>
      <c r="C180" s="41" t="n"/>
    </row>
    <row r="181" ht="15.75" customHeight="1" s="60">
      <c r="A181" s="41" t="n"/>
      <c r="B181" s="41" t="n"/>
      <c r="C181" s="41" t="n"/>
    </row>
    <row r="182" ht="15.75" customHeight="1" s="60">
      <c r="A182" s="41" t="n"/>
      <c r="B182" s="41" t="n"/>
      <c r="C182" s="41" t="n"/>
    </row>
    <row r="183" ht="15.75" customHeight="1" s="60">
      <c r="A183" s="41" t="n"/>
      <c r="B183" s="41" t="n"/>
      <c r="C183" s="41" t="n"/>
    </row>
    <row r="184" ht="15.75" customHeight="1" s="60">
      <c r="A184" s="41" t="n"/>
      <c r="B184" s="41" t="n"/>
      <c r="C184" s="41" t="n"/>
    </row>
    <row r="185" ht="15.75" customHeight="1" s="60">
      <c r="A185" s="41" t="n"/>
      <c r="B185" s="41" t="n"/>
      <c r="C185" s="41" t="n"/>
    </row>
    <row r="186" ht="15.75" customHeight="1" s="60">
      <c r="A186" s="41" t="n"/>
      <c r="B186" s="41" t="n"/>
      <c r="C186" s="41" t="n"/>
    </row>
    <row r="187" ht="15.75" customHeight="1" s="60">
      <c r="A187" s="41" t="n"/>
      <c r="B187" s="41" t="n"/>
      <c r="C187" s="41" t="n"/>
    </row>
    <row r="188" ht="15.75" customHeight="1" s="60">
      <c r="A188" s="41" t="n"/>
      <c r="B188" s="41" t="n"/>
      <c r="C188" s="41" t="n"/>
    </row>
    <row r="189" ht="15.75" customHeight="1" s="60">
      <c r="A189" s="41" t="n"/>
      <c r="B189" s="41" t="n"/>
      <c r="C189" s="41" t="n"/>
    </row>
    <row r="190" ht="15.75" customHeight="1" s="60">
      <c r="A190" s="41" t="n"/>
      <c r="B190" s="41" t="n"/>
      <c r="C190" s="41" t="n"/>
    </row>
    <row r="191" ht="15.75" customHeight="1" s="60">
      <c r="A191" s="41" t="n"/>
      <c r="B191" s="41" t="n"/>
      <c r="C191" s="41" t="n"/>
    </row>
    <row r="192" ht="15.75" customHeight="1" s="60">
      <c r="A192" s="41" t="n"/>
      <c r="B192" s="41" t="n"/>
      <c r="C192" s="41" t="n"/>
    </row>
    <row r="193" ht="15.75" customHeight="1" s="60">
      <c r="A193" s="41" t="n"/>
      <c r="B193" s="41" t="n"/>
      <c r="C193" s="41" t="n"/>
    </row>
    <row r="194" ht="15.75" customHeight="1" s="60">
      <c r="A194" s="41" t="n"/>
      <c r="B194" s="41" t="n"/>
      <c r="C194" s="41" t="n"/>
    </row>
    <row r="195" ht="15.75" customHeight="1" s="60">
      <c r="A195" s="41" t="n"/>
      <c r="B195" s="41" t="n"/>
      <c r="C195" s="41" t="n"/>
    </row>
    <row r="196" ht="15.75" customHeight="1" s="60">
      <c r="A196" s="41" t="n"/>
      <c r="B196" s="41" t="n"/>
      <c r="C196" s="41" t="n"/>
    </row>
    <row r="197" ht="15.75" customHeight="1" s="60">
      <c r="A197" s="41" t="n"/>
      <c r="B197" s="41" t="n"/>
      <c r="C197" s="41" t="n"/>
    </row>
    <row r="198" ht="15.75" customHeight="1" s="60">
      <c r="A198" s="41" t="n"/>
      <c r="B198" s="41" t="n"/>
      <c r="C198" s="41" t="n"/>
    </row>
    <row r="199" ht="15.75" customHeight="1" s="60">
      <c r="A199" s="41" t="n"/>
      <c r="B199" s="41" t="n"/>
      <c r="C199" s="41" t="n"/>
    </row>
    <row r="200" ht="15.75" customHeight="1" s="60">
      <c r="A200" s="41" t="n"/>
      <c r="B200" s="41" t="n"/>
      <c r="C200" s="41" t="n"/>
    </row>
    <row r="201" ht="15.75" customHeight="1" s="60">
      <c r="A201" s="41" t="n"/>
      <c r="B201" s="41" t="n"/>
      <c r="C201" s="41" t="n"/>
    </row>
    <row r="202" ht="15.75" customHeight="1" s="60">
      <c r="A202" s="41" t="n"/>
      <c r="B202" s="41" t="n"/>
      <c r="C202" s="41" t="n"/>
    </row>
    <row r="203" ht="15.75" customHeight="1" s="60">
      <c r="A203" s="41" t="n"/>
      <c r="B203" s="41" t="n"/>
      <c r="C203" s="41" t="n"/>
    </row>
    <row r="204" ht="15.75" customHeight="1" s="60">
      <c r="A204" s="41" t="n"/>
      <c r="B204" s="41" t="n"/>
      <c r="C204" s="41" t="n"/>
    </row>
    <row r="205" ht="15.75" customHeight="1" s="60">
      <c r="A205" s="41" t="n"/>
      <c r="B205" s="41" t="n"/>
      <c r="C205" s="41" t="n"/>
    </row>
    <row r="206" ht="15.75" customHeight="1" s="60">
      <c r="A206" s="41" t="n"/>
      <c r="B206" s="41" t="n"/>
      <c r="C206" s="41" t="n"/>
    </row>
    <row r="207" ht="15.75" customHeight="1" s="60">
      <c r="A207" s="41" t="n"/>
      <c r="B207" s="41" t="n"/>
      <c r="C207" s="41" t="n"/>
    </row>
    <row r="208" ht="15.75" customHeight="1" s="60">
      <c r="A208" s="41" t="n"/>
      <c r="B208" s="41" t="n"/>
      <c r="C208" s="41" t="n"/>
    </row>
    <row r="209" ht="15.75" customHeight="1" s="60">
      <c r="A209" s="41" t="n"/>
      <c r="B209" s="41" t="n"/>
      <c r="C209" s="41" t="n"/>
    </row>
    <row r="210" ht="15.75" customHeight="1" s="60">
      <c r="A210" s="41" t="n"/>
      <c r="B210" s="41" t="n"/>
      <c r="C210" s="41" t="n"/>
    </row>
    <row r="211" ht="15.75" customHeight="1" s="60">
      <c r="A211" s="41" t="n"/>
      <c r="B211" s="41" t="n"/>
      <c r="C211" s="41" t="n"/>
    </row>
    <row r="212" ht="15.75" customHeight="1" s="60">
      <c r="A212" s="41" t="n"/>
      <c r="B212" s="41" t="n"/>
      <c r="C212" s="41" t="n"/>
    </row>
    <row r="213" ht="15.75" customHeight="1" s="60">
      <c r="A213" s="41" t="n"/>
      <c r="B213" s="41" t="n"/>
      <c r="C213" s="41" t="n"/>
    </row>
    <row r="214" ht="15.75" customHeight="1" s="60">
      <c r="A214" s="41" t="n"/>
      <c r="B214" s="41" t="n"/>
      <c r="C214" s="41" t="n"/>
    </row>
    <row r="215" ht="15.75" customHeight="1" s="60">
      <c r="A215" s="41" t="n"/>
      <c r="B215" s="41" t="n"/>
      <c r="C215" s="41" t="n"/>
    </row>
    <row r="216" ht="15.75" customHeight="1" s="60">
      <c r="A216" s="41" t="n"/>
      <c r="B216" s="41" t="n"/>
      <c r="C216" s="41" t="n"/>
    </row>
    <row r="217" ht="15.75" customHeight="1" s="60">
      <c r="A217" s="41" t="n"/>
      <c r="B217" s="41" t="n"/>
      <c r="C217" s="41" t="n"/>
    </row>
    <row r="218" ht="15.75" customHeight="1" s="60">
      <c r="A218" s="41" t="n"/>
      <c r="B218" s="41" t="n"/>
      <c r="C218" s="41" t="n"/>
    </row>
    <row r="219" ht="15.75" customHeight="1" s="60">
      <c r="A219" s="41" t="n"/>
      <c r="B219" s="41" t="n"/>
      <c r="C219" s="41" t="n"/>
    </row>
    <row r="220" ht="15.75" customHeight="1" s="60">
      <c r="A220" s="41" t="n"/>
      <c r="B220" s="41" t="n"/>
      <c r="C220" s="41" t="n"/>
    </row>
    <row r="221" ht="15.75" customHeight="1" s="60">
      <c r="A221" s="41" t="n"/>
      <c r="B221" s="41" t="n"/>
      <c r="C221" s="41" t="n"/>
    </row>
    <row r="222" ht="15.75" customHeight="1" s="60">
      <c r="A222" s="41" t="n"/>
      <c r="B222" s="41" t="n"/>
      <c r="C222" s="41" t="n"/>
    </row>
    <row r="223" ht="15.75" customHeight="1" s="60">
      <c r="A223" s="41" t="n"/>
      <c r="B223" s="41" t="n"/>
      <c r="C223" s="41" t="n"/>
    </row>
    <row r="224" ht="15.75" customHeight="1" s="60">
      <c r="A224" s="41" t="n"/>
      <c r="B224" s="41" t="n"/>
      <c r="C224" s="41" t="n"/>
    </row>
    <row r="225" ht="15.75" customHeight="1" s="60">
      <c r="A225" s="41" t="n"/>
      <c r="B225" s="41" t="n"/>
      <c r="C225" s="41" t="n"/>
    </row>
    <row r="226" ht="15.75" customHeight="1" s="60">
      <c r="A226" s="41" t="n"/>
      <c r="B226" s="41" t="n"/>
      <c r="C226" s="41" t="n"/>
    </row>
    <row r="227" ht="15.75" customHeight="1" s="60">
      <c r="A227" s="41" t="n"/>
      <c r="B227" s="41" t="n"/>
      <c r="C227" s="41" t="n"/>
    </row>
    <row r="228" ht="15.75" customHeight="1" s="60">
      <c r="A228" s="41" t="n"/>
      <c r="B228" s="41" t="n"/>
      <c r="C228" s="41" t="n"/>
    </row>
    <row r="229" ht="15.75" customHeight="1" s="60">
      <c r="A229" s="41" t="n"/>
      <c r="B229" s="41" t="n"/>
      <c r="C229" s="41" t="n"/>
    </row>
    <row r="230" ht="15.75" customHeight="1" s="60">
      <c r="A230" s="41" t="n"/>
      <c r="B230" s="41" t="n"/>
      <c r="C230" s="41" t="n"/>
    </row>
    <row r="231" ht="15.75" customHeight="1" s="60">
      <c r="A231" s="41" t="n"/>
      <c r="B231" s="41" t="n"/>
      <c r="C231" s="41" t="n"/>
    </row>
    <row r="232" ht="15.75" customHeight="1" s="60">
      <c r="A232" s="41" t="n"/>
      <c r="B232" s="41" t="n"/>
      <c r="C232" s="41" t="n"/>
    </row>
    <row r="233" ht="15.75" customHeight="1" s="60">
      <c r="A233" s="41" t="n"/>
      <c r="B233" s="41" t="n"/>
      <c r="C233" s="41" t="n"/>
    </row>
    <row r="234" ht="15.75" customHeight="1" s="60">
      <c r="A234" s="41" t="n"/>
      <c r="B234" s="41" t="n"/>
      <c r="C234" s="41" t="n"/>
    </row>
    <row r="235" ht="15.75" customHeight="1" s="60">
      <c r="A235" s="41" t="n"/>
      <c r="B235" s="41" t="n"/>
      <c r="C235" s="41" t="n"/>
    </row>
    <row r="236" ht="15.75" customHeight="1" s="60">
      <c r="A236" s="41" t="n"/>
      <c r="B236" s="41" t="n"/>
      <c r="C236" s="41" t="n"/>
    </row>
    <row r="237" ht="15.75" customHeight="1" s="60">
      <c r="A237" s="41" t="n"/>
      <c r="B237" s="41" t="n"/>
      <c r="C237" s="41" t="n"/>
    </row>
    <row r="238" ht="15.75" customHeight="1" s="60">
      <c r="A238" s="41" t="n"/>
      <c r="B238" s="41" t="n"/>
      <c r="C238" s="41" t="n"/>
    </row>
    <row r="239" ht="15.75" customHeight="1" s="60">
      <c r="A239" s="41" t="n"/>
      <c r="B239" s="41" t="n"/>
      <c r="C239" s="41" t="n"/>
    </row>
    <row r="240" ht="15.75" customHeight="1" s="60">
      <c r="A240" s="41" t="n"/>
      <c r="B240" s="41" t="n"/>
      <c r="C240" s="41" t="n"/>
    </row>
    <row r="241" ht="15.75" customHeight="1" s="60">
      <c r="A241" s="41" t="n"/>
      <c r="B241" s="41" t="n"/>
      <c r="C241" s="41" t="n"/>
    </row>
    <row r="242" ht="15.75" customHeight="1" s="60">
      <c r="A242" s="41" t="n"/>
      <c r="B242" s="41" t="n"/>
      <c r="C242" s="41" t="n"/>
    </row>
    <row r="243" ht="15.75" customHeight="1" s="60">
      <c r="A243" s="41" t="n"/>
      <c r="B243" s="41" t="n"/>
      <c r="C243" s="41" t="n"/>
    </row>
    <row r="244" ht="15.75" customHeight="1" s="60">
      <c r="A244" s="41" t="n"/>
      <c r="B244" s="41" t="n"/>
      <c r="C244" s="41" t="n"/>
    </row>
    <row r="245" ht="15.75" customHeight="1" s="60">
      <c r="A245" s="41" t="n"/>
      <c r="B245" s="41" t="n"/>
      <c r="C245" s="41" t="n"/>
    </row>
    <row r="246" ht="15.75" customHeight="1" s="60">
      <c r="A246" s="41" t="n"/>
      <c r="B246" s="41" t="n"/>
      <c r="C246" s="41" t="n"/>
    </row>
    <row r="247" ht="15.75" customHeight="1" s="60">
      <c r="A247" s="41" t="n"/>
      <c r="B247" s="41" t="n"/>
      <c r="C247" s="41" t="n"/>
    </row>
    <row r="248" ht="15.75" customHeight="1" s="60">
      <c r="A248" s="41" t="n"/>
      <c r="B248" s="41" t="n"/>
      <c r="C248" s="41" t="n"/>
    </row>
    <row r="249" ht="15.75" customHeight="1" s="60">
      <c r="A249" s="41" t="n"/>
      <c r="B249" s="41" t="n"/>
      <c r="C249" s="41" t="n"/>
    </row>
    <row r="250" ht="15.75" customHeight="1" s="60">
      <c r="A250" s="41" t="n"/>
      <c r="B250" s="41" t="n"/>
      <c r="C250" s="41" t="n"/>
    </row>
    <row r="251" ht="15.75" customHeight="1" s="60">
      <c r="A251" s="41" t="n"/>
      <c r="B251" s="41" t="n"/>
      <c r="C251" s="41" t="n"/>
    </row>
    <row r="252" ht="15.75" customHeight="1" s="60">
      <c r="A252" s="41" t="n"/>
      <c r="B252" s="41" t="n"/>
      <c r="C252" s="41" t="n"/>
    </row>
    <row r="253" ht="15.75" customHeight="1" s="60">
      <c r="A253" s="41" t="n"/>
      <c r="B253" s="41" t="n"/>
      <c r="C253" s="41" t="n"/>
    </row>
    <row r="254" ht="15.75" customHeight="1" s="60">
      <c r="A254" s="41" t="n"/>
      <c r="B254" s="41" t="n"/>
      <c r="C254" s="41" t="n"/>
    </row>
    <row r="255" ht="15.75" customHeight="1" s="60">
      <c r="A255" s="41" t="n"/>
      <c r="B255" s="41" t="n"/>
      <c r="C255" s="41" t="n"/>
    </row>
    <row r="256" ht="15.75" customHeight="1" s="60">
      <c r="A256" s="41" t="n"/>
      <c r="B256" s="41" t="n"/>
      <c r="C256" s="41" t="n"/>
    </row>
    <row r="257" ht="15.75" customHeight="1" s="60">
      <c r="A257" s="41" t="n"/>
      <c r="B257" s="41" t="n"/>
      <c r="C257" s="41" t="n"/>
    </row>
    <row r="258" ht="15.75" customHeight="1" s="60">
      <c r="A258" s="41" t="n"/>
      <c r="B258" s="41" t="n"/>
      <c r="C258" s="41" t="n"/>
    </row>
    <row r="259" ht="15.75" customHeight="1" s="60">
      <c r="A259" s="41" t="n"/>
      <c r="B259" s="41" t="n"/>
      <c r="C259" s="41" t="n"/>
    </row>
    <row r="260" ht="15.75" customHeight="1" s="60">
      <c r="A260" s="41" t="n"/>
      <c r="B260" s="41" t="n"/>
      <c r="C260" s="41" t="n"/>
    </row>
    <row r="261" ht="15.75" customHeight="1" s="60">
      <c r="A261" s="41" t="n"/>
      <c r="B261" s="41" t="n"/>
      <c r="C261" s="41" t="n"/>
    </row>
    <row r="262" ht="15.75" customHeight="1" s="60">
      <c r="A262" s="41" t="n"/>
      <c r="B262" s="41" t="n"/>
      <c r="C262" s="41" t="n"/>
    </row>
    <row r="263" ht="15.75" customHeight="1" s="60">
      <c r="A263" s="41" t="n"/>
      <c r="B263" s="41" t="n"/>
      <c r="C263" s="41" t="n"/>
    </row>
    <row r="264" ht="15.75" customHeight="1" s="60">
      <c r="A264" s="41" t="n"/>
      <c r="B264" s="41" t="n"/>
      <c r="C264" s="41" t="n"/>
    </row>
    <row r="265" ht="15.75" customHeight="1" s="60">
      <c r="A265" s="41" t="n"/>
      <c r="B265" s="41" t="n"/>
      <c r="C265" s="41" t="n"/>
    </row>
    <row r="266" ht="15.75" customHeight="1" s="60">
      <c r="A266" s="41" t="n"/>
      <c r="B266" s="41" t="n"/>
      <c r="C266" s="41" t="n"/>
    </row>
    <row r="267" ht="15.75" customHeight="1" s="60">
      <c r="A267" s="41" t="n"/>
      <c r="B267" s="41" t="n"/>
      <c r="C267" s="41" t="n"/>
    </row>
    <row r="268" ht="15.75" customHeight="1" s="60">
      <c r="A268" s="41" t="n"/>
      <c r="B268" s="41" t="n"/>
      <c r="C268" s="41" t="n"/>
    </row>
    <row r="269" ht="15.75" customHeight="1" s="60">
      <c r="A269" s="41" t="n"/>
      <c r="B269" s="41" t="n"/>
      <c r="C269" s="41" t="n"/>
    </row>
    <row r="270" ht="15.75" customHeight="1" s="60">
      <c r="A270" s="41" t="n"/>
      <c r="B270" s="41" t="n"/>
      <c r="C270" s="41" t="n"/>
    </row>
    <row r="271" ht="15.75" customHeight="1" s="60">
      <c r="A271" s="41" t="n"/>
      <c r="B271" s="41" t="n"/>
      <c r="C271" s="41" t="n"/>
    </row>
    <row r="272" ht="15.75" customHeight="1" s="60">
      <c r="A272" s="41" t="n"/>
      <c r="B272" s="41" t="n"/>
      <c r="C272" s="41" t="n"/>
    </row>
    <row r="273" ht="15.75" customHeight="1" s="60">
      <c r="A273" s="41" t="n"/>
      <c r="B273" s="41" t="n"/>
      <c r="C273" s="41" t="n"/>
    </row>
    <row r="274" ht="15.75" customHeight="1" s="60">
      <c r="A274" s="41" t="n"/>
      <c r="B274" s="41" t="n"/>
      <c r="C274" s="41" t="n"/>
    </row>
    <row r="275" ht="15.75" customHeight="1" s="60">
      <c r="A275" s="41" t="n"/>
      <c r="B275" s="41" t="n"/>
      <c r="C275" s="41" t="n"/>
    </row>
    <row r="276" ht="15.75" customHeight="1" s="60">
      <c r="A276" s="41" t="n"/>
      <c r="B276" s="41" t="n"/>
      <c r="C276" s="41" t="n"/>
    </row>
    <row r="277" ht="15.75" customHeight="1" s="60">
      <c r="A277" s="41" t="n"/>
      <c r="B277" s="41" t="n"/>
      <c r="C277" s="41" t="n"/>
    </row>
    <row r="278" ht="15.75" customHeight="1" s="60">
      <c r="A278" s="41" t="n"/>
      <c r="B278" s="41" t="n"/>
      <c r="C278" s="41" t="n"/>
    </row>
    <row r="279" ht="15.75" customHeight="1" s="60">
      <c r="A279" s="41" t="n"/>
      <c r="B279" s="41" t="n"/>
      <c r="C279" s="41" t="n"/>
    </row>
    <row r="280" ht="15.75" customHeight="1" s="60">
      <c r="A280" s="41" t="n"/>
      <c r="B280" s="41" t="n"/>
      <c r="C280" s="41" t="n"/>
    </row>
    <row r="281" ht="15.75" customHeight="1" s="60">
      <c r="A281" s="41" t="n"/>
      <c r="B281" s="41" t="n"/>
      <c r="C281" s="41" t="n"/>
    </row>
    <row r="282" ht="15.75" customHeight="1" s="60">
      <c r="A282" s="41" t="n"/>
      <c r="B282" s="41" t="n"/>
      <c r="C282" s="41" t="n"/>
    </row>
    <row r="283" ht="15.75" customHeight="1" s="60">
      <c r="A283" s="41" t="n"/>
      <c r="B283" s="41" t="n"/>
      <c r="C283" s="41" t="n"/>
    </row>
    <row r="284" ht="15.75" customHeight="1" s="60">
      <c r="A284" s="41" t="n"/>
      <c r="B284" s="41" t="n"/>
      <c r="C284" s="41" t="n"/>
    </row>
    <row r="285" ht="15.75" customHeight="1" s="60">
      <c r="A285" s="41" t="n"/>
      <c r="B285" s="41" t="n"/>
      <c r="C285" s="41" t="n"/>
    </row>
    <row r="286" ht="15.75" customHeight="1" s="60">
      <c r="A286" s="41" t="n"/>
      <c r="B286" s="41" t="n"/>
      <c r="C286" s="41" t="n"/>
    </row>
    <row r="287" ht="15.75" customHeight="1" s="60">
      <c r="A287" s="41" t="n"/>
      <c r="B287" s="41" t="n"/>
      <c r="C287" s="41" t="n"/>
    </row>
    <row r="288" ht="15.75" customHeight="1" s="60">
      <c r="A288" s="41" t="n"/>
      <c r="B288" s="41" t="n"/>
      <c r="C288" s="41" t="n"/>
    </row>
    <row r="289" ht="15.75" customHeight="1" s="60">
      <c r="A289" s="41" t="n"/>
      <c r="B289" s="41" t="n"/>
      <c r="C289" s="41" t="n"/>
    </row>
    <row r="290" ht="15.75" customHeight="1" s="60">
      <c r="A290" s="41" t="n"/>
      <c r="B290" s="41" t="n"/>
      <c r="C290" s="41" t="n"/>
    </row>
    <row r="291" ht="15.75" customHeight="1" s="60">
      <c r="A291" s="41" t="n"/>
      <c r="B291" s="41" t="n"/>
      <c r="C291" s="41" t="n"/>
    </row>
    <row r="292" ht="15.75" customHeight="1" s="60">
      <c r="A292" s="41" t="n"/>
      <c r="B292" s="41" t="n"/>
      <c r="C292" s="41" t="n"/>
    </row>
    <row r="293" ht="15.75" customHeight="1" s="60">
      <c r="A293" s="41" t="n"/>
      <c r="B293" s="41" t="n"/>
      <c r="C293" s="41" t="n"/>
    </row>
    <row r="294" ht="15.75" customHeight="1" s="60">
      <c r="A294" s="41" t="n"/>
      <c r="B294" s="41" t="n"/>
      <c r="C294" s="41" t="n"/>
    </row>
    <row r="295" ht="15.75" customHeight="1" s="60">
      <c r="A295" s="41" t="n"/>
      <c r="B295" s="41" t="n"/>
      <c r="C295" s="41" t="n"/>
    </row>
    <row r="296" ht="15.75" customHeight="1" s="60">
      <c r="A296" s="41" t="n"/>
      <c r="B296" s="41" t="n"/>
      <c r="C296" s="41" t="n"/>
    </row>
    <row r="297" ht="15.75" customHeight="1" s="60">
      <c r="A297" s="41" t="n"/>
      <c r="B297" s="41" t="n"/>
      <c r="C297" s="41" t="n"/>
    </row>
    <row r="298" ht="15.75" customHeight="1" s="60">
      <c r="A298" s="41" t="n"/>
      <c r="B298" s="41" t="n"/>
      <c r="C298" s="41" t="n"/>
    </row>
    <row r="299" ht="15.75" customHeight="1" s="60">
      <c r="A299" s="41" t="n"/>
      <c r="B299" s="41" t="n"/>
      <c r="C299" s="41" t="n"/>
    </row>
    <row r="300" ht="15.75" customHeight="1" s="60">
      <c r="A300" s="41" t="n"/>
      <c r="B300" s="41" t="n"/>
      <c r="C300" s="41" t="n"/>
    </row>
    <row r="301" ht="15.75" customHeight="1" s="60">
      <c r="A301" s="41" t="n"/>
      <c r="B301" s="41" t="n"/>
      <c r="C301" s="41" t="n"/>
    </row>
    <row r="302" ht="15.75" customHeight="1" s="60">
      <c r="A302" s="41" t="n"/>
      <c r="B302" s="41" t="n"/>
      <c r="C302" s="41" t="n"/>
    </row>
    <row r="303" ht="15.75" customHeight="1" s="60">
      <c r="A303" s="41" t="n"/>
      <c r="B303" s="41" t="n"/>
      <c r="C303" s="41" t="n"/>
    </row>
    <row r="304" ht="15.75" customHeight="1" s="60">
      <c r="A304" s="41" t="n"/>
      <c r="B304" s="41" t="n"/>
      <c r="C304" s="41" t="n"/>
    </row>
    <row r="305" ht="15.75" customHeight="1" s="60">
      <c r="A305" s="41" t="n"/>
      <c r="B305" s="41" t="n"/>
      <c r="C305" s="41" t="n"/>
    </row>
    <row r="306" ht="15.75" customHeight="1" s="60">
      <c r="A306" s="41" t="n"/>
      <c r="B306" s="41" t="n"/>
      <c r="C306" s="41" t="n"/>
    </row>
    <row r="307" ht="15.75" customHeight="1" s="60">
      <c r="A307" s="41" t="n"/>
      <c r="B307" s="41" t="n"/>
      <c r="C307" s="41" t="n"/>
    </row>
    <row r="308" ht="15.75" customHeight="1" s="60">
      <c r="A308" s="41" t="n"/>
      <c r="B308" s="41" t="n"/>
      <c r="C308" s="41" t="n"/>
    </row>
    <row r="309" ht="15.75" customHeight="1" s="60">
      <c r="A309" s="41" t="n"/>
      <c r="B309" s="41" t="n"/>
      <c r="C309" s="41" t="n"/>
    </row>
    <row r="310" ht="15.75" customHeight="1" s="60">
      <c r="A310" s="41" t="n"/>
      <c r="B310" s="41" t="n"/>
      <c r="C310" s="41" t="n"/>
    </row>
    <row r="311" ht="15.75" customHeight="1" s="60">
      <c r="A311" s="41" t="n"/>
      <c r="B311" s="41" t="n"/>
      <c r="C311" s="41" t="n"/>
    </row>
    <row r="312" ht="15.75" customHeight="1" s="60">
      <c r="A312" s="41" t="n"/>
      <c r="B312" s="41" t="n"/>
      <c r="C312" s="41" t="n"/>
    </row>
    <row r="313" ht="15.75" customHeight="1" s="60">
      <c r="A313" s="41" t="n"/>
      <c r="B313" s="41" t="n"/>
      <c r="C313" s="41" t="n"/>
    </row>
    <row r="314" ht="15.75" customHeight="1" s="60">
      <c r="A314" s="41" t="n"/>
      <c r="B314" s="41" t="n"/>
      <c r="C314" s="41" t="n"/>
    </row>
    <row r="315" ht="15.75" customHeight="1" s="60">
      <c r="A315" s="41" t="n"/>
      <c r="B315" s="41" t="n"/>
      <c r="C315" s="41" t="n"/>
    </row>
    <row r="316" ht="15.75" customHeight="1" s="60">
      <c r="A316" s="41" t="n"/>
      <c r="B316" s="41" t="n"/>
      <c r="C316" s="41" t="n"/>
    </row>
    <row r="317" ht="15.75" customHeight="1" s="60">
      <c r="A317" s="41" t="n"/>
      <c r="B317" s="41" t="n"/>
      <c r="C317" s="41" t="n"/>
    </row>
    <row r="318" ht="15.75" customHeight="1" s="60">
      <c r="A318" s="41" t="n"/>
      <c r="B318" s="41" t="n"/>
      <c r="C318" s="41" t="n"/>
    </row>
    <row r="319" ht="15.75" customHeight="1" s="60">
      <c r="A319" s="41" t="n"/>
      <c r="B319" s="41" t="n"/>
      <c r="C319" s="41" t="n"/>
    </row>
    <row r="320" ht="15.75" customHeight="1" s="60">
      <c r="A320" s="41" t="n"/>
      <c r="B320" s="41" t="n"/>
      <c r="C320" s="41" t="n"/>
    </row>
    <row r="321" ht="15.75" customHeight="1" s="60">
      <c r="A321" s="41" t="n"/>
      <c r="B321" s="41" t="n"/>
      <c r="C321" s="41" t="n"/>
    </row>
    <row r="322" ht="15.75" customHeight="1" s="60">
      <c r="A322" s="41" t="n"/>
      <c r="B322" s="41" t="n"/>
      <c r="C322" s="41" t="n"/>
    </row>
    <row r="323" ht="15.75" customHeight="1" s="60">
      <c r="A323" s="41" t="n"/>
      <c r="B323" s="41" t="n"/>
      <c r="C323" s="41" t="n"/>
    </row>
    <row r="324" ht="15.75" customHeight="1" s="60">
      <c r="A324" s="41" t="n"/>
      <c r="B324" s="41" t="n"/>
      <c r="C324" s="41" t="n"/>
    </row>
    <row r="325" ht="15.75" customHeight="1" s="60">
      <c r="A325" s="41" t="n"/>
      <c r="B325" s="41" t="n"/>
      <c r="C325" s="41" t="n"/>
    </row>
    <row r="326" ht="15.75" customHeight="1" s="60">
      <c r="A326" s="41" t="n"/>
      <c r="B326" s="41" t="n"/>
      <c r="C326" s="41" t="n"/>
    </row>
    <row r="327" ht="15.75" customHeight="1" s="60">
      <c r="A327" s="41" t="n"/>
      <c r="B327" s="41" t="n"/>
      <c r="C327" s="41" t="n"/>
    </row>
    <row r="328" ht="15.75" customHeight="1" s="60">
      <c r="A328" s="41" t="n"/>
      <c r="B328" s="41" t="n"/>
      <c r="C328" s="41" t="n"/>
    </row>
    <row r="329" ht="15.75" customHeight="1" s="60">
      <c r="A329" s="41" t="n"/>
      <c r="B329" s="41" t="n"/>
      <c r="C329" s="41" t="n"/>
    </row>
    <row r="330" ht="15.75" customHeight="1" s="60">
      <c r="A330" s="41" t="n"/>
      <c r="B330" s="41" t="n"/>
      <c r="C330" s="41" t="n"/>
    </row>
    <row r="331" ht="15.75" customHeight="1" s="60">
      <c r="A331" s="41" t="n"/>
      <c r="B331" s="41" t="n"/>
      <c r="C331" s="41" t="n"/>
    </row>
    <row r="332" ht="15.75" customHeight="1" s="60">
      <c r="A332" s="41" t="n"/>
      <c r="B332" s="41" t="n"/>
      <c r="C332" s="41" t="n"/>
    </row>
    <row r="333" ht="15.75" customHeight="1" s="60">
      <c r="A333" s="41" t="n"/>
      <c r="B333" s="41" t="n"/>
      <c r="C333" s="41" t="n"/>
    </row>
    <row r="334" ht="15.75" customHeight="1" s="60">
      <c r="A334" s="41" t="n"/>
      <c r="B334" s="41" t="n"/>
      <c r="C334" s="41" t="n"/>
    </row>
    <row r="335" ht="15.75" customHeight="1" s="60">
      <c r="A335" s="41" t="n"/>
      <c r="B335" s="41" t="n"/>
      <c r="C335" s="41" t="n"/>
    </row>
    <row r="336" ht="15.75" customHeight="1" s="60">
      <c r="A336" s="41" t="n"/>
      <c r="B336" s="41" t="n"/>
      <c r="C336" s="41" t="n"/>
    </row>
    <row r="337" ht="15.75" customHeight="1" s="60">
      <c r="A337" s="41" t="n"/>
      <c r="B337" s="41" t="n"/>
      <c r="C337" s="41" t="n"/>
    </row>
    <row r="338" ht="15.75" customHeight="1" s="60">
      <c r="A338" s="41" t="n"/>
      <c r="B338" s="41" t="n"/>
      <c r="C338" s="41" t="n"/>
    </row>
    <row r="339" ht="15.75" customHeight="1" s="60">
      <c r="A339" s="41" t="n"/>
      <c r="B339" s="41" t="n"/>
      <c r="C339" s="41" t="n"/>
    </row>
    <row r="340" ht="15.75" customHeight="1" s="60">
      <c r="A340" s="41" t="n"/>
      <c r="B340" s="41" t="n"/>
      <c r="C340" s="41" t="n"/>
    </row>
    <row r="341" ht="15.75" customHeight="1" s="60">
      <c r="A341" s="41" t="n"/>
      <c r="B341" s="41" t="n"/>
      <c r="C341" s="41" t="n"/>
    </row>
    <row r="342" ht="15.75" customHeight="1" s="60">
      <c r="A342" s="41" t="n"/>
      <c r="B342" s="41" t="n"/>
      <c r="C342" s="41" t="n"/>
    </row>
    <row r="343" ht="15.75" customHeight="1" s="60">
      <c r="A343" s="41" t="n"/>
      <c r="B343" s="41" t="n"/>
      <c r="C343" s="41" t="n"/>
    </row>
    <row r="344" ht="15.75" customHeight="1" s="60">
      <c r="A344" s="41" t="n"/>
      <c r="B344" s="41" t="n"/>
      <c r="C344" s="41" t="n"/>
    </row>
    <row r="345" ht="15.75" customHeight="1" s="60">
      <c r="A345" s="41" t="n"/>
      <c r="B345" s="41" t="n"/>
      <c r="C345" s="41" t="n"/>
    </row>
    <row r="346" ht="15.75" customHeight="1" s="60">
      <c r="A346" s="41" t="n"/>
      <c r="B346" s="41" t="n"/>
      <c r="C346" s="41" t="n"/>
    </row>
    <row r="347" ht="15.75" customHeight="1" s="60">
      <c r="A347" s="41" t="n"/>
      <c r="B347" s="41" t="n"/>
      <c r="C347" s="41" t="n"/>
    </row>
    <row r="348" ht="15.75" customHeight="1" s="60">
      <c r="A348" s="41" t="n"/>
      <c r="B348" s="41" t="n"/>
      <c r="C348" s="41" t="n"/>
    </row>
    <row r="349" ht="15.75" customHeight="1" s="60">
      <c r="A349" s="41" t="n"/>
      <c r="B349" s="41" t="n"/>
      <c r="C349" s="41" t="n"/>
    </row>
    <row r="350" ht="15.75" customHeight="1" s="60">
      <c r="A350" s="41" t="n"/>
      <c r="B350" s="41" t="n"/>
      <c r="C350" s="41" t="n"/>
    </row>
    <row r="351" ht="15.75" customHeight="1" s="60">
      <c r="A351" s="41" t="n"/>
      <c r="B351" s="41" t="n"/>
      <c r="C351" s="41" t="n"/>
    </row>
    <row r="352" ht="15.75" customHeight="1" s="60">
      <c r="A352" s="41" t="n"/>
      <c r="B352" s="41" t="n"/>
      <c r="C352" s="41" t="n"/>
    </row>
    <row r="353" ht="15.75" customHeight="1" s="60">
      <c r="A353" s="41" t="n"/>
      <c r="B353" s="41" t="n"/>
      <c r="C353" s="41" t="n"/>
    </row>
    <row r="354" ht="15.75" customHeight="1" s="60">
      <c r="A354" s="41" t="n"/>
      <c r="B354" s="41" t="n"/>
      <c r="C354" s="41" t="n"/>
    </row>
    <row r="355" ht="15.75" customHeight="1" s="60">
      <c r="A355" s="41" t="n"/>
      <c r="B355" s="41" t="n"/>
      <c r="C355" s="41" t="n"/>
    </row>
    <row r="356" ht="15.75" customHeight="1" s="60">
      <c r="A356" s="41" t="n"/>
      <c r="B356" s="41" t="n"/>
      <c r="C356" s="41" t="n"/>
    </row>
    <row r="357" ht="15.75" customHeight="1" s="60">
      <c r="A357" s="41" t="n"/>
      <c r="B357" s="41" t="n"/>
      <c r="C357" s="41" t="n"/>
    </row>
    <row r="358" ht="15.75" customHeight="1" s="60">
      <c r="A358" s="41" t="n"/>
      <c r="B358" s="41" t="n"/>
      <c r="C358" s="41" t="n"/>
    </row>
    <row r="359" ht="15.75" customHeight="1" s="60">
      <c r="A359" s="41" t="n"/>
      <c r="B359" s="41" t="n"/>
      <c r="C359" s="41" t="n"/>
    </row>
    <row r="360" ht="15.75" customHeight="1" s="60">
      <c r="A360" s="41" t="n"/>
      <c r="B360" s="41" t="n"/>
      <c r="C360" s="41" t="n"/>
    </row>
    <row r="361" ht="15.75" customHeight="1" s="60">
      <c r="A361" s="41" t="n"/>
      <c r="B361" s="41" t="n"/>
      <c r="C361" s="41" t="n"/>
    </row>
    <row r="362" ht="15.75" customHeight="1" s="60">
      <c r="A362" s="41" t="n"/>
      <c r="B362" s="41" t="n"/>
      <c r="C362" s="41" t="n"/>
    </row>
    <row r="363" ht="15.75" customHeight="1" s="60">
      <c r="A363" s="41" t="n"/>
      <c r="B363" s="41" t="n"/>
      <c r="C363" s="41" t="n"/>
    </row>
    <row r="364" ht="15.75" customHeight="1" s="60">
      <c r="A364" s="41" t="n"/>
      <c r="B364" s="41" t="n"/>
      <c r="C364" s="41" t="n"/>
    </row>
    <row r="365" ht="15.75" customHeight="1" s="60">
      <c r="A365" s="41" t="n"/>
      <c r="B365" s="41" t="n"/>
      <c r="C365" s="41" t="n"/>
    </row>
    <row r="366" ht="15.75" customHeight="1" s="60">
      <c r="A366" s="41" t="n"/>
      <c r="B366" s="41" t="n"/>
      <c r="C366" s="41" t="n"/>
    </row>
    <row r="367" ht="15.75" customHeight="1" s="60">
      <c r="A367" s="41" t="n"/>
      <c r="B367" s="41" t="n"/>
      <c r="C367" s="41" t="n"/>
    </row>
    <row r="368" ht="15.75" customHeight="1" s="60">
      <c r="A368" s="41" t="n"/>
      <c r="B368" s="41" t="n"/>
      <c r="C368" s="41" t="n"/>
    </row>
    <row r="369" ht="15.75" customHeight="1" s="60">
      <c r="A369" s="41" t="n"/>
      <c r="B369" s="41" t="n"/>
      <c r="C369" s="41" t="n"/>
    </row>
    <row r="370" ht="15.75" customHeight="1" s="60">
      <c r="A370" s="41" t="n"/>
      <c r="B370" s="41" t="n"/>
      <c r="C370" s="41" t="n"/>
    </row>
    <row r="371" ht="15.75" customHeight="1" s="60">
      <c r="A371" s="41" t="n"/>
      <c r="B371" s="41" t="n"/>
      <c r="C371" s="41" t="n"/>
    </row>
    <row r="372" ht="15.75" customHeight="1" s="60">
      <c r="A372" s="41" t="n"/>
      <c r="B372" s="41" t="n"/>
      <c r="C372" s="41" t="n"/>
    </row>
    <row r="373" ht="15.75" customHeight="1" s="60">
      <c r="A373" s="41" t="n"/>
      <c r="B373" s="41" t="n"/>
      <c r="C373" s="41" t="n"/>
    </row>
    <row r="374" ht="15.75" customHeight="1" s="60">
      <c r="A374" s="41" t="n"/>
      <c r="B374" s="41" t="n"/>
      <c r="C374" s="41" t="n"/>
    </row>
    <row r="375" ht="15.75" customHeight="1" s="60">
      <c r="A375" s="41" t="n"/>
      <c r="B375" s="41" t="n"/>
      <c r="C375" s="41" t="n"/>
    </row>
    <row r="376" ht="15.75" customHeight="1" s="60">
      <c r="A376" s="41" t="n"/>
      <c r="B376" s="41" t="n"/>
      <c r="C376" s="41" t="n"/>
    </row>
    <row r="377" ht="15.75" customHeight="1" s="60">
      <c r="A377" s="41" t="n"/>
      <c r="B377" s="41" t="n"/>
      <c r="C377" s="41" t="n"/>
    </row>
    <row r="378" ht="15.75" customHeight="1" s="60">
      <c r="A378" s="41" t="n"/>
      <c r="B378" s="41" t="n"/>
      <c r="C378" s="41" t="n"/>
    </row>
    <row r="379" ht="15.75" customHeight="1" s="60">
      <c r="A379" s="41" t="n"/>
      <c r="B379" s="41" t="n"/>
      <c r="C379" s="41" t="n"/>
    </row>
    <row r="380" ht="15.75" customHeight="1" s="60">
      <c r="A380" s="41" t="n"/>
      <c r="B380" s="41" t="n"/>
      <c r="C380" s="41" t="n"/>
    </row>
    <row r="381" ht="15.75" customHeight="1" s="60">
      <c r="A381" s="41" t="n"/>
      <c r="B381" s="41" t="n"/>
      <c r="C381" s="41" t="n"/>
    </row>
    <row r="382" ht="15.75" customHeight="1" s="60">
      <c r="A382" s="41" t="n"/>
      <c r="B382" s="41" t="n"/>
      <c r="C382" s="41" t="n"/>
    </row>
    <row r="383" ht="15.75" customHeight="1" s="60">
      <c r="A383" s="41" t="n"/>
      <c r="B383" s="41" t="n"/>
      <c r="C383" s="41" t="n"/>
    </row>
    <row r="384" ht="15.75" customHeight="1" s="60">
      <c r="A384" s="41" t="n"/>
      <c r="B384" s="41" t="n"/>
      <c r="C384" s="41" t="n"/>
    </row>
    <row r="385" ht="15.75" customHeight="1" s="60">
      <c r="A385" s="41" t="n"/>
      <c r="B385" s="41" t="n"/>
      <c r="C385" s="41" t="n"/>
    </row>
    <row r="386" ht="15.75" customHeight="1" s="60">
      <c r="A386" s="41" t="n"/>
      <c r="B386" s="41" t="n"/>
      <c r="C386" s="41" t="n"/>
    </row>
    <row r="387" ht="15.75" customHeight="1" s="60">
      <c r="A387" s="41" t="n"/>
      <c r="B387" s="41" t="n"/>
      <c r="C387" s="41" t="n"/>
    </row>
    <row r="388" ht="15.75" customHeight="1" s="60">
      <c r="A388" s="41" t="n"/>
      <c r="B388" s="41" t="n"/>
      <c r="C388" s="41" t="n"/>
    </row>
    <row r="389" ht="15.75" customHeight="1" s="60">
      <c r="A389" s="41" t="n"/>
      <c r="B389" s="41" t="n"/>
      <c r="C389" s="41" t="n"/>
    </row>
    <row r="390" ht="15.75" customHeight="1" s="60">
      <c r="A390" s="41" t="n"/>
      <c r="B390" s="41" t="n"/>
      <c r="C390" s="41" t="n"/>
    </row>
    <row r="391" ht="15.75" customHeight="1" s="60">
      <c r="A391" s="41" t="n"/>
      <c r="B391" s="41" t="n"/>
      <c r="C391" s="41" t="n"/>
    </row>
    <row r="392" ht="15.75" customHeight="1" s="60">
      <c r="A392" s="41" t="n"/>
      <c r="B392" s="41" t="n"/>
      <c r="C392" s="41" t="n"/>
    </row>
    <row r="393" ht="15.75" customHeight="1" s="60">
      <c r="A393" s="41" t="n"/>
      <c r="B393" s="41" t="n"/>
      <c r="C393" s="41" t="n"/>
    </row>
    <row r="394" ht="15.75" customHeight="1" s="60">
      <c r="A394" s="41" t="n"/>
      <c r="B394" s="41" t="n"/>
      <c r="C394" s="41" t="n"/>
    </row>
    <row r="395" ht="15.75" customHeight="1" s="60">
      <c r="A395" s="41" t="n"/>
      <c r="B395" s="41" t="n"/>
      <c r="C395" s="41" t="n"/>
    </row>
    <row r="396" ht="15.75" customHeight="1" s="60">
      <c r="A396" s="41" t="n"/>
      <c r="B396" s="41" t="n"/>
      <c r="C396" s="41" t="n"/>
    </row>
    <row r="397" ht="15.75" customHeight="1" s="60">
      <c r="A397" s="41" t="n"/>
      <c r="B397" s="41" t="n"/>
      <c r="C397" s="41" t="n"/>
    </row>
    <row r="398" ht="15.75" customHeight="1" s="60">
      <c r="A398" s="41" t="n"/>
      <c r="B398" s="41" t="n"/>
      <c r="C398" s="41" t="n"/>
    </row>
    <row r="399" ht="15.75" customHeight="1" s="60">
      <c r="A399" s="41" t="n"/>
      <c r="B399" s="41" t="n"/>
      <c r="C399" s="41" t="n"/>
    </row>
    <row r="400" ht="15.75" customHeight="1" s="60">
      <c r="A400" s="41" t="n"/>
      <c r="B400" s="41" t="n"/>
      <c r="C400" s="41" t="n"/>
    </row>
    <row r="401" ht="15.75" customHeight="1" s="60">
      <c r="A401" s="41" t="n"/>
      <c r="B401" s="41" t="n"/>
      <c r="C401" s="41" t="n"/>
    </row>
    <row r="402" ht="15.75" customHeight="1" s="60">
      <c r="A402" s="41" t="n"/>
      <c r="B402" s="41" t="n"/>
      <c r="C402" s="41" t="n"/>
    </row>
    <row r="403" ht="15.75" customHeight="1" s="60">
      <c r="A403" s="41" t="n"/>
      <c r="B403" s="41" t="n"/>
      <c r="C403" s="41" t="n"/>
    </row>
    <row r="404" ht="15.75" customHeight="1" s="60">
      <c r="A404" s="41" t="n"/>
      <c r="B404" s="41" t="n"/>
      <c r="C404" s="41" t="n"/>
    </row>
    <row r="405" ht="15.75" customHeight="1" s="60">
      <c r="A405" s="41" t="n"/>
      <c r="B405" s="41" t="n"/>
      <c r="C405" s="41" t="n"/>
    </row>
    <row r="406" ht="15.75" customHeight="1" s="60">
      <c r="A406" s="41" t="n"/>
      <c r="B406" s="41" t="n"/>
      <c r="C406" s="41" t="n"/>
    </row>
    <row r="407" ht="15.75" customHeight="1" s="60">
      <c r="A407" s="41" t="n"/>
      <c r="B407" s="41" t="n"/>
      <c r="C407" s="41" t="n"/>
    </row>
    <row r="408" ht="15.75" customHeight="1" s="60">
      <c r="A408" s="41" t="n"/>
      <c r="B408" s="41" t="n"/>
      <c r="C408" s="41" t="n"/>
    </row>
    <row r="409" ht="15.75" customHeight="1" s="60">
      <c r="A409" s="41" t="n"/>
      <c r="B409" s="41" t="n"/>
      <c r="C409" s="41" t="n"/>
    </row>
    <row r="410" ht="15.75" customHeight="1" s="60">
      <c r="A410" s="41" t="n"/>
      <c r="B410" s="41" t="n"/>
      <c r="C410" s="41" t="n"/>
    </row>
    <row r="411" ht="15.75" customHeight="1" s="60">
      <c r="A411" s="41" t="n"/>
      <c r="B411" s="41" t="n"/>
      <c r="C411" s="41" t="n"/>
    </row>
    <row r="412" ht="15.75" customHeight="1" s="60">
      <c r="A412" s="41" t="n"/>
      <c r="B412" s="41" t="n"/>
      <c r="C412" s="41" t="n"/>
    </row>
    <row r="413" ht="15.75" customHeight="1" s="60">
      <c r="A413" s="41" t="n"/>
      <c r="B413" s="41" t="n"/>
      <c r="C413" s="41" t="n"/>
    </row>
    <row r="414" ht="15.75" customHeight="1" s="60">
      <c r="A414" s="41" t="n"/>
      <c r="B414" s="41" t="n"/>
      <c r="C414" s="41" t="n"/>
    </row>
    <row r="415" ht="15.75" customHeight="1" s="60">
      <c r="A415" s="41" t="n"/>
      <c r="B415" s="41" t="n"/>
      <c r="C415" s="41" t="n"/>
    </row>
    <row r="416" ht="15.75" customHeight="1" s="60">
      <c r="A416" s="41" t="n"/>
      <c r="B416" s="41" t="n"/>
      <c r="C416" s="41" t="n"/>
    </row>
    <row r="417" ht="15.75" customHeight="1" s="60">
      <c r="A417" s="41" t="n"/>
      <c r="B417" s="41" t="n"/>
      <c r="C417" s="41" t="n"/>
    </row>
    <row r="418" ht="15.75" customHeight="1" s="60">
      <c r="A418" s="41" t="n"/>
      <c r="B418" s="41" t="n"/>
      <c r="C418" s="41" t="n"/>
    </row>
    <row r="419" ht="15.75" customHeight="1" s="60">
      <c r="A419" s="41" t="n"/>
      <c r="B419" s="41" t="n"/>
      <c r="C419" s="41" t="n"/>
    </row>
    <row r="420" ht="15.75" customHeight="1" s="60">
      <c r="A420" s="41" t="n"/>
      <c r="B420" s="41" t="n"/>
      <c r="C420" s="41" t="n"/>
    </row>
    <row r="421" ht="15.75" customHeight="1" s="60">
      <c r="A421" s="41" t="n"/>
      <c r="B421" s="41" t="n"/>
      <c r="C421" s="41" t="n"/>
    </row>
    <row r="422" ht="15.75" customHeight="1" s="60">
      <c r="A422" s="41" t="n"/>
      <c r="B422" s="41" t="n"/>
      <c r="C422" s="41" t="n"/>
    </row>
    <row r="423" ht="15.75" customHeight="1" s="60">
      <c r="A423" s="41" t="n"/>
      <c r="B423" s="41" t="n"/>
      <c r="C423" s="41" t="n"/>
    </row>
    <row r="424" ht="15.75" customHeight="1" s="60">
      <c r="A424" s="41" t="n"/>
      <c r="B424" s="41" t="n"/>
      <c r="C424" s="41" t="n"/>
    </row>
    <row r="425" ht="15.75" customHeight="1" s="60">
      <c r="A425" s="41" t="n"/>
      <c r="B425" s="41" t="n"/>
      <c r="C425" s="41" t="n"/>
    </row>
    <row r="426" ht="15.75" customHeight="1" s="60">
      <c r="A426" s="41" t="n"/>
      <c r="B426" s="41" t="n"/>
      <c r="C426" s="41" t="n"/>
    </row>
    <row r="427" ht="15.75" customHeight="1" s="60">
      <c r="A427" s="41" t="n"/>
      <c r="B427" s="41" t="n"/>
      <c r="C427" s="41" t="n"/>
    </row>
    <row r="428" ht="15.75" customHeight="1" s="60">
      <c r="A428" s="41" t="n"/>
      <c r="B428" s="41" t="n"/>
      <c r="C428" s="41" t="n"/>
    </row>
    <row r="429" ht="15.75" customHeight="1" s="60">
      <c r="A429" s="41" t="n"/>
      <c r="B429" s="41" t="n"/>
      <c r="C429" s="41" t="n"/>
    </row>
    <row r="430" ht="15.75" customHeight="1" s="60">
      <c r="A430" s="41" t="n"/>
      <c r="B430" s="41" t="n"/>
      <c r="C430" s="41" t="n"/>
    </row>
    <row r="431" ht="15.75" customHeight="1" s="60">
      <c r="A431" s="41" t="n"/>
      <c r="B431" s="41" t="n"/>
      <c r="C431" s="41" t="n"/>
    </row>
    <row r="432" ht="15.75" customHeight="1" s="60">
      <c r="A432" s="41" t="n"/>
      <c r="B432" s="41" t="n"/>
      <c r="C432" s="41" t="n"/>
    </row>
    <row r="433" ht="15.75" customHeight="1" s="60">
      <c r="A433" s="41" t="n"/>
      <c r="B433" s="41" t="n"/>
      <c r="C433" s="41" t="n"/>
    </row>
    <row r="434" ht="15.75" customHeight="1" s="60">
      <c r="A434" s="41" t="n"/>
      <c r="B434" s="41" t="n"/>
      <c r="C434" s="41" t="n"/>
    </row>
    <row r="435" ht="15.75" customHeight="1" s="60">
      <c r="A435" s="41" t="n"/>
      <c r="B435" s="41" t="n"/>
      <c r="C435" s="41" t="n"/>
    </row>
    <row r="436" ht="15.75" customHeight="1" s="60">
      <c r="A436" s="41" t="n"/>
      <c r="B436" s="41" t="n"/>
      <c r="C436" s="41" t="n"/>
    </row>
    <row r="437" ht="15.75" customHeight="1" s="60">
      <c r="A437" s="41" t="n"/>
      <c r="B437" s="41" t="n"/>
      <c r="C437" s="41" t="n"/>
    </row>
    <row r="438" ht="15.75" customHeight="1" s="60">
      <c r="A438" s="41" t="n"/>
      <c r="B438" s="41" t="n"/>
      <c r="C438" s="41" t="n"/>
    </row>
    <row r="439" ht="15.75" customHeight="1" s="60">
      <c r="A439" s="41" t="n"/>
      <c r="B439" s="41" t="n"/>
      <c r="C439" s="41" t="n"/>
    </row>
    <row r="440" ht="15.75" customHeight="1" s="60">
      <c r="A440" s="41" t="n"/>
      <c r="B440" s="41" t="n"/>
      <c r="C440" s="41" t="n"/>
    </row>
    <row r="441" ht="15.75" customHeight="1" s="60">
      <c r="A441" s="41" t="n"/>
      <c r="B441" s="41" t="n"/>
      <c r="C441" s="41" t="n"/>
    </row>
    <row r="442" ht="15.75" customHeight="1" s="60">
      <c r="A442" s="41" t="n"/>
      <c r="B442" s="41" t="n"/>
      <c r="C442" s="41" t="n"/>
    </row>
    <row r="443" ht="15.75" customHeight="1" s="60">
      <c r="A443" s="41" t="n"/>
      <c r="B443" s="41" t="n"/>
      <c r="C443" s="41" t="n"/>
    </row>
    <row r="444" ht="15.75" customHeight="1" s="60">
      <c r="A444" s="41" t="n"/>
      <c r="B444" s="41" t="n"/>
      <c r="C444" s="41" t="n"/>
    </row>
    <row r="445" ht="15.75" customHeight="1" s="60">
      <c r="A445" s="41" t="n"/>
      <c r="B445" s="41" t="n"/>
      <c r="C445" s="41" t="n"/>
    </row>
    <row r="446" ht="15.75" customHeight="1" s="60">
      <c r="A446" s="41" t="n"/>
      <c r="B446" s="41" t="n"/>
      <c r="C446" s="41" t="n"/>
    </row>
    <row r="447" ht="15.75" customHeight="1" s="60">
      <c r="A447" s="41" t="n"/>
      <c r="B447" s="41" t="n"/>
      <c r="C447" s="41" t="n"/>
    </row>
    <row r="448" ht="15.75" customHeight="1" s="60">
      <c r="A448" s="41" t="n"/>
      <c r="B448" s="41" t="n"/>
      <c r="C448" s="41" t="n"/>
    </row>
    <row r="449" ht="15.75" customHeight="1" s="60">
      <c r="A449" s="41" t="n"/>
      <c r="B449" s="41" t="n"/>
      <c r="C449" s="41" t="n"/>
    </row>
    <row r="450" ht="15.75" customHeight="1" s="60">
      <c r="A450" s="41" t="n"/>
      <c r="B450" s="41" t="n"/>
      <c r="C450" s="41" t="n"/>
    </row>
    <row r="451" ht="15.75" customHeight="1" s="60">
      <c r="A451" s="41" t="n"/>
      <c r="B451" s="41" t="n"/>
      <c r="C451" s="41" t="n"/>
    </row>
    <row r="452" ht="15.75" customHeight="1" s="60">
      <c r="A452" s="41" t="n"/>
      <c r="B452" s="41" t="n"/>
      <c r="C452" s="41" t="n"/>
    </row>
    <row r="453" ht="15.75" customHeight="1" s="60">
      <c r="A453" s="41" t="n"/>
      <c r="B453" s="41" t="n"/>
      <c r="C453" s="41" t="n"/>
    </row>
    <row r="454" ht="15.75" customHeight="1" s="60">
      <c r="A454" s="41" t="n"/>
      <c r="B454" s="41" t="n"/>
      <c r="C454" s="41" t="n"/>
    </row>
    <row r="455" ht="15.75" customHeight="1" s="60">
      <c r="A455" s="41" t="n"/>
      <c r="B455" s="41" t="n"/>
      <c r="C455" s="41" t="n"/>
    </row>
    <row r="456" ht="15.75" customHeight="1" s="60">
      <c r="A456" s="41" t="n"/>
      <c r="B456" s="41" t="n"/>
      <c r="C456" s="41" t="n"/>
    </row>
    <row r="457" ht="15.75" customHeight="1" s="60">
      <c r="A457" s="41" t="n"/>
      <c r="B457" s="41" t="n"/>
      <c r="C457" s="41" t="n"/>
    </row>
    <row r="458" ht="15.75" customHeight="1" s="60">
      <c r="A458" s="41" t="n"/>
      <c r="B458" s="41" t="n"/>
      <c r="C458" s="41" t="n"/>
    </row>
    <row r="459" ht="15.75" customHeight="1" s="60">
      <c r="A459" s="41" t="n"/>
      <c r="B459" s="41" t="n"/>
      <c r="C459" s="41" t="n"/>
    </row>
    <row r="460" ht="15.75" customHeight="1" s="60">
      <c r="A460" s="41" t="n"/>
      <c r="B460" s="41" t="n"/>
      <c r="C460" s="41" t="n"/>
    </row>
    <row r="461" ht="15.75" customHeight="1" s="60">
      <c r="A461" s="41" t="n"/>
      <c r="B461" s="41" t="n"/>
      <c r="C461" s="41" t="n"/>
    </row>
    <row r="462" ht="15.75" customHeight="1" s="60">
      <c r="A462" s="41" t="n"/>
      <c r="B462" s="41" t="n"/>
      <c r="C462" s="41" t="n"/>
    </row>
    <row r="463" ht="15.75" customHeight="1" s="60">
      <c r="A463" s="41" t="n"/>
      <c r="B463" s="41" t="n"/>
      <c r="C463" s="41" t="n"/>
    </row>
    <row r="464" ht="15.75" customHeight="1" s="60">
      <c r="A464" s="41" t="n"/>
      <c r="B464" s="41" t="n"/>
      <c r="C464" s="41" t="n"/>
    </row>
    <row r="465" ht="15.75" customHeight="1" s="60">
      <c r="A465" s="41" t="n"/>
      <c r="B465" s="41" t="n"/>
      <c r="C465" s="41" t="n"/>
    </row>
    <row r="466" ht="15.75" customHeight="1" s="60">
      <c r="A466" s="41" t="n"/>
      <c r="B466" s="41" t="n"/>
      <c r="C466" s="41" t="n"/>
    </row>
    <row r="467" ht="15.75" customHeight="1" s="60">
      <c r="A467" s="41" t="n"/>
      <c r="B467" s="41" t="n"/>
      <c r="C467" s="41" t="n"/>
    </row>
    <row r="468" ht="15.75" customHeight="1" s="60">
      <c r="A468" s="41" t="n"/>
      <c r="B468" s="41" t="n"/>
      <c r="C468" s="41" t="n"/>
    </row>
    <row r="469" ht="15.75" customHeight="1" s="60">
      <c r="A469" s="41" t="n"/>
      <c r="B469" s="41" t="n"/>
      <c r="C469" s="41" t="n"/>
    </row>
    <row r="470" ht="15.75" customHeight="1" s="60">
      <c r="A470" s="41" t="n"/>
      <c r="B470" s="41" t="n"/>
      <c r="C470" s="41" t="n"/>
    </row>
    <row r="471" ht="15.75" customHeight="1" s="60">
      <c r="A471" s="41" t="n"/>
      <c r="B471" s="41" t="n"/>
      <c r="C471" s="41" t="n"/>
    </row>
    <row r="472" ht="15.75" customHeight="1" s="60">
      <c r="A472" s="41" t="n"/>
      <c r="B472" s="41" t="n"/>
      <c r="C472" s="41" t="n"/>
    </row>
    <row r="473" ht="15.75" customHeight="1" s="60">
      <c r="A473" s="41" t="n"/>
      <c r="B473" s="41" t="n"/>
      <c r="C473" s="41" t="n"/>
    </row>
    <row r="474" ht="15.75" customHeight="1" s="60">
      <c r="A474" s="41" t="n"/>
      <c r="B474" s="41" t="n"/>
      <c r="C474" s="41" t="n"/>
    </row>
    <row r="475" ht="15.75" customHeight="1" s="60">
      <c r="A475" s="41" t="n"/>
      <c r="B475" s="41" t="n"/>
      <c r="C475" s="41" t="n"/>
    </row>
    <row r="476" ht="15.75" customHeight="1" s="60">
      <c r="A476" s="41" t="n"/>
      <c r="B476" s="41" t="n"/>
      <c r="C476" s="41" t="n"/>
    </row>
    <row r="477" ht="15.75" customHeight="1" s="60">
      <c r="A477" s="41" t="n"/>
      <c r="B477" s="41" t="n"/>
      <c r="C477" s="41" t="n"/>
    </row>
    <row r="478" ht="15.75" customHeight="1" s="60">
      <c r="A478" s="41" t="n"/>
      <c r="B478" s="41" t="n"/>
      <c r="C478" s="41" t="n"/>
    </row>
    <row r="479" ht="15.75" customHeight="1" s="60">
      <c r="A479" s="41" t="n"/>
      <c r="B479" s="41" t="n"/>
      <c r="C479" s="41" t="n"/>
    </row>
    <row r="480" ht="15.75" customHeight="1" s="60">
      <c r="A480" s="41" t="n"/>
      <c r="B480" s="41" t="n"/>
      <c r="C480" s="41" t="n"/>
    </row>
    <row r="481" ht="15.75" customHeight="1" s="60">
      <c r="A481" s="41" t="n"/>
      <c r="B481" s="41" t="n"/>
      <c r="C481" s="41" t="n"/>
    </row>
    <row r="482" ht="15.75" customHeight="1" s="60">
      <c r="A482" s="41" t="n"/>
      <c r="B482" s="41" t="n"/>
      <c r="C482" s="41" t="n"/>
    </row>
    <row r="483" ht="15.75" customHeight="1" s="60">
      <c r="A483" s="41" t="n"/>
      <c r="B483" s="41" t="n"/>
      <c r="C483" s="41" t="n"/>
    </row>
    <row r="484" ht="15.75" customHeight="1" s="60">
      <c r="A484" s="41" t="n"/>
      <c r="B484" s="41" t="n"/>
      <c r="C484" s="41" t="n"/>
    </row>
    <row r="485" ht="15.75" customHeight="1" s="60">
      <c r="A485" s="41" t="n"/>
      <c r="B485" s="41" t="n"/>
      <c r="C485" s="41" t="n"/>
    </row>
    <row r="486" ht="15.75" customHeight="1" s="60">
      <c r="A486" s="41" t="n"/>
      <c r="B486" s="41" t="n"/>
      <c r="C486" s="41" t="n"/>
    </row>
    <row r="487" ht="15.75" customHeight="1" s="60">
      <c r="A487" s="41" t="n"/>
      <c r="B487" s="41" t="n"/>
      <c r="C487" s="41" t="n"/>
    </row>
    <row r="488" ht="15.75" customHeight="1" s="60">
      <c r="A488" s="41" t="n"/>
      <c r="B488" s="41" t="n"/>
      <c r="C488" s="41" t="n"/>
    </row>
    <row r="489" ht="15.75" customHeight="1" s="60">
      <c r="A489" s="41" t="n"/>
      <c r="B489" s="41" t="n"/>
      <c r="C489" s="41" t="n"/>
    </row>
    <row r="490" ht="15.75" customHeight="1" s="60">
      <c r="A490" s="41" t="n"/>
      <c r="B490" s="41" t="n"/>
      <c r="C490" s="41" t="n"/>
    </row>
    <row r="491" ht="15.75" customHeight="1" s="60">
      <c r="A491" s="41" t="n"/>
      <c r="B491" s="41" t="n"/>
      <c r="C491" s="41" t="n"/>
    </row>
    <row r="492" ht="15.75" customHeight="1" s="60">
      <c r="A492" s="41" t="n"/>
      <c r="B492" s="41" t="n"/>
      <c r="C492" s="41" t="n"/>
    </row>
    <row r="493" ht="15.75" customHeight="1" s="60">
      <c r="A493" s="41" t="n"/>
      <c r="B493" s="41" t="n"/>
      <c r="C493" s="41" t="n"/>
    </row>
    <row r="494" ht="15.75" customHeight="1" s="60">
      <c r="A494" s="41" t="n"/>
      <c r="B494" s="41" t="n"/>
      <c r="C494" s="41" t="n"/>
    </row>
    <row r="495" ht="15.75" customHeight="1" s="60">
      <c r="A495" s="41" t="n"/>
      <c r="B495" s="41" t="n"/>
      <c r="C495" s="41" t="n"/>
    </row>
    <row r="496" ht="15.75" customHeight="1" s="60">
      <c r="A496" s="41" t="n"/>
      <c r="B496" s="41" t="n"/>
      <c r="C496" s="41" t="n"/>
    </row>
    <row r="497" ht="15.75" customHeight="1" s="60">
      <c r="A497" s="41" t="n"/>
      <c r="B497" s="41" t="n"/>
      <c r="C497" s="41" t="n"/>
    </row>
    <row r="498" ht="15.75" customHeight="1" s="60">
      <c r="A498" s="41" t="n"/>
      <c r="B498" s="41" t="n"/>
      <c r="C498" s="41" t="n"/>
    </row>
    <row r="499" ht="15.75" customHeight="1" s="60">
      <c r="A499" s="41" t="n"/>
      <c r="B499" s="41" t="n"/>
      <c r="C499" s="41" t="n"/>
    </row>
    <row r="500" ht="15.75" customHeight="1" s="60">
      <c r="A500" s="41" t="n"/>
      <c r="B500" s="41" t="n"/>
      <c r="C500" s="41" t="n"/>
    </row>
    <row r="501" ht="15.75" customHeight="1" s="60">
      <c r="A501" s="41" t="n"/>
      <c r="B501" s="41" t="n"/>
      <c r="C501" s="41" t="n"/>
    </row>
    <row r="502" ht="15.75" customHeight="1" s="60">
      <c r="A502" s="41" t="n"/>
      <c r="B502" s="41" t="n"/>
      <c r="C502" s="41" t="n"/>
    </row>
    <row r="503" ht="15.75" customHeight="1" s="60">
      <c r="A503" s="41" t="n"/>
      <c r="B503" s="41" t="n"/>
      <c r="C503" s="41" t="n"/>
    </row>
    <row r="504" ht="15.75" customHeight="1" s="60">
      <c r="A504" s="41" t="n"/>
      <c r="B504" s="41" t="n"/>
      <c r="C504" s="41" t="n"/>
    </row>
    <row r="505" ht="15.75" customHeight="1" s="60">
      <c r="A505" s="41" t="n"/>
      <c r="B505" s="41" t="n"/>
      <c r="C505" s="41" t="n"/>
    </row>
    <row r="506" ht="15.75" customHeight="1" s="60">
      <c r="A506" s="41" t="n"/>
      <c r="B506" s="41" t="n"/>
      <c r="C506" s="41" t="n"/>
    </row>
    <row r="507" ht="15.75" customHeight="1" s="60">
      <c r="A507" s="41" t="n"/>
      <c r="B507" s="41" t="n"/>
      <c r="C507" s="41" t="n"/>
    </row>
    <row r="508" ht="15.75" customHeight="1" s="60">
      <c r="A508" s="41" t="n"/>
      <c r="B508" s="41" t="n"/>
      <c r="C508" s="41" t="n"/>
    </row>
    <row r="509" ht="15.75" customHeight="1" s="60">
      <c r="A509" s="41" t="n"/>
      <c r="B509" s="41" t="n"/>
      <c r="C509" s="41" t="n"/>
    </row>
    <row r="510" ht="15.75" customHeight="1" s="60">
      <c r="A510" s="41" t="n"/>
      <c r="B510" s="41" t="n"/>
      <c r="C510" s="41" t="n"/>
    </row>
    <row r="511" ht="15.75" customHeight="1" s="60">
      <c r="A511" s="41" t="n"/>
      <c r="B511" s="41" t="n"/>
      <c r="C511" s="41" t="n"/>
    </row>
    <row r="512" ht="15.75" customHeight="1" s="60">
      <c r="A512" s="41" t="n"/>
      <c r="B512" s="41" t="n"/>
      <c r="C512" s="41" t="n"/>
    </row>
    <row r="513" ht="15.75" customHeight="1" s="60">
      <c r="A513" s="41" t="n"/>
      <c r="B513" s="41" t="n"/>
      <c r="C513" s="41" t="n"/>
    </row>
    <row r="514" ht="15.75" customHeight="1" s="60">
      <c r="A514" s="41" t="n"/>
      <c r="B514" s="41" t="n"/>
      <c r="C514" s="41" t="n"/>
    </row>
    <row r="515" ht="15.75" customHeight="1" s="60">
      <c r="A515" s="41" t="n"/>
      <c r="B515" s="41" t="n"/>
      <c r="C515" s="41" t="n"/>
    </row>
    <row r="516" ht="15.75" customHeight="1" s="60">
      <c r="A516" s="41" t="n"/>
      <c r="B516" s="41" t="n"/>
      <c r="C516" s="41" t="n"/>
    </row>
    <row r="517" ht="15.75" customHeight="1" s="60">
      <c r="A517" s="41" t="n"/>
      <c r="B517" s="41" t="n"/>
      <c r="C517" s="41" t="n"/>
    </row>
    <row r="518" ht="15.75" customHeight="1" s="60">
      <c r="A518" s="41" t="n"/>
      <c r="B518" s="41" t="n"/>
      <c r="C518" s="41" t="n"/>
    </row>
    <row r="519" ht="15.75" customHeight="1" s="60">
      <c r="A519" s="41" t="n"/>
      <c r="B519" s="41" t="n"/>
      <c r="C519" s="41" t="n"/>
    </row>
    <row r="520" ht="15.75" customHeight="1" s="60">
      <c r="A520" s="41" t="n"/>
      <c r="B520" s="41" t="n"/>
      <c r="C520" s="41" t="n"/>
    </row>
    <row r="521" ht="15.75" customHeight="1" s="60">
      <c r="A521" s="41" t="n"/>
      <c r="B521" s="41" t="n"/>
      <c r="C521" s="41" t="n"/>
    </row>
    <row r="522" ht="15.75" customHeight="1" s="60">
      <c r="A522" s="41" t="n"/>
      <c r="B522" s="41" t="n"/>
      <c r="C522" s="41" t="n"/>
    </row>
    <row r="523" ht="15.75" customHeight="1" s="60">
      <c r="A523" s="41" t="n"/>
      <c r="B523" s="41" t="n"/>
      <c r="C523" s="41" t="n"/>
    </row>
    <row r="524" ht="15.75" customHeight="1" s="60">
      <c r="A524" s="41" t="n"/>
      <c r="B524" s="41" t="n"/>
      <c r="C524" s="41" t="n"/>
    </row>
    <row r="525" ht="15.75" customHeight="1" s="60">
      <c r="A525" s="41" t="n"/>
      <c r="B525" s="41" t="n"/>
      <c r="C525" s="41" t="n"/>
    </row>
    <row r="526" ht="15.75" customHeight="1" s="60">
      <c r="A526" s="41" t="n"/>
      <c r="B526" s="41" t="n"/>
      <c r="C526" s="41" t="n"/>
    </row>
    <row r="527" ht="15.75" customHeight="1" s="60">
      <c r="A527" s="41" t="n"/>
      <c r="B527" s="41" t="n"/>
      <c r="C527" s="41" t="n"/>
    </row>
    <row r="528" ht="15.75" customHeight="1" s="60">
      <c r="A528" s="41" t="n"/>
      <c r="B528" s="41" t="n"/>
      <c r="C528" s="41" t="n"/>
    </row>
    <row r="529" ht="15.75" customHeight="1" s="60">
      <c r="A529" s="41" t="n"/>
      <c r="B529" s="41" t="n"/>
      <c r="C529" s="41" t="n"/>
    </row>
    <row r="530" ht="15.75" customHeight="1" s="60">
      <c r="A530" s="41" t="n"/>
      <c r="B530" s="41" t="n"/>
      <c r="C530" s="41" t="n"/>
    </row>
    <row r="531" ht="15.75" customHeight="1" s="60">
      <c r="A531" s="41" t="n"/>
      <c r="B531" s="41" t="n"/>
      <c r="C531" s="41" t="n"/>
    </row>
    <row r="532" ht="15.75" customHeight="1" s="60">
      <c r="A532" s="41" t="n"/>
      <c r="B532" s="41" t="n"/>
      <c r="C532" s="41" t="n"/>
    </row>
    <row r="533" ht="15.75" customHeight="1" s="60">
      <c r="A533" s="41" t="n"/>
      <c r="B533" s="41" t="n"/>
      <c r="C533" s="41" t="n"/>
    </row>
    <row r="534" ht="15.75" customHeight="1" s="60">
      <c r="A534" s="41" t="n"/>
      <c r="B534" s="41" t="n"/>
      <c r="C534" s="41" t="n"/>
    </row>
    <row r="535" ht="15.75" customHeight="1" s="60">
      <c r="A535" s="41" t="n"/>
      <c r="B535" s="41" t="n"/>
      <c r="C535" s="41" t="n"/>
    </row>
    <row r="536" ht="15.75" customHeight="1" s="60">
      <c r="A536" s="41" t="n"/>
      <c r="B536" s="41" t="n"/>
      <c r="C536" s="41" t="n"/>
    </row>
    <row r="537" ht="15.75" customHeight="1" s="60">
      <c r="A537" s="41" t="n"/>
      <c r="B537" s="41" t="n"/>
      <c r="C537" s="41" t="n"/>
    </row>
    <row r="538" ht="15.75" customHeight="1" s="60">
      <c r="A538" s="41" t="n"/>
      <c r="B538" s="41" t="n"/>
      <c r="C538" s="41" t="n"/>
    </row>
    <row r="539" ht="15.75" customHeight="1" s="60">
      <c r="A539" s="41" t="n"/>
      <c r="B539" s="41" t="n"/>
      <c r="C539" s="41" t="n"/>
    </row>
    <row r="540" ht="15.75" customHeight="1" s="60">
      <c r="A540" s="41" t="n"/>
      <c r="B540" s="41" t="n"/>
      <c r="C540" s="41" t="n"/>
    </row>
    <row r="541" ht="15.75" customHeight="1" s="60">
      <c r="A541" s="41" t="n"/>
      <c r="B541" s="41" t="n"/>
      <c r="C541" s="41" t="n"/>
    </row>
    <row r="542" ht="15.75" customHeight="1" s="60">
      <c r="A542" s="41" t="n"/>
      <c r="B542" s="41" t="n"/>
      <c r="C542" s="41" t="n"/>
    </row>
    <row r="543" ht="15.75" customHeight="1" s="60">
      <c r="A543" s="41" t="n"/>
      <c r="B543" s="41" t="n"/>
      <c r="C543" s="41" t="n"/>
    </row>
    <row r="544" ht="15.75" customHeight="1" s="60">
      <c r="A544" s="41" t="n"/>
      <c r="B544" s="41" t="n"/>
      <c r="C544" s="41" t="n"/>
    </row>
    <row r="545" ht="15.75" customHeight="1" s="60">
      <c r="A545" s="41" t="n"/>
      <c r="B545" s="41" t="n"/>
      <c r="C545" s="41" t="n"/>
    </row>
    <row r="546" ht="15.75" customHeight="1" s="60">
      <c r="A546" s="41" t="n"/>
      <c r="B546" s="41" t="n"/>
      <c r="C546" s="41" t="n"/>
    </row>
    <row r="547" ht="15.75" customHeight="1" s="60">
      <c r="A547" s="41" t="n"/>
      <c r="B547" s="41" t="n"/>
      <c r="C547" s="41" t="n"/>
    </row>
    <row r="548" ht="15.75" customHeight="1" s="60">
      <c r="A548" s="41" t="n"/>
      <c r="B548" s="41" t="n"/>
      <c r="C548" s="41" t="n"/>
    </row>
    <row r="549" ht="15.75" customHeight="1" s="60">
      <c r="A549" s="41" t="n"/>
      <c r="B549" s="41" t="n"/>
      <c r="C549" s="41" t="n"/>
    </row>
    <row r="550" ht="15.75" customHeight="1" s="60">
      <c r="A550" s="41" t="n"/>
      <c r="B550" s="41" t="n"/>
      <c r="C550" s="41" t="n"/>
    </row>
    <row r="551" ht="15.75" customHeight="1" s="60">
      <c r="A551" s="41" t="n"/>
      <c r="B551" s="41" t="n"/>
      <c r="C551" s="41" t="n"/>
    </row>
    <row r="552" ht="15.75" customHeight="1" s="60">
      <c r="A552" s="41" t="n"/>
      <c r="B552" s="41" t="n"/>
      <c r="C552" s="41" t="n"/>
    </row>
    <row r="553" ht="15.75" customHeight="1" s="60">
      <c r="A553" s="41" t="n"/>
      <c r="B553" s="41" t="n"/>
      <c r="C553" s="41" t="n"/>
    </row>
    <row r="554" ht="15.75" customHeight="1" s="60">
      <c r="A554" s="41" t="n"/>
      <c r="B554" s="41" t="n"/>
      <c r="C554" s="41" t="n"/>
    </row>
    <row r="555" ht="15.75" customHeight="1" s="60">
      <c r="A555" s="41" t="n"/>
      <c r="B555" s="41" t="n"/>
      <c r="C555" s="41" t="n"/>
    </row>
    <row r="556" ht="15.75" customHeight="1" s="60">
      <c r="A556" s="41" t="n"/>
      <c r="B556" s="41" t="n"/>
      <c r="C556" s="41" t="n"/>
    </row>
    <row r="557" ht="15.75" customHeight="1" s="60">
      <c r="A557" s="41" t="n"/>
      <c r="B557" s="41" t="n"/>
      <c r="C557" s="41" t="n"/>
    </row>
    <row r="558" ht="15.75" customHeight="1" s="60">
      <c r="A558" s="41" t="n"/>
      <c r="B558" s="41" t="n"/>
      <c r="C558" s="41" t="n"/>
    </row>
    <row r="559" ht="15.75" customHeight="1" s="60">
      <c r="A559" s="41" t="n"/>
      <c r="B559" s="41" t="n"/>
      <c r="C559" s="41" t="n"/>
    </row>
    <row r="560" ht="15.75" customHeight="1" s="60">
      <c r="A560" s="41" t="n"/>
      <c r="B560" s="41" t="n"/>
      <c r="C560" s="41" t="n"/>
    </row>
    <row r="561" ht="15.75" customHeight="1" s="60">
      <c r="A561" s="41" t="n"/>
      <c r="B561" s="41" t="n"/>
      <c r="C561" s="41" t="n"/>
    </row>
    <row r="562" ht="15.75" customHeight="1" s="60">
      <c r="A562" s="41" t="n"/>
      <c r="B562" s="41" t="n"/>
      <c r="C562" s="41" t="n"/>
    </row>
    <row r="563" ht="15.75" customHeight="1" s="60">
      <c r="A563" s="41" t="n"/>
      <c r="B563" s="41" t="n"/>
      <c r="C563" s="41" t="n"/>
    </row>
    <row r="564" ht="15.75" customHeight="1" s="60">
      <c r="A564" s="41" t="n"/>
      <c r="B564" s="41" t="n"/>
      <c r="C564" s="41" t="n"/>
    </row>
    <row r="565" ht="15.75" customHeight="1" s="60">
      <c r="A565" s="41" t="n"/>
      <c r="B565" s="41" t="n"/>
      <c r="C565" s="41" t="n"/>
    </row>
    <row r="566" ht="15.75" customHeight="1" s="60">
      <c r="A566" s="41" t="n"/>
      <c r="B566" s="41" t="n"/>
      <c r="C566" s="41" t="n"/>
    </row>
    <row r="567" ht="15.75" customHeight="1" s="60">
      <c r="A567" s="41" t="n"/>
      <c r="B567" s="41" t="n"/>
      <c r="C567" s="41" t="n"/>
    </row>
    <row r="568" ht="15.75" customHeight="1" s="60">
      <c r="A568" s="41" t="n"/>
      <c r="B568" s="41" t="n"/>
      <c r="C568" s="41" t="n"/>
    </row>
    <row r="569" ht="15.75" customHeight="1" s="60">
      <c r="A569" s="41" t="n"/>
      <c r="B569" s="41" t="n"/>
      <c r="C569" s="41" t="n"/>
    </row>
    <row r="570" ht="15.75" customHeight="1" s="60">
      <c r="A570" s="41" t="n"/>
      <c r="B570" s="41" t="n"/>
      <c r="C570" s="41" t="n"/>
    </row>
    <row r="571" ht="15.75" customHeight="1" s="60">
      <c r="A571" s="41" t="n"/>
      <c r="B571" s="41" t="n"/>
      <c r="C571" s="41" t="n"/>
    </row>
    <row r="572" ht="15.75" customHeight="1" s="60">
      <c r="A572" s="41" t="n"/>
      <c r="B572" s="41" t="n"/>
      <c r="C572" s="41" t="n"/>
    </row>
    <row r="573" ht="15.75" customHeight="1" s="60">
      <c r="A573" s="41" t="n"/>
      <c r="B573" s="41" t="n"/>
      <c r="C573" s="41" t="n"/>
    </row>
    <row r="574" ht="15.75" customHeight="1" s="60">
      <c r="A574" s="41" t="n"/>
      <c r="B574" s="41" t="n"/>
      <c r="C574" s="41" t="n"/>
    </row>
    <row r="575" ht="15.75" customHeight="1" s="60">
      <c r="A575" s="41" t="n"/>
      <c r="B575" s="41" t="n"/>
      <c r="C575" s="41" t="n"/>
    </row>
    <row r="576" ht="15.75" customHeight="1" s="60">
      <c r="A576" s="41" t="n"/>
      <c r="B576" s="41" t="n"/>
      <c r="C576" s="41" t="n"/>
    </row>
    <row r="577" ht="15.75" customHeight="1" s="60">
      <c r="A577" s="41" t="n"/>
      <c r="B577" s="41" t="n"/>
      <c r="C577" s="41" t="n"/>
    </row>
    <row r="578" ht="15.75" customHeight="1" s="60">
      <c r="A578" s="41" t="n"/>
      <c r="B578" s="41" t="n"/>
      <c r="C578" s="41" t="n"/>
    </row>
    <row r="579" ht="15.75" customHeight="1" s="60">
      <c r="A579" s="41" t="n"/>
      <c r="B579" s="41" t="n"/>
      <c r="C579" s="41" t="n"/>
    </row>
    <row r="580" ht="15.75" customHeight="1" s="60">
      <c r="A580" s="41" t="n"/>
      <c r="B580" s="41" t="n"/>
      <c r="C580" s="41" t="n"/>
    </row>
    <row r="581" ht="15.75" customHeight="1" s="60">
      <c r="A581" s="41" t="n"/>
      <c r="B581" s="41" t="n"/>
      <c r="C581" s="41" t="n"/>
    </row>
    <row r="582" ht="15.75" customHeight="1" s="60">
      <c r="A582" s="41" t="n"/>
      <c r="B582" s="41" t="n"/>
      <c r="C582" s="41" t="n"/>
    </row>
    <row r="583" ht="15.75" customHeight="1" s="60">
      <c r="A583" s="41" t="n"/>
      <c r="B583" s="41" t="n"/>
      <c r="C583" s="41" t="n"/>
    </row>
    <row r="584" ht="15.75" customHeight="1" s="60">
      <c r="A584" s="41" t="n"/>
      <c r="B584" s="41" t="n"/>
      <c r="C584" s="41" t="n"/>
    </row>
    <row r="585" ht="15.75" customHeight="1" s="60">
      <c r="A585" s="41" t="n"/>
      <c r="B585" s="41" t="n"/>
      <c r="C585" s="41" t="n"/>
    </row>
    <row r="586" ht="15.75" customHeight="1" s="60">
      <c r="A586" s="41" t="n"/>
      <c r="B586" s="41" t="n"/>
      <c r="C586" s="41" t="n"/>
    </row>
    <row r="587" ht="15.75" customHeight="1" s="60">
      <c r="A587" s="41" t="n"/>
      <c r="B587" s="41" t="n"/>
      <c r="C587" s="41" t="n"/>
    </row>
    <row r="588" ht="15.75" customHeight="1" s="60">
      <c r="A588" s="41" t="n"/>
      <c r="B588" s="41" t="n"/>
      <c r="C588" s="41" t="n"/>
    </row>
    <row r="589" ht="15.75" customHeight="1" s="60">
      <c r="A589" s="41" t="n"/>
      <c r="B589" s="41" t="n"/>
      <c r="C589" s="41" t="n"/>
    </row>
    <row r="590" ht="15.75" customHeight="1" s="60">
      <c r="A590" s="41" t="n"/>
      <c r="B590" s="41" t="n"/>
      <c r="C590" s="41" t="n"/>
    </row>
    <row r="591" ht="15.75" customHeight="1" s="60">
      <c r="A591" s="41" t="n"/>
      <c r="B591" s="41" t="n"/>
      <c r="C591" s="41" t="n"/>
    </row>
    <row r="592" ht="15.75" customHeight="1" s="60">
      <c r="A592" s="41" t="n"/>
      <c r="B592" s="41" t="n"/>
      <c r="C592" s="41" t="n"/>
    </row>
    <row r="593" ht="15.75" customHeight="1" s="60">
      <c r="A593" s="41" t="n"/>
      <c r="B593" s="41" t="n"/>
      <c r="C593" s="41" t="n"/>
    </row>
    <row r="594" ht="15.75" customHeight="1" s="60">
      <c r="A594" s="41" t="n"/>
      <c r="B594" s="41" t="n"/>
      <c r="C594" s="41" t="n"/>
    </row>
    <row r="595" ht="15.75" customHeight="1" s="60">
      <c r="A595" s="41" t="n"/>
      <c r="B595" s="41" t="n"/>
      <c r="C595" s="41" t="n"/>
    </row>
    <row r="596" ht="15.75" customHeight="1" s="60">
      <c r="A596" s="41" t="n"/>
      <c r="B596" s="41" t="n"/>
      <c r="C596" s="41" t="n"/>
    </row>
    <row r="597" ht="15.75" customHeight="1" s="60">
      <c r="A597" s="41" t="n"/>
      <c r="B597" s="41" t="n"/>
      <c r="C597" s="41" t="n"/>
    </row>
    <row r="598" ht="15.75" customHeight="1" s="60">
      <c r="A598" s="41" t="n"/>
      <c r="B598" s="41" t="n"/>
      <c r="C598" s="41" t="n"/>
    </row>
    <row r="599" ht="15.75" customHeight="1" s="60">
      <c r="A599" s="41" t="n"/>
      <c r="B599" s="41" t="n"/>
      <c r="C599" s="41" t="n"/>
    </row>
    <row r="600" ht="15.75" customHeight="1" s="60">
      <c r="A600" s="41" t="n"/>
      <c r="B600" s="41" t="n"/>
      <c r="C600" s="41" t="n"/>
    </row>
    <row r="601" ht="15.75" customHeight="1" s="60">
      <c r="A601" s="41" t="n"/>
      <c r="B601" s="41" t="n"/>
      <c r="C601" s="41" t="n"/>
    </row>
    <row r="602" ht="15.75" customHeight="1" s="60">
      <c r="A602" s="41" t="n"/>
      <c r="B602" s="41" t="n"/>
      <c r="C602" s="41" t="n"/>
    </row>
    <row r="603" ht="15.75" customHeight="1" s="60">
      <c r="A603" s="41" t="n"/>
      <c r="B603" s="41" t="n"/>
      <c r="C603" s="41" t="n"/>
    </row>
    <row r="604" ht="15.75" customHeight="1" s="60">
      <c r="A604" s="41" t="n"/>
      <c r="B604" s="41" t="n"/>
      <c r="C604" s="41" t="n"/>
    </row>
    <row r="605" ht="15.75" customHeight="1" s="60">
      <c r="A605" s="41" t="n"/>
      <c r="B605" s="41" t="n"/>
      <c r="C605" s="41" t="n"/>
    </row>
    <row r="606" ht="15.75" customHeight="1" s="60">
      <c r="A606" s="41" t="n"/>
      <c r="B606" s="41" t="n"/>
      <c r="C606" s="41" t="n"/>
    </row>
    <row r="607" ht="15.75" customHeight="1" s="60">
      <c r="A607" s="41" t="n"/>
      <c r="B607" s="41" t="n"/>
      <c r="C607" s="41" t="n"/>
    </row>
    <row r="608" ht="15.75" customHeight="1" s="60">
      <c r="A608" s="41" t="n"/>
      <c r="B608" s="41" t="n"/>
      <c r="C608" s="41" t="n"/>
    </row>
    <row r="609" ht="15.75" customHeight="1" s="60">
      <c r="A609" s="41" t="n"/>
      <c r="B609" s="41" t="n"/>
      <c r="C609" s="41" t="n"/>
    </row>
    <row r="610" ht="15.75" customHeight="1" s="60">
      <c r="A610" s="41" t="n"/>
      <c r="B610" s="41" t="n"/>
      <c r="C610" s="41" t="n"/>
    </row>
    <row r="611" ht="15.75" customHeight="1" s="60">
      <c r="A611" s="41" t="n"/>
      <c r="B611" s="41" t="n"/>
      <c r="C611" s="41" t="n"/>
    </row>
    <row r="612" ht="15.75" customHeight="1" s="60">
      <c r="A612" s="41" t="n"/>
      <c r="B612" s="41" t="n"/>
      <c r="C612" s="41" t="n"/>
    </row>
    <row r="613" ht="15.75" customHeight="1" s="60">
      <c r="A613" s="41" t="n"/>
      <c r="B613" s="41" t="n"/>
      <c r="C613" s="41" t="n"/>
    </row>
    <row r="614" ht="15.75" customHeight="1" s="60">
      <c r="A614" s="41" t="n"/>
      <c r="B614" s="41" t="n"/>
      <c r="C614" s="41" t="n"/>
    </row>
    <row r="615" ht="15.75" customHeight="1" s="60">
      <c r="A615" s="41" t="n"/>
      <c r="B615" s="41" t="n"/>
      <c r="C615" s="41" t="n"/>
    </row>
    <row r="616" ht="15.75" customHeight="1" s="60">
      <c r="A616" s="41" t="n"/>
      <c r="B616" s="41" t="n"/>
      <c r="C616" s="41" t="n"/>
    </row>
    <row r="617" ht="15.75" customHeight="1" s="60">
      <c r="A617" s="41" t="n"/>
      <c r="B617" s="41" t="n"/>
      <c r="C617" s="41" t="n"/>
    </row>
    <row r="618" ht="15.75" customHeight="1" s="60">
      <c r="A618" s="41" t="n"/>
      <c r="B618" s="41" t="n"/>
      <c r="C618" s="41" t="n"/>
    </row>
    <row r="619" ht="15.75" customHeight="1" s="60">
      <c r="A619" s="41" t="n"/>
      <c r="B619" s="41" t="n"/>
      <c r="C619" s="41" t="n"/>
    </row>
    <row r="620" ht="15.75" customHeight="1" s="60">
      <c r="A620" s="41" t="n"/>
      <c r="B620" s="41" t="n"/>
      <c r="C620" s="41" t="n"/>
    </row>
    <row r="621" ht="15.75" customHeight="1" s="60">
      <c r="A621" s="41" t="n"/>
      <c r="B621" s="41" t="n"/>
      <c r="C621" s="41" t="n"/>
    </row>
    <row r="622" ht="15.75" customHeight="1" s="60">
      <c r="A622" s="41" t="n"/>
      <c r="B622" s="41" t="n"/>
      <c r="C622" s="41" t="n"/>
    </row>
    <row r="623" ht="15.75" customHeight="1" s="60">
      <c r="A623" s="41" t="n"/>
      <c r="B623" s="41" t="n"/>
      <c r="C623" s="41" t="n"/>
    </row>
    <row r="624" ht="15.75" customHeight="1" s="60">
      <c r="A624" s="41" t="n"/>
      <c r="B624" s="41" t="n"/>
      <c r="C624" s="41" t="n"/>
    </row>
    <row r="625" ht="15.75" customHeight="1" s="60">
      <c r="A625" s="41" t="n"/>
      <c r="B625" s="41" t="n"/>
      <c r="C625" s="41" t="n"/>
    </row>
    <row r="626" ht="15.75" customHeight="1" s="60">
      <c r="A626" s="41" t="n"/>
      <c r="B626" s="41" t="n"/>
      <c r="C626" s="41" t="n"/>
    </row>
    <row r="627" ht="15.75" customHeight="1" s="60">
      <c r="A627" s="41" t="n"/>
      <c r="B627" s="41" t="n"/>
      <c r="C627" s="41" t="n"/>
    </row>
    <row r="628" ht="15.75" customHeight="1" s="60">
      <c r="A628" s="41" t="n"/>
      <c r="B628" s="41" t="n"/>
      <c r="C628" s="41" t="n"/>
    </row>
    <row r="629" ht="15.75" customHeight="1" s="60">
      <c r="A629" s="41" t="n"/>
      <c r="B629" s="41" t="n"/>
      <c r="C629" s="41" t="n"/>
    </row>
    <row r="630" ht="15.75" customHeight="1" s="60">
      <c r="A630" s="41" t="n"/>
      <c r="B630" s="41" t="n"/>
      <c r="C630" s="41" t="n"/>
    </row>
    <row r="631" ht="15.75" customHeight="1" s="60">
      <c r="A631" s="41" t="n"/>
      <c r="B631" s="41" t="n"/>
      <c r="C631" s="41" t="n"/>
    </row>
    <row r="632" ht="15.75" customHeight="1" s="60">
      <c r="A632" s="41" t="n"/>
      <c r="B632" s="41" t="n"/>
      <c r="C632" s="41" t="n"/>
    </row>
    <row r="633" ht="15.75" customHeight="1" s="60">
      <c r="A633" s="41" t="n"/>
      <c r="B633" s="41" t="n"/>
      <c r="C633" s="41" t="n"/>
    </row>
    <row r="634" ht="15.75" customHeight="1" s="60">
      <c r="A634" s="41" t="n"/>
      <c r="B634" s="41" t="n"/>
      <c r="C634" s="41" t="n"/>
    </row>
    <row r="635" ht="15.75" customHeight="1" s="60">
      <c r="A635" s="41" t="n"/>
      <c r="B635" s="41" t="n"/>
      <c r="C635" s="41" t="n"/>
    </row>
    <row r="636" ht="15.75" customHeight="1" s="60">
      <c r="A636" s="41" t="n"/>
      <c r="B636" s="41" t="n"/>
      <c r="C636" s="41" t="n"/>
    </row>
    <row r="637" ht="15.75" customHeight="1" s="60">
      <c r="A637" s="41" t="n"/>
      <c r="B637" s="41" t="n"/>
      <c r="C637" s="41" t="n"/>
    </row>
    <row r="638" ht="15.75" customHeight="1" s="60">
      <c r="A638" s="41" t="n"/>
      <c r="B638" s="41" t="n"/>
      <c r="C638" s="41" t="n"/>
    </row>
    <row r="639" ht="15.75" customHeight="1" s="60">
      <c r="A639" s="41" t="n"/>
      <c r="B639" s="41" t="n"/>
      <c r="C639" s="41" t="n"/>
    </row>
    <row r="640" ht="15.75" customHeight="1" s="60">
      <c r="A640" s="41" t="n"/>
      <c r="B640" s="41" t="n"/>
      <c r="C640" s="41" t="n"/>
    </row>
    <row r="641" ht="15.75" customHeight="1" s="60">
      <c r="A641" s="41" t="n"/>
      <c r="B641" s="41" t="n"/>
      <c r="C641" s="41" t="n"/>
    </row>
    <row r="642" ht="15.75" customHeight="1" s="60">
      <c r="A642" s="41" t="n"/>
      <c r="B642" s="41" t="n"/>
      <c r="C642" s="41" t="n"/>
    </row>
    <row r="643" ht="15.75" customHeight="1" s="60">
      <c r="A643" s="41" t="n"/>
      <c r="B643" s="41" t="n"/>
      <c r="C643" s="41" t="n"/>
    </row>
    <row r="644" ht="15.75" customHeight="1" s="60">
      <c r="A644" s="41" t="n"/>
      <c r="B644" s="41" t="n"/>
      <c r="C644" s="41" t="n"/>
    </row>
    <row r="645" ht="15.75" customHeight="1" s="60">
      <c r="A645" s="41" t="n"/>
      <c r="B645" s="41" t="n"/>
      <c r="C645" s="41" t="n"/>
    </row>
    <row r="646" ht="15.75" customHeight="1" s="60">
      <c r="A646" s="41" t="n"/>
      <c r="B646" s="41" t="n"/>
      <c r="C646" s="41" t="n"/>
    </row>
    <row r="647" ht="15.75" customHeight="1" s="60">
      <c r="A647" s="41" t="n"/>
      <c r="B647" s="41" t="n"/>
      <c r="C647" s="41" t="n"/>
    </row>
    <row r="648" ht="15.75" customHeight="1" s="60">
      <c r="A648" s="41" t="n"/>
      <c r="B648" s="41" t="n"/>
      <c r="C648" s="41" t="n"/>
    </row>
    <row r="649" ht="15.75" customHeight="1" s="60">
      <c r="A649" s="41" t="n"/>
      <c r="B649" s="41" t="n"/>
      <c r="C649" s="41" t="n"/>
    </row>
    <row r="650" ht="15.75" customHeight="1" s="60">
      <c r="A650" s="41" t="n"/>
      <c r="B650" s="41" t="n"/>
      <c r="C650" s="41" t="n"/>
    </row>
    <row r="651" ht="15.75" customHeight="1" s="60">
      <c r="A651" s="41" t="n"/>
      <c r="B651" s="41" t="n"/>
      <c r="C651" s="41" t="n"/>
    </row>
    <row r="652" ht="15.75" customHeight="1" s="60">
      <c r="A652" s="41" t="n"/>
      <c r="B652" s="41" t="n"/>
      <c r="C652" s="41" t="n"/>
    </row>
    <row r="653" ht="15.75" customHeight="1" s="60">
      <c r="A653" s="41" t="n"/>
      <c r="B653" s="41" t="n"/>
      <c r="C653" s="41" t="n"/>
    </row>
    <row r="654" ht="15.75" customHeight="1" s="60">
      <c r="A654" s="41" t="n"/>
      <c r="B654" s="41" t="n"/>
      <c r="C654" s="41" t="n"/>
    </row>
    <row r="655" ht="15.75" customHeight="1" s="60">
      <c r="A655" s="41" t="n"/>
      <c r="B655" s="41" t="n"/>
      <c r="C655" s="41" t="n"/>
    </row>
    <row r="656" ht="15.75" customHeight="1" s="60">
      <c r="A656" s="41" t="n"/>
      <c r="B656" s="41" t="n"/>
      <c r="C656" s="41" t="n"/>
    </row>
    <row r="657" ht="15.75" customHeight="1" s="60">
      <c r="A657" s="41" t="n"/>
      <c r="B657" s="41" t="n"/>
      <c r="C657" s="41" t="n"/>
    </row>
    <row r="658" ht="15.75" customHeight="1" s="60">
      <c r="A658" s="41" t="n"/>
      <c r="B658" s="41" t="n"/>
      <c r="C658" s="41" t="n"/>
    </row>
    <row r="659" ht="15.75" customHeight="1" s="60">
      <c r="A659" s="41" t="n"/>
      <c r="B659" s="41" t="n"/>
      <c r="C659" s="41" t="n"/>
    </row>
    <row r="660" ht="15.75" customHeight="1" s="60">
      <c r="A660" s="41" t="n"/>
      <c r="B660" s="41" t="n"/>
      <c r="C660" s="41" t="n"/>
    </row>
    <row r="661" ht="15.75" customHeight="1" s="60">
      <c r="A661" s="41" t="n"/>
      <c r="B661" s="41" t="n"/>
      <c r="C661" s="41" t="n"/>
    </row>
    <row r="662" ht="15.75" customHeight="1" s="60">
      <c r="A662" s="41" t="n"/>
      <c r="B662" s="41" t="n"/>
      <c r="C662" s="41" t="n"/>
    </row>
    <row r="663" ht="15.75" customHeight="1" s="60">
      <c r="A663" s="41" t="n"/>
      <c r="B663" s="41" t="n"/>
      <c r="C663" s="41" t="n"/>
    </row>
    <row r="664" ht="15.75" customHeight="1" s="60">
      <c r="A664" s="41" t="n"/>
      <c r="B664" s="41" t="n"/>
      <c r="C664" s="41" t="n"/>
    </row>
    <row r="665" ht="15.75" customHeight="1" s="60">
      <c r="A665" s="41" t="n"/>
      <c r="B665" s="41" t="n"/>
      <c r="C665" s="41" t="n"/>
    </row>
    <row r="666" ht="15.75" customHeight="1" s="60">
      <c r="A666" s="41" t="n"/>
      <c r="B666" s="41" t="n"/>
      <c r="C666" s="41" t="n"/>
    </row>
    <row r="667" ht="15.75" customHeight="1" s="60">
      <c r="A667" s="41" t="n"/>
      <c r="B667" s="41" t="n"/>
      <c r="C667" s="41" t="n"/>
    </row>
    <row r="668" ht="15.75" customHeight="1" s="60">
      <c r="A668" s="41" t="n"/>
      <c r="B668" s="41" t="n"/>
      <c r="C668" s="41" t="n"/>
    </row>
    <row r="669" ht="15.75" customHeight="1" s="60">
      <c r="A669" s="41" t="n"/>
      <c r="B669" s="41" t="n"/>
      <c r="C669" s="41" t="n"/>
    </row>
    <row r="670" ht="15.75" customHeight="1" s="60">
      <c r="A670" s="41" t="n"/>
      <c r="B670" s="41" t="n"/>
      <c r="C670" s="41" t="n"/>
    </row>
    <row r="671" ht="15.75" customHeight="1" s="60">
      <c r="A671" s="41" t="n"/>
      <c r="B671" s="41" t="n"/>
      <c r="C671" s="41" t="n"/>
    </row>
    <row r="672" ht="15.75" customHeight="1" s="60">
      <c r="A672" s="41" t="n"/>
      <c r="B672" s="41" t="n"/>
      <c r="C672" s="41" t="n"/>
    </row>
    <row r="673" ht="15.75" customHeight="1" s="60">
      <c r="A673" s="41" t="n"/>
      <c r="B673" s="41" t="n"/>
      <c r="C673" s="41" t="n"/>
    </row>
    <row r="674" ht="15.75" customHeight="1" s="60">
      <c r="A674" s="41" t="n"/>
      <c r="B674" s="41" t="n"/>
      <c r="C674" s="41" t="n"/>
    </row>
    <row r="675" ht="15.75" customHeight="1" s="60">
      <c r="A675" s="41" t="n"/>
      <c r="B675" s="41" t="n"/>
      <c r="C675" s="41" t="n"/>
    </row>
    <row r="676" ht="15.75" customHeight="1" s="60">
      <c r="A676" s="41" t="n"/>
      <c r="B676" s="41" t="n"/>
      <c r="C676" s="41" t="n"/>
    </row>
    <row r="677" ht="15.75" customHeight="1" s="60">
      <c r="A677" s="41" t="n"/>
      <c r="B677" s="41" t="n"/>
      <c r="C677" s="41" t="n"/>
    </row>
    <row r="678" ht="15.75" customHeight="1" s="60">
      <c r="A678" s="41" t="n"/>
      <c r="B678" s="41" t="n"/>
      <c r="C678" s="41" t="n"/>
    </row>
    <row r="679" ht="15.75" customHeight="1" s="60">
      <c r="A679" s="41" t="n"/>
      <c r="B679" s="41" t="n"/>
      <c r="C679" s="41" t="n"/>
    </row>
    <row r="680" ht="15.75" customHeight="1" s="60">
      <c r="A680" s="41" t="n"/>
      <c r="B680" s="41" t="n"/>
      <c r="C680" s="41" t="n"/>
    </row>
    <row r="681" ht="15.75" customHeight="1" s="60">
      <c r="A681" s="41" t="n"/>
      <c r="B681" s="41" t="n"/>
      <c r="C681" s="41" t="n"/>
    </row>
    <row r="682" ht="15.75" customHeight="1" s="60">
      <c r="A682" s="41" t="n"/>
      <c r="B682" s="41" t="n"/>
      <c r="C682" s="41" t="n"/>
    </row>
    <row r="683" ht="15.75" customHeight="1" s="60">
      <c r="A683" s="41" t="n"/>
      <c r="B683" s="41" t="n"/>
      <c r="C683" s="41" t="n"/>
    </row>
    <row r="684" ht="15.75" customHeight="1" s="60">
      <c r="A684" s="41" t="n"/>
      <c r="B684" s="41" t="n"/>
      <c r="C684" s="41" t="n"/>
    </row>
    <row r="685" ht="15.75" customHeight="1" s="60">
      <c r="A685" s="41" t="n"/>
      <c r="B685" s="41" t="n"/>
      <c r="C685" s="41" t="n"/>
    </row>
    <row r="686" ht="15.75" customHeight="1" s="60">
      <c r="A686" s="41" t="n"/>
      <c r="B686" s="41" t="n"/>
      <c r="C686" s="41" t="n"/>
    </row>
    <row r="687" ht="15.75" customHeight="1" s="60">
      <c r="A687" s="41" t="n"/>
      <c r="B687" s="41" t="n"/>
      <c r="C687" s="41" t="n"/>
    </row>
    <row r="688" ht="15.75" customHeight="1" s="60">
      <c r="A688" s="41" t="n"/>
      <c r="B688" s="41" t="n"/>
      <c r="C688" s="41" t="n"/>
    </row>
    <row r="689" ht="15.75" customHeight="1" s="60">
      <c r="A689" s="41" t="n"/>
      <c r="B689" s="41" t="n"/>
      <c r="C689" s="41" t="n"/>
    </row>
    <row r="690" ht="15.75" customHeight="1" s="60">
      <c r="A690" s="41" t="n"/>
      <c r="B690" s="41" t="n"/>
      <c r="C690" s="41" t="n"/>
    </row>
    <row r="691" ht="15.75" customHeight="1" s="60">
      <c r="A691" s="41" t="n"/>
      <c r="B691" s="41" t="n"/>
      <c r="C691" s="41" t="n"/>
    </row>
    <row r="692" ht="15.75" customHeight="1" s="60">
      <c r="A692" s="41" t="n"/>
      <c r="B692" s="41" t="n"/>
      <c r="C692" s="41" t="n"/>
    </row>
    <row r="693" ht="15.75" customHeight="1" s="60">
      <c r="A693" s="41" t="n"/>
      <c r="B693" s="41" t="n"/>
      <c r="C693" s="41" t="n"/>
    </row>
    <row r="694" ht="15.75" customHeight="1" s="60">
      <c r="A694" s="41" t="n"/>
      <c r="B694" s="41" t="n"/>
      <c r="C694" s="41" t="n"/>
    </row>
    <row r="695" ht="15.75" customHeight="1" s="60">
      <c r="A695" s="41" t="n"/>
      <c r="B695" s="41" t="n"/>
      <c r="C695" s="41" t="n"/>
    </row>
    <row r="696" ht="15.75" customHeight="1" s="60">
      <c r="A696" s="41" t="n"/>
      <c r="B696" s="41" t="n"/>
      <c r="C696" s="41" t="n"/>
    </row>
    <row r="697" ht="15.75" customHeight="1" s="60">
      <c r="A697" s="41" t="n"/>
      <c r="B697" s="41" t="n"/>
      <c r="C697" s="41" t="n"/>
    </row>
    <row r="698" ht="15.75" customHeight="1" s="60">
      <c r="A698" s="41" t="n"/>
      <c r="B698" s="41" t="n"/>
      <c r="C698" s="41" t="n"/>
    </row>
    <row r="699" ht="15.75" customHeight="1" s="60">
      <c r="A699" s="41" t="n"/>
      <c r="B699" s="41" t="n"/>
      <c r="C699" s="41" t="n"/>
    </row>
    <row r="700" ht="15.75" customHeight="1" s="60">
      <c r="A700" s="41" t="n"/>
      <c r="B700" s="41" t="n"/>
      <c r="C700" s="41" t="n"/>
    </row>
    <row r="701" ht="15.75" customHeight="1" s="60">
      <c r="A701" s="41" t="n"/>
      <c r="B701" s="41" t="n"/>
      <c r="C701" s="41" t="n"/>
    </row>
    <row r="702" ht="15.75" customHeight="1" s="60">
      <c r="A702" s="41" t="n"/>
      <c r="B702" s="41" t="n"/>
      <c r="C702" s="41" t="n"/>
    </row>
    <row r="703" ht="15.75" customHeight="1" s="60">
      <c r="A703" s="41" t="n"/>
      <c r="B703" s="41" t="n"/>
      <c r="C703" s="41" t="n"/>
    </row>
    <row r="704" ht="15.75" customHeight="1" s="60">
      <c r="A704" s="41" t="n"/>
      <c r="B704" s="41" t="n"/>
      <c r="C704" s="41" t="n"/>
    </row>
    <row r="705" ht="15.75" customHeight="1" s="60">
      <c r="A705" s="41" t="n"/>
      <c r="B705" s="41" t="n"/>
      <c r="C705" s="41" t="n"/>
    </row>
    <row r="706" ht="15.75" customHeight="1" s="60">
      <c r="A706" s="41" t="n"/>
      <c r="B706" s="41" t="n"/>
      <c r="C706" s="41" t="n"/>
    </row>
    <row r="707" ht="15.75" customHeight="1" s="60">
      <c r="A707" s="41" t="n"/>
      <c r="B707" s="41" t="n"/>
      <c r="C707" s="41" t="n"/>
    </row>
    <row r="708" ht="15.75" customHeight="1" s="60">
      <c r="A708" s="41" t="n"/>
      <c r="B708" s="41" t="n"/>
      <c r="C708" s="41" t="n"/>
    </row>
    <row r="709" ht="15.75" customHeight="1" s="60">
      <c r="A709" s="41" t="n"/>
      <c r="B709" s="41" t="n"/>
      <c r="C709" s="41" t="n"/>
    </row>
    <row r="710" ht="15.75" customHeight="1" s="60">
      <c r="A710" s="41" t="n"/>
      <c r="B710" s="41" t="n"/>
      <c r="C710" s="41" t="n"/>
    </row>
    <row r="711" ht="15.75" customHeight="1" s="60">
      <c r="A711" s="41" t="n"/>
      <c r="B711" s="41" t="n"/>
      <c r="C711" s="41" t="n"/>
    </row>
    <row r="712" ht="15.75" customHeight="1" s="60">
      <c r="A712" s="41" t="n"/>
      <c r="B712" s="41" t="n"/>
      <c r="C712" s="41" t="n"/>
    </row>
    <row r="713" ht="15.75" customHeight="1" s="60">
      <c r="A713" s="41" t="n"/>
      <c r="B713" s="41" t="n"/>
      <c r="C713" s="41" t="n"/>
    </row>
    <row r="714" ht="15.75" customHeight="1" s="60">
      <c r="A714" s="41" t="n"/>
      <c r="B714" s="41" t="n"/>
      <c r="C714" s="41" t="n"/>
    </row>
    <row r="715" ht="15.75" customHeight="1" s="60">
      <c r="A715" s="41" t="n"/>
      <c r="B715" s="41" t="n"/>
      <c r="C715" s="41" t="n"/>
    </row>
    <row r="716" ht="15.75" customHeight="1" s="60">
      <c r="A716" s="41" t="n"/>
      <c r="B716" s="41" t="n"/>
      <c r="C716" s="41" t="n"/>
    </row>
    <row r="717" ht="15.75" customHeight="1" s="60">
      <c r="A717" s="41" t="n"/>
      <c r="B717" s="41" t="n"/>
      <c r="C717" s="41" t="n"/>
    </row>
    <row r="718" ht="15.75" customHeight="1" s="60">
      <c r="A718" s="41" t="n"/>
      <c r="B718" s="41" t="n"/>
      <c r="C718" s="41" t="n"/>
    </row>
    <row r="719" ht="15.75" customHeight="1" s="60">
      <c r="A719" s="41" t="n"/>
      <c r="B719" s="41" t="n"/>
      <c r="C719" s="41" t="n"/>
    </row>
    <row r="720" ht="15.75" customHeight="1" s="60">
      <c r="A720" s="41" t="n"/>
      <c r="B720" s="41" t="n"/>
      <c r="C720" s="41" t="n"/>
    </row>
    <row r="721" ht="15.75" customHeight="1" s="60">
      <c r="A721" s="41" t="n"/>
      <c r="B721" s="41" t="n"/>
      <c r="C721" s="41" t="n"/>
    </row>
    <row r="722" ht="15.75" customHeight="1" s="60">
      <c r="A722" s="41" t="n"/>
      <c r="B722" s="41" t="n"/>
      <c r="C722" s="41" t="n"/>
    </row>
    <row r="723" ht="15.75" customHeight="1" s="60">
      <c r="A723" s="41" t="n"/>
      <c r="B723" s="41" t="n"/>
      <c r="C723" s="41" t="n"/>
    </row>
    <row r="724" ht="15.75" customHeight="1" s="60">
      <c r="A724" s="41" t="n"/>
      <c r="B724" s="41" t="n"/>
      <c r="C724" s="41" t="n"/>
    </row>
    <row r="725" ht="15.75" customHeight="1" s="60">
      <c r="A725" s="41" t="n"/>
      <c r="B725" s="41" t="n"/>
      <c r="C725" s="41" t="n"/>
    </row>
    <row r="726" ht="15.75" customHeight="1" s="60">
      <c r="A726" s="41" t="n"/>
      <c r="B726" s="41" t="n"/>
      <c r="C726" s="41" t="n"/>
    </row>
    <row r="727" ht="15.75" customHeight="1" s="60">
      <c r="A727" s="41" t="n"/>
      <c r="B727" s="41" t="n"/>
      <c r="C727" s="41" t="n"/>
    </row>
    <row r="728" ht="15.75" customHeight="1" s="60">
      <c r="A728" s="41" t="n"/>
      <c r="B728" s="41" t="n"/>
      <c r="C728" s="41" t="n"/>
    </row>
    <row r="729" ht="15.75" customHeight="1" s="60">
      <c r="A729" s="41" t="n"/>
      <c r="B729" s="41" t="n"/>
      <c r="C729" s="41" t="n"/>
    </row>
    <row r="730" ht="15.75" customHeight="1" s="60">
      <c r="A730" s="41" t="n"/>
      <c r="B730" s="41" t="n"/>
      <c r="C730" s="41" t="n"/>
    </row>
    <row r="731" ht="15.75" customHeight="1" s="60">
      <c r="A731" s="41" t="n"/>
      <c r="B731" s="41" t="n"/>
      <c r="C731" s="41" t="n"/>
    </row>
    <row r="732" ht="15.75" customHeight="1" s="60">
      <c r="A732" s="41" t="n"/>
      <c r="B732" s="41" t="n"/>
      <c r="C732" s="41" t="n"/>
    </row>
    <row r="733" ht="15.75" customHeight="1" s="60">
      <c r="A733" s="41" t="n"/>
      <c r="B733" s="41" t="n"/>
      <c r="C733" s="41" t="n"/>
    </row>
    <row r="734" ht="15.75" customHeight="1" s="60">
      <c r="A734" s="41" t="n"/>
      <c r="B734" s="41" t="n"/>
      <c r="C734" s="41" t="n"/>
    </row>
    <row r="735" ht="15.75" customHeight="1" s="60">
      <c r="A735" s="41" t="n"/>
      <c r="B735" s="41" t="n"/>
      <c r="C735" s="41" t="n"/>
    </row>
    <row r="736" ht="15.75" customHeight="1" s="60">
      <c r="A736" s="41" t="n"/>
      <c r="B736" s="41" t="n"/>
      <c r="C736" s="41" t="n"/>
    </row>
    <row r="737" ht="15.75" customHeight="1" s="60">
      <c r="A737" s="41" t="n"/>
      <c r="B737" s="41" t="n"/>
      <c r="C737" s="41" t="n"/>
    </row>
    <row r="738" ht="15.75" customHeight="1" s="60">
      <c r="A738" s="41" t="n"/>
      <c r="B738" s="41" t="n"/>
      <c r="C738" s="41" t="n"/>
    </row>
    <row r="739" ht="15.75" customHeight="1" s="60">
      <c r="A739" s="41" t="n"/>
      <c r="B739" s="41" t="n"/>
      <c r="C739" s="41" t="n"/>
    </row>
    <row r="740" ht="15.75" customHeight="1" s="60">
      <c r="A740" s="41" t="n"/>
      <c r="B740" s="41" t="n"/>
      <c r="C740" s="41" t="n"/>
    </row>
    <row r="741" ht="15.75" customHeight="1" s="60">
      <c r="A741" s="41" t="n"/>
      <c r="B741" s="41" t="n"/>
      <c r="C741" s="41" t="n"/>
    </row>
    <row r="742" ht="15.75" customHeight="1" s="60">
      <c r="A742" s="41" t="n"/>
      <c r="B742" s="41" t="n"/>
      <c r="C742" s="41" t="n"/>
    </row>
    <row r="743" ht="15.75" customHeight="1" s="60">
      <c r="A743" s="41" t="n"/>
      <c r="B743" s="41" t="n"/>
      <c r="C743" s="41" t="n"/>
    </row>
    <row r="744" ht="15.75" customHeight="1" s="60">
      <c r="A744" s="41" t="n"/>
      <c r="B744" s="41" t="n"/>
      <c r="C744" s="41" t="n"/>
    </row>
    <row r="745" ht="15.75" customHeight="1" s="60">
      <c r="A745" s="41" t="n"/>
      <c r="B745" s="41" t="n"/>
      <c r="C745" s="41" t="n"/>
    </row>
    <row r="746" ht="15.75" customHeight="1" s="60">
      <c r="A746" s="41" t="n"/>
      <c r="B746" s="41" t="n"/>
      <c r="C746" s="41" t="n"/>
    </row>
    <row r="747" ht="15.75" customHeight="1" s="60">
      <c r="A747" s="41" t="n"/>
      <c r="B747" s="41" t="n"/>
      <c r="C747" s="41" t="n"/>
    </row>
    <row r="748" ht="15.75" customHeight="1" s="60">
      <c r="A748" s="41" t="n"/>
      <c r="B748" s="41" t="n"/>
      <c r="C748" s="41" t="n"/>
    </row>
    <row r="749" ht="15.75" customHeight="1" s="60">
      <c r="A749" s="41" t="n"/>
      <c r="B749" s="41" t="n"/>
      <c r="C749" s="41" t="n"/>
    </row>
    <row r="750" ht="15.75" customHeight="1" s="60">
      <c r="A750" s="41" t="n"/>
      <c r="B750" s="41" t="n"/>
      <c r="C750" s="41" t="n"/>
    </row>
    <row r="751" ht="15.75" customHeight="1" s="60">
      <c r="A751" s="41" t="n"/>
      <c r="B751" s="41" t="n"/>
      <c r="C751" s="41" t="n"/>
    </row>
    <row r="752" ht="15.75" customHeight="1" s="60">
      <c r="A752" s="41" t="n"/>
      <c r="B752" s="41" t="n"/>
      <c r="C752" s="41" t="n"/>
    </row>
    <row r="753" ht="15.75" customHeight="1" s="60">
      <c r="A753" s="41" t="n"/>
      <c r="B753" s="41" t="n"/>
      <c r="C753" s="41" t="n"/>
    </row>
    <row r="754" ht="15.75" customHeight="1" s="60">
      <c r="A754" s="41" t="n"/>
      <c r="B754" s="41" t="n"/>
      <c r="C754" s="41" t="n"/>
    </row>
    <row r="755" ht="15.75" customHeight="1" s="60">
      <c r="A755" s="41" t="n"/>
      <c r="B755" s="41" t="n"/>
      <c r="C755" s="41" t="n"/>
    </row>
    <row r="756" ht="15.75" customHeight="1" s="60">
      <c r="A756" s="41" t="n"/>
      <c r="B756" s="41" t="n"/>
      <c r="C756" s="41" t="n"/>
    </row>
    <row r="757" ht="15.75" customHeight="1" s="60">
      <c r="A757" s="41" t="n"/>
      <c r="B757" s="41" t="n"/>
      <c r="C757" s="41" t="n"/>
    </row>
    <row r="758" ht="15.75" customHeight="1" s="60">
      <c r="A758" s="41" t="n"/>
      <c r="B758" s="41" t="n"/>
      <c r="C758" s="41" t="n"/>
    </row>
    <row r="759" ht="15.75" customHeight="1" s="60">
      <c r="A759" s="41" t="n"/>
      <c r="B759" s="41" t="n"/>
      <c r="C759" s="41" t="n"/>
    </row>
    <row r="760" ht="15.75" customHeight="1" s="60">
      <c r="A760" s="41" t="n"/>
      <c r="B760" s="41" t="n"/>
      <c r="C760" s="41" t="n"/>
    </row>
    <row r="761" ht="15.75" customHeight="1" s="60">
      <c r="A761" s="41" t="n"/>
      <c r="B761" s="41" t="n"/>
      <c r="C761" s="41" t="n"/>
    </row>
    <row r="762" ht="15.75" customHeight="1" s="60">
      <c r="A762" s="41" t="n"/>
      <c r="B762" s="41" t="n"/>
      <c r="C762" s="41" t="n"/>
    </row>
    <row r="763" ht="15.75" customHeight="1" s="60">
      <c r="A763" s="41" t="n"/>
      <c r="B763" s="41" t="n"/>
      <c r="C763" s="41" t="n"/>
    </row>
    <row r="764" ht="15.75" customHeight="1" s="60">
      <c r="A764" s="41" t="n"/>
      <c r="B764" s="41" t="n"/>
      <c r="C764" s="41" t="n"/>
    </row>
    <row r="765" ht="15.75" customHeight="1" s="60">
      <c r="A765" s="41" t="n"/>
      <c r="B765" s="41" t="n"/>
      <c r="C765" s="41" t="n"/>
    </row>
    <row r="766" ht="15.75" customHeight="1" s="60">
      <c r="A766" s="41" t="n"/>
      <c r="B766" s="41" t="n"/>
      <c r="C766" s="41" t="n"/>
    </row>
    <row r="767" ht="15.75" customHeight="1" s="60">
      <c r="A767" s="41" t="n"/>
      <c r="B767" s="41" t="n"/>
      <c r="C767" s="41" t="n"/>
    </row>
    <row r="768" ht="15.75" customHeight="1" s="60">
      <c r="A768" s="41" t="n"/>
      <c r="B768" s="41" t="n"/>
      <c r="C768" s="41" t="n"/>
    </row>
    <row r="769" ht="15.75" customHeight="1" s="60">
      <c r="A769" s="41" t="n"/>
      <c r="B769" s="41" t="n"/>
      <c r="C769" s="41" t="n"/>
    </row>
    <row r="770" ht="15.75" customHeight="1" s="60">
      <c r="A770" s="41" t="n"/>
      <c r="B770" s="41" t="n"/>
      <c r="C770" s="41" t="n"/>
    </row>
    <row r="771" ht="15.75" customHeight="1" s="60">
      <c r="A771" s="41" t="n"/>
      <c r="B771" s="41" t="n"/>
      <c r="C771" s="41" t="n"/>
    </row>
    <row r="772" ht="15.75" customHeight="1" s="60">
      <c r="A772" s="41" t="n"/>
      <c r="B772" s="41" t="n"/>
      <c r="C772" s="41" t="n"/>
    </row>
    <row r="773" ht="15.75" customHeight="1" s="60">
      <c r="A773" s="41" t="n"/>
      <c r="B773" s="41" t="n"/>
      <c r="C773" s="41" t="n"/>
    </row>
    <row r="774" ht="15.75" customHeight="1" s="60">
      <c r="A774" s="41" t="n"/>
      <c r="B774" s="41" t="n"/>
      <c r="C774" s="41" t="n"/>
    </row>
    <row r="775" ht="15.75" customHeight="1" s="60">
      <c r="A775" s="41" t="n"/>
      <c r="B775" s="41" t="n"/>
      <c r="C775" s="41" t="n"/>
    </row>
    <row r="776" ht="15.75" customHeight="1" s="60">
      <c r="A776" s="41" t="n"/>
      <c r="B776" s="41" t="n"/>
      <c r="C776" s="41" t="n"/>
    </row>
    <row r="777" ht="15.75" customHeight="1" s="60">
      <c r="A777" s="41" t="n"/>
      <c r="B777" s="41" t="n"/>
      <c r="C777" s="41" t="n"/>
    </row>
    <row r="778" ht="15.75" customHeight="1" s="60">
      <c r="A778" s="41" t="n"/>
      <c r="B778" s="41" t="n"/>
      <c r="C778" s="41" t="n"/>
    </row>
    <row r="779" ht="15.75" customHeight="1" s="60">
      <c r="A779" s="41" t="n"/>
      <c r="B779" s="41" t="n"/>
      <c r="C779" s="41" t="n"/>
    </row>
    <row r="780" ht="15.75" customHeight="1" s="60">
      <c r="A780" s="41" t="n"/>
      <c r="B780" s="41" t="n"/>
      <c r="C780" s="41" t="n"/>
    </row>
    <row r="781" ht="15.75" customHeight="1" s="60">
      <c r="A781" s="41" t="n"/>
      <c r="B781" s="41" t="n"/>
      <c r="C781" s="41" t="n"/>
    </row>
    <row r="782" ht="15.75" customHeight="1" s="60">
      <c r="A782" s="41" t="n"/>
      <c r="B782" s="41" t="n"/>
      <c r="C782" s="41" t="n"/>
    </row>
    <row r="783" ht="15.75" customHeight="1" s="60">
      <c r="A783" s="41" t="n"/>
      <c r="B783" s="41" t="n"/>
      <c r="C783" s="41" t="n"/>
    </row>
    <row r="784" ht="15.75" customHeight="1" s="60">
      <c r="A784" s="41" t="n"/>
      <c r="B784" s="41" t="n"/>
      <c r="C784" s="41" t="n"/>
    </row>
    <row r="785" ht="15.75" customHeight="1" s="60">
      <c r="A785" s="41" t="n"/>
      <c r="B785" s="41" t="n"/>
      <c r="C785" s="41" t="n"/>
    </row>
    <row r="786" ht="15.75" customHeight="1" s="60">
      <c r="A786" s="41" t="n"/>
      <c r="B786" s="41" t="n"/>
      <c r="C786" s="41" t="n"/>
    </row>
    <row r="787" ht="15.75" customHeight="1" s="60">
      <c r="A787" s="41" t="n"/>
      <c r="B787" s="41" t="n"/>
      <c r="C787" s="41" t="n"/>
    </row>
    <row r="788" ht="15.75" customHeight="1" s="60">
      <c r="A788" s="41" t="n"/>
      <c r="B788" s="41" t="n"/>
      <c r="C788" s="41" t="n"/>
    </row>
    <row r="789" ht="15.75" customHeight="1" s="60">
      <c r="A789" s="41" t="n"/>
      <c r="B789" s="41" t="n"/>
      <c r="C789" s="41" t="n"/>
    </row>
    <row r="790" ht="15.75" customHeight="1" s="60">
      <c r="A790" s="41" t="n"/>
      <c r="B790" s="41" t="n"/>
      <c r="C790" s="41" t="n"/>
    </row>
    <row r="791" ht="15.75" customHeight="1" s="60">
      <c r="A791" s="41" t="n"/>
      <c r="B791" s="41" t="n"/>
      <c r="C791" s="41" t="n"/>
    </row>
    <row r="792" ht="15.75" customHeight="1" s="60">
      <c r="A792" s="41" t="n"/>
      <c r="B792" s="41" t="n"/>
      <c r="C792" s="41" t="n"/>
    </row>
    <row r="793" ht="15.75" customHeight="1" s="60">
      <c r="A793" s="41" t="n"/>
      <c r="B793" s="41" t="n"/>
      <c r="C793" s="41" t="n"/>
    </row>
    <row r="794" ht="15.75" customHeight="1" s="60">
      <c r="A794" s="41" t="n"/>
      <c r="B794" s="41" t="n"/>
      <c r="C794" s="41" t="n"/>
    </row>
    <row r="795" ht="15.75" customHeight="1" s="60">
      <c r="A795" s="41" t="n"/>
      <c r="B795" s="41" t="n"/>
      <c r="C795" s="41" t="n"/>
    </row>
    <row r="796" ht="15.75" customHeight="1" s="60">
      <c r="A796" s="41" t="n"/>
      <c r="B796" s="41" t="n"/>
      <c r="C796" s="41" t="n"/>
    </row>
    <row r="797" ht="15.75" customHeight="1" s="60">
      <c r="A797" s="41" t="n"/>
      <c r="B797" s="41" t="n"/>
      <c r="C797" s="41" t="n"/>
    </row>
    <row r="798" ht="15.75" customHeight="1" s="60">
      <c r="A798" s="41" t="n"/>
      <c r="B798" s="41" t="n"/>
      <c r="C798" s="41" t="n"/>
    </row>
    <row r="799" ht="15.75" customHeight="1" s="60">
      <c r="A799" s="41" t="n"/>
      <c r="B799" s="41" t="n"/>
      <c r="C799" s="41" t="n"/>
    </row>
    <row r="800" ht="15.75" customHeight="1" s="60">
      <c r="A800" s="41" t="n"/>
      <c r="B800" s="41" t="n"/>
      <c r="C800" s="41" t="n"/>
    </row>
    <row r="801" ht="15.75" customHeight="1" s="60">
      <c r="A801" s="41" t="n"/>
      <c r="B801" s="41" t="n"/>
      <c r="C801" s="41" t="n"/>
    </row>
    <row r="802" ht="15.75" customHeight="1" s="60">
      <c r="A802" s="41" t="n"/>
      <c r="B802" s="41" t="n"/>
      <c r="C802" s="41" t="n"/>
    </row>
    <row r="803" ht="15.75" customHeight="1" s="60">
      <c r="A803" s="41" t="n"/>
      <c r="B803" s="41" t="n"/>
      <c r="C803" s="41" t="n"/>
    </row>
    <row r="804" ht="15.75" customHeight="1" s="60">
      <c r="A804" s="41" t="n"/>
      <c r="B804" s="41" t="n"/>
      <c r="C804" s="41" t="n"/>
    </row>
    <row r="805" ht="15.75" customHeight="1" s="60">
      <c r="A805" s="41" t="n"/>
      <c r="B805" s="41" t="n"/>
      <c r="C805" s="41" t="n"/>
    </row>
    <row r="806" ht="15.75" customHeight="1" s="60">
      <c r="A806" s="41" t="n"/>
      <c r="B806" s="41" t="n"/>
      <c r="C806" s="41" t="n"/>
    </row>
    <row r="807" ht="15.75" customHeight="1" s="60">
      <c r="A807" s="41" t="n"/>
      <c r="B807" s="41" t="n"/>
      <c r="C807" s="41" t="n"/>
    </row>
    <row r="808" ht="15.75" customHeight="1" s="60">
      <c r="A808" s="41" t="n"/>
      <c r="B808" s="41" t="n"/>
      <c r="C808" s="41" t="n"/>
    </row>
    <row r="809" ht="15.75" customHeight="1" s="60">
      <c r="A809" s="41" t="n"/>
      <c r="B809" s="41" t="n"/>
      <c r="C809" s="41" t="n"/>
    </row>
    <row r="810" ht="15.75" customHeight="1" s="60">
      <c r="A810" s="41" t="n"/>
      <c r="B810" s="41" t="n"/>
      <c r="C810" s="41" t="n"/>
    </row>
    <row r="811" ht="15.75" customHeight="1" s="60">
      <c r="A811" s="41" t="n"/>
      <c r="B811" s="41" t="n"/>
      <c r="C811" s="41" t="n"/>
    </row>
    <row r="812" ht="15.75" customHeight="1" s="60">
      <c r="A812" s="41" t="n"/>
      <c r="B812" s="41" t="n"/>
      <c r="C812" s="41" t="n"/>
    </row>
    <row r="813" ht="15.75" customHeight="1" s="60">
      <c r="A813" s="41" t="n"/>
      <c r="B813" s="41" t="n"/>
      <c r="C813" s="41" t="n"/>
    </row>
    <row r="814" ht="15.75" customHeight="1" s="60">
      <c r="A814" s="41" t="n"/>
      <c r="B814" s="41" t="n"/>
      <c r="C814" s="41" t="n"/>
    </row>
    <row r="815" ht="15.75" customHeight="1" s="60">
      <c r="A815" s="41" t="n"/>
      <c r="B815" s="41" t="n"/>
      <c r="C815" s="41" t="n"/>
    </row>
    <row r="816" ht="15.75" customHeight="1" s="60">
      <c r="A816" s="41" t="n"/>
      <c r="B816" s="41" t="n"/>
      <c r="C816" s="41" t="n"/>
    </row>
    <row r="817" ht="15.75" customHeight="1" s="60">
      <c r="A817" s="41" t="n"/>
      <c r="B817" s="41" t="n"/>
      <c r="C817" s="41" t="n"/>
    </row>
    <row r="818" ht="15.75" customHeight="1" s="60">
      <c r="A818" s="41" t="n"/>
      <c r="B818" s="41" t="n"/>
      <c r="C818" s="41" t="n"/>
    </row>
    <row r="819" ht="15.75" customHeight="1" s="60">
      <c r="A819" s="41" t="n"/>
      <c r="B819" s="41" t="n"/>
      <c r="C819" s="41" t="n"/>
    </row>
    <row r="820" ht="15.75" customHeight="1" s="60">
      <c r="A820" s="41" t="n"/>
      <c r="B820" s="41" t="n"/>
      <c r="C820" s="41" t="n"/>
    </row>
    <row r="821" ht="15.75" customHeight="1" s="60">
      <c r="A821" s="41" t="n"/>
      <c r="B821" s="41" t="n"/>
      <c r="C821" s="41" t="n"/>
    </row>
    <row r="822" ht="15.75" customHeight="1" s="60">
      <c r="A822" s="41" t="n"/>
      <c r="B822" s="41" t="n"/>
      <c r="C822" s="41" t="n"/>
    </row>
    <row r="823" ht="15.75" customHeight="1" s="60">
      <c r="A823" s="41" t="n"/>
      <c r="B823" s="41" t="n"/>
      <c r="C823" s="41" t="n"/>
    </row>
    <row r="824" ht="15.75" customHeight="1" s="60">
      <c r="A824" s="41" t="n"/>
      <c r="B824" s="41" t="n"/>
      <c r="C824" s="41" t="n"/>
    </row>
    <row r="825" ht="15.75" customHeight="1" s="60">
      <c r="A825" s="41" t="n"/>
      <c r="B825" s="41" t="n"/>
      <c r="C825" s="41" t="n"/>
    </row>
    <row r="826" ht="15.75" customHeight="1" s="60">
      <c r="A826" s="41" t="n"/>
      <c r="B826" s="41" t="n"/>
      <c r="C826" s="41" t="n"/>
    </row>
    <row r="827" ht="15.75" customHeight="1" s="60">
      <c r="A827" s="41" t="n"/>
      <c r="B827" s="41" t="n"/>
      <c r="C827" s="41" t="n"/>
    </row>
    <row r="828" ht="15.75" customHeight="1" s="60">
      <c r="A828" s="41" t="n"/>
      <c r="B828" s="41" t="n"/>
      <c r="C828" s="41" t="n"/>
    </row>
    <row r="829" ht="15.75" customHeight="1" s="60">
      <c r="A829" s="41" t="n"/>
      <c r="B829" s="41" t="n"/>
      <c r="C829" s="41" t="n"/>
    </row>
    <row r="830" ht="15.75" customHeight="1" s="60">
      <c r="A830" s="41" t="n"/>
      <c r="B830" s="41" t="n"/>
      <c r="C830" s="41" t="n"/>
    </row>
    <row r="831" ht="15.75" customHeight="1" s="60">
      <c r="A831" s="41" t="n"/>
      <c r="B831" s="41" t="n"/>
      <c r="C831" s="41" t="n"/>
    </row>
    <row r="832" ht="15.75" customHeight="1" s="60">
      <c r="A832" s="41" t="n"/>
      <c r="B832" s="41" t="n"/>
      <c r="C832" s="41" t="n"/>
    </row>
    <row r="833" ht="15.75" customHeight="1" s="60">
      <c r="A833" s="41" t="n"/>
      <c r="B833" s="41" t="n"/>
      <c r="C833" s="41" t="n"/>
    </row>
    <row r="834" ht="15.75" customHeight="1" s="60">
      <c r="A834" s="41" t="n"/>
      <c r="B834" s="41" t="n"/>
      <c r="C834" s="41" t="n"/>
    </row>
    <row r="835" ht="15.75" customHeight="1" s="60">
      <c r="A835" s="41" t="n"/>
      <c r="B835" s="41" t="n"/>
      <c r="C835" s="41" t="n"/>
    </row>
    <row r="836" ht="15.75" customHeight="1" s="60">
      <c r="A836" s="41" t="n"/>
      <c r="B836" s="41" t="n"/>
      <c r="C836" s="41" t="n"/>
    </row>
    <row r="837" ht="15.75" customHeight="1" s="60">
      <c r="A837" s="41" t="n"/>
      <c r="B837" s="41" t="n"/>
      <c r="C837" s="41" t="n"/>
    </row>
    <row r="838" ht="15.75" customHeight="1" s="60">
      <c r="A838" s="41" t="n"/>
      <c r="B838" s="41" t="n"/>
      <c r="C838" s="41" t="n"/>
    </row>
    <row r="839" ht="15.75" customHeight="1" s="60">
      <c r="A839" s="41" t="n"/>
      <c r="B839" s="41" t="n"/>
      <c r="C839" s="41" t="n"/>
    </row>
    <row r="840" ht="15.75" customHeight="1" s="60">
      <c r="A840" s="41" t="n"/>
      <c r="B840" s="41" t="n"/>
      <c r="C840" s="41" t="n"/>
    </row>
    <row r="841" ht="15.75" customHeight="1" s="60">
      <c r="A841" s="41" t="n"/>
      <c r="B841" s="41" t="n"/>
      <c r="C841" s="41" t="n"/>
    </row>
    <row r="842" ht="15.75" customHeight="1" s="60">
      <c r="A842" s="41" t="n"/>
      <c r="B842" s="41" t="n"/>
      <c r="C842" s="41" t="n"/>
    </row>
    <row r="843" ht="15.75" customHeight="1" s="60">
      <c r="A843" s="41" t="n"/>
      <c r="B843" s="41" t="n"/>
      <c r="C843" s="41" t="n"/>
    </row>
    <row r="844" ht="15.75" customHeight="1" s="60">
      <c r="A844" s="41" t="n"/>
      <c r="B844" s="41" t="n"/>
      <c r="C844" s="41" t="n"/>
    </row>
    <row r="845" ht="15.75" customHeight="1" s="60">
      <c r="A845" s="41" t="n"/>
      <c r="B845" s="41" t="n"/>
      <c r="C845" s="41" t="n"/>
    </row>
    <row r="846" ht="15.75" customHeight="1" s="60">
      <c r="A846" s="41" t="n"/>
      <c r="B846" s="41" t="n"/>
      <c r="C846" s="41" t="n"/>
    </row>
    <row r="847" ht="15.75" customHeight="1" s="60">
      <c r="A847" s="41" t="n"/>
      <c r="B847" s="41" t="n"/>
      <c r="C847" s="41" t="n"/>
    </row>
    <row r="848" ht="15.75" customHeight="1" s="60">
      <c r="A848" s="41" t="n"/>
      <c r="B848" s="41" t="n"/>
      <c r="C848" s="41" t="n"/>
    </row>
    <row r="849" ht="15.75" customHeight="1" s="60">
      <c r="A849" s="41" t="n"/>
      <c r="B849" s="41" t="n"/>
      <c r="C849" s="41" t="n"/>
    </row>
    <row r="850" ht="15.75" customHeight="1" s="60">
      <c r="A850" s="41" t="n"/>
      <c r="B850" s="41" t="n"/>
      <c r="C850" s="41" t="n"/>
    </row>
    <row r="851" ht="15.75" customHeight="1" s="60">
      <c r="A851" s="41" t="n"/>
      <c r="B851" s="41" t="n"/>
      <c r="C851" s="41" t="n"/>
    </row>
    <row r="852" ht="15.75" customHeight="1" s="60">
      <c r="A852" s="41" t="n"/>
      <c r="B852" s="41" t="n"/>
      <c r="C852" s="41" t="n"/>
    </row>
    <row r="853" ht="15.75" customHeight="1" s="60">
      <c r="A853" s="41" t="n"/>
      <c r="B853" s="41" t="n"/>
      <c r="C853" s="41" t="n"/>
    </row>
    <row r="854" ht="15.75" customHeight="1" s="60">
      <c r="A854" s="41" t="n"/>
      <c r="B854" s="41" t="n"/>
      <c r="C854" s="41" t="n"/>
    </row>
    <row r="855" ht="15.75" customHeight="1" s="60">
      <c r="A855" s="41" t="n"/>
      <c r="B855" s="41" t="n"/>
      <c r="C855" s="41" t="n"/>
    </row>
    <row r="856" ht="15.75" customHeight="1" s="60">
      <c r="A856" s="41" t="n"/>
      <c r="B856" s="41" t="n"/>
      <c r="C856" s="41" t="n"/>
    </row>
    <row r="857" ht="15.75" customHeight="1" s="60">
      <c r="A857" s="41" t="n"/>
      <c r="B857" s="41" t="n"/>
      <c r="C857" s="41" t="n"/>
    </row>
    <row r="858" ht="15.75" customHeight="1" s="60">
      <c r="A858" s="41" t="n"/>
      <c r="B858" s="41" t="n"/>
      <c r="C858" s="41" t="n"/>
    </row>
    <row r="859" ht="15.75" customHeight="1" s="60">
      <c r="A859" s="41" t="n"/>
      <c r="B859" s="41" t="n"/>
      <c r="C859" s="41" t="n"/>
    </row>
    <row r="860" ht="15.75" customHeight="1" s="60">
      <c r="A860" s="41" t="n"/>
      <c r="B860" s="41" t="n"/>
      <c r="C860" s="41" t="n"/>
    </row>
    <row r="861" ht="15.75" customHeight="1" s="60">
      <c r="A861" s="41" t="n"/>
      <c r="B861" s="41" t="n"/>
      <c r="C861" s="41" t="n"/>
    </row>
    <row r="862" ht="15.75" customHeight="1" s="60">
      <c r="A862" s="41" t="n"/>
      <c r="B862" s="41" t="n"/>
      <c r="C862" s="41" t="n"/>
    </row>
    <row r="863" ht="15.75" customHeight="1" s="60">
      <c r="A863" s="41" t="n"/>
      <c r="B863" s="41" t="n"/>
      <c r="C863" s="41" t="n"/>
    </row>
    <row r="864" ht="15.75" customHeight="1" s="60">
      <c r="A864" s="41" t="n"/>
      <c r="B864" s="41" t="n"/>
      <c r="C864" s="41" t="n"/>
    </row>
    <row r="865" ht="15.75" customHeight="1" s="60">
      <c r="A865" s="41" t="n"/>
      <c r="B865" s="41" t="n"/>
      <c r="C865" s="41" t="n"/>
    </row>
    <row r="866" ht="15.75" customHeight="1" s="60">
      <c r="A866" s="41" t="n"/>
      <c r="B866" s="41" t="n"/>
      <c r="C866" s="41" t="n"/>
    </row>
    <row r="867" ht="15.75" customHeight="1" s="60">
      <c r="A867" s="41" t="n"/>
      <c r="B867" s="41" t="n"/>
      <c r="C867" s="41" t="n"/>
    </row>
    <row r="868" ht="15.75" customHeight="1" s="60">
      <c r="A868" s="41" t="n"/>
      <c r="B868" s="41" t="n"/>
      <c r="C868" s="41" t="n"/>
    </row>
    <row r="869" ht="15.75" customHeight="1" s="60">
      <c r="A869" s="41" t="n"/>
      <c r="B869" s="41" t="n"/>
      <c r="C869" s="41" t="n"/>
    </row>
    <row r="870" ht="15.75" customHeight="1" s="60">
      <c r="A870" s="41" t="n"/>
      <c r="B870" s="41" t="n"/>
      <c r="C870" s="41" t="n"/>
    </row>
    <row r="871" ht="15.75" customHeight="1" s="60">
      <c r="A871" s="41" t="n"/>
      <c r="B871" s="41" t="n"/>
      <c r="C871" s="41" t="n"/>
    </row>
    <row r="872" ht="15.75" customHeight="1" s="60">
      <c r="A872" s="41" t="n"/>
      <c r="B872" s="41" t="n"/>
      <c r="C872" s="41" t="n"/>
    </row>
    <row r="873" ht="15.75" customHeight="1" s="60">
      <c r="A873" s="41" t="n"/>
      <c r="B873" s="41" t="n"/>
      <c r="C873" s="41" t="n"/>
    </row>
    <row r="874" ht="15.75" customHeight="1" s="60">
      <c r="A874" s="41" t="n"/>
      <c r="B874" s="41" t="n"/>
      <c r="C874" s="41" t="n"/>
    </row>
    <row r="875" ht="15.75" customHeight="1" s="60">
      <c r="A875" s="41" t="n"/>
      <c r="B875" s="41" t="n"/>
      <c r="C875" s="41" t="n"/>
    </row>
    <row r="876" ht="15.75" customHeight="1" s="60">
      <c r="A876" s="41" t="n"/>
      <c r="B876" s="41" t="n"/>
      <c r="C876" s="41" t="n"/>
    </row>
    <row r="877" ht="15.75" customHeight="1" s="60">
      <c r="A877" s="41" t="n"/>
      <c r="B877" s="41" t="n"/>
      <c r="C877" s="41" t="n"/>
    </row>
    <row r="878" ht="15.75" customHeight="1" s="60">
      <c r="A878" s="41" t="n"/>
      <c r="B878" s="41" t="n"/>
      <c r="C878" s="41" t="n"/>
    </row>
    <row r="879" ht="15.75" customHeight="1" s="60">
      <c r="A879" s="41" t="n"/>
      <c r="B879" s="41" t="n"/>
      <c r="C879" s="41" t="n"/>
    </row>
    <row r="880" ht="15.75" customHeight="1" s="60">
      <c r="A880" s="41" t="n"/>
      <c r="B880" s="41" t="n"/>
      <c r="C880" s="41" t="n"/>
    </row>
    <row r="881" ht="15.75" customHeight="1" s="60">
      <c r="A881" s="41" t="n"/>
      <c r="B881" s="41" t="n"/>
      <c r="C881" s="41" t="n"/>
    </row>
    <row r="882" ht="15.75" customHeight="1" s="60">
      <c r="A882" s="41" t="n"/>
      <c r="B882" s="41" t="n"/>
      <c r="C882" s="41" t="n"/>
    </row>
    <row r="883" ht="15.75" customHeight="1" s="60">
      <c r="A883" s="41" t="n"/>
      <c r="B883" s="41" t="n"/>
      <c r="C883" s="41" t="n"/>
    </row>
    <row r="884" ht="15.75" customHeight="1" s="60">
      <c r="A884" s="41" t="n"/>
      <c r="B884" s="41" t="n"/>
      <c r="C884" s="41" t="n"/>
    </row>
    <row r="885" ht="15.75" customHeight="1" s="60">
      <c r="A885" s="41" t="n"/>
      <c r="B885" s="41" t="n"/>
      <c r="C885" s="41" t="n"/>
    </row>
    <row r="886" ht="15.75" customHeight="1" s="60">
      <c r="A886" s="41" t="n"/>
      <c r="B886" s="41" t="n"/>
      <c r="C886" s="41" t="n"/>
    </row>
    <row r="887" ht="15.75" customHeight="1" s="60">
      <c r="A887" s="41" t="n"/>
      <c r="B887" s="41" t="n"/>
      <c r="C887" s="41" t="n"/>
    </row>
    <row r="888" ht="15.75" customHeight="1" s="60">
      <c r="A888" s="41" t="n"/>
      <c r="B888" s="41" t="n"/>
      <c r="C888" s="41" t="n"/>
    </row>
    <row r="889" ht="15.75" customHeight="1" s="60">
      <c r="A889" s="41" t="n"/>
      <c r="B889" s="41" t="n"/>
      <c r="C889" s="41" t="n"/>
    </row>
    <row r="890" ht="15.75" customHeight="1" s="60">
      <c r="A890" s="41" t="n"/>
      <c r="B890" s="41" t="n"/>
      <c r="C890" s="41" t="n"/>
    </row>
    <row r="891" ht="15.75" customHeight="1" s="60">
      <c r="A891" s="41" t="n"/>
      <c r="B891" s="41" t="n"/>
      <c r="C891" s="41" t="n"/>
    </row>
    <row r="892" ht="15.75" customHeight="1" s="60">
      <c r="A892" s="41" t="n"/>
      <c r="B892" s="41" t="n"/>
      <c r="C892" s="41" t="n"/>
    </row>
    <row r="893" ht="15.75" customHeight="1" s="60">
      <c r="A893" s="41" t="n"/>
      <c r="B893" s="41" t="n"/>
      <c r="C893" s="41" t="n"/>
    </row>
    <row r="894" ht="15.75" customHeight="1" s="60">
      <c r="A894" s="41" t="n"/>
      <c r="B894" s="41" t="n"/>
      <c r="C894" s="41" t="n"/>
    </row>
    <row r="895" ht="15.75" customHeight="1" s="60">
      <c r="A895" s="41" t="n"/>
      <c r="B895" s="41" t="n"/>
      <c r="C895" s="41" t="n"/>
    </row>
    <row r="896" ht="15.75" customHeight="1" s="60">
      <c r="A896" s="41" t="n"/>
      <c r="B896" s="41" t="n"/>
      <c r="C896" s="41" t="n"/>
    </row>
    <row r="897" ht="15.75" customHeight="1" s="60">
      <c r="A897" s="41" t="n"/>
      <c r="B897" s="41" t="n"/>
      <c r="C897" s="41" t="n"/>
    </row>
    <row r="898" ht="15.75" customHeight="1" s="60">
      <c r="A898" s="41" t="n"/>
      <c r="B898" s="41" t="n"/>
      <c r="C898" s="41" t="n"/>
    </row>
    <row r="899" ht="15.75" customHeight="1" s="60">
      <c r="A899" s="41" t="n"/>
      <c r="B899" s="41" t="n"/>
      <c r="C899" s="41" t="n"/>
    </row>
    <row r="900" ht="15.75" customHeight="1" s="60">
      <c r="A900" s="41" t="n"/>
      <c r="B900" s="41" t="n"/>
      <c r="C900" s="41" t="n"/>
    </row>
    <row r="901" ht="15.75" customHeight="1" s="60">
      <c r="A901" s="41" t="n"/>
      <c r="B901" s="41" t="n"/>
      <c r="C901" s="41" t="n"/>
    </row>
    <row r="902" ht="15.75" customHeight="1" s="60">
      <c r="A902" s="41" t="n"/>
      <c r="B902" s="41" t="n"/>
      <c r="C902" s="41" t="n"/>
    </row>
    <row r="903" ht="15.75" customHeight="1" s="60">
      <c r="A903" s="41" t="n"/>
      <c r="B903" s="41" t="n"/>
      <c r="C903" s="41" t="n"/>
    </row>
    <row r="904" ht="15.75" customHeight="1" s="60">
      <c r="A904" s="41" t="n"/>
      <c r="B904" s="41" t="n"/>
      <c r="C904" s="41" t="n"/>
    </row>
    <row r="905" ht="15.75" customHeight="1" s="60">
      <c r="A905" s="41" t="n"/>
      <c r="B905" s="41" t="n"/>
      <c r="C905" s="41" t="n"/>
    </row>
    <row r="906" ht="15.75" customHeight="1" s="60">
      <c r="A906" s="41" t="n"/>
      <c r="B906" s="41" t="n"/>
      <c r="C906" s="41" t="n"/>
    </row>
    <row r="907" ht="15.75" customHeight="1" s="60">
      <c r="A907" s="41" t="n"/>
      <c r="B907" s="41" t="n"/>
      <c r="C907" s="41" t="n"/>
    </row>
    <row r="908" ht="15.75" customHeight="1" s="60">
      <c r="A908" s="41" t="n"/>
      <c r="B908" s="41" t="n"/>
      <c r="C908" s="41" t="n"/>
    </row>
    <row r="909" ht="15.75" customHeight="1" s="60">
      <c r="A909" s="41" t="n"/>
      <c r="B909" s="41" t="n"/>
      <c r="C909" s="41" t="n"/>
    </row>
    <row r="910" ht="15.75" customHeight="1" s="60">
      <c r="A910" s="41" t="n"/>
      <c r="B910" s="41" t="n"/>
      <c r="C910" s="41" t="n"/>
    </row>
    <row r="911" ht="15.75" customHeight="1" s="60">
      <c r="A911" s="41" t="n"/>
      <c r="B911" s="41" t="n"/>
      <c r="C911" s="41" t="n"/>
    </row>
    <row r="912" ht="15.75" customHeight="1" s="60">
      <c r="A912" s="41" t="n"/>
      <c r="B912" s="41" t="n"/>
      <c r="C912" s="41" t="n"/>
    </row>
    <row r="913" ht="15.75" customHeight="1" s="60">
      <c r="A913" s="41" t="n"/>
      <c r="B913" s="41" t="n"/>
      <c r="C913" s="41" t="n"/>
    </row>
    <row r="914" ht="15.75" customHeight="1" s="60">
      <c r="A914" s="41" t="n"/>
      <c r="B914" s="41" t="n"/>
      <c r="C914" s="41" t="n"/>
    </row>
    <row r="915" ht="15.75" customHeight="1" s="60">
      <c r="A915" s="41" t="n"/>
      <c r="B915" s="41" t="n"/>
      <c r="C915" s="41" t="n"/>
    </row>
    <row r="916" ht="15.75" customHeight="1" s="60">
      <c r="A916" s="41" t="n"/>
      <c r="B916" s="41" t="n"/>
      <c r="C916" s="41" t="n"/>
    </row>
    <row r="917" ht="15.75" customHeight="1" s="60">
      <c r="A917" s="41" t="n"/>
      <c r="B917" s="41" t="n"/>
      <c r="C917" s="41" t="n"/>
    </row>
    <row r="918" ht="15.75" customHeight="1" s="60">
      <c r="A918" s="41" t="n"/>
      <c r="B918" s="41" t="n"/>
      <c r="C918" s="41" t="n"/>
    </row>
    <row r="919" ht="15.75" customHeight="1" s="60">
      <c r="A919" s="41" t="n"/>
      <c r="B919" s="41" t="n"/>
      <c r="C919" s="41" t="n"/>
    </row>
    <row r="920" ht="15.75" customHeight="1" s="60">
      <c r="A920" s="41" t="n"/>
      <c r="B920" s="41" t="n"/>
      <c r="C920" s="41" t="n"/>
    </row>
    <row r="921" ht="15.75" customHeight="1" s="60">
      <c r="A921" s="41" t="n"/>
      <c r="B921" s="41" t="n"/>
      <c r="C921" s="41" t="n"/>
    </row>
    <row r="922" ht="15.75" customHeight="1" s="60">
      <c r="A922" s="41" t="n"/>
      <c r="B922" s="41" t="n"/>
      <c r="C922" s="41" t="n"/>
    </row>
    <row r="923" ht="15.75" customHeight="1" s="60">
      <c r="A923" s="41" t="n"/>
      <c r="B923" s="41" t="n"/>
      <c r="C923" s="41" t="n"/>
    </row>
    <row r="924" ht="15.75" customHeight="1" s="60">
      <c r="A924" s="41" t="n"/>
      <c r="B924" s="41" t="n"/>
      <c r="C924" s="41" t="n"/>
    </row>
    <row r="925" ht="15.75" customHeight="1" s="60">
      <c r="A925" s="41" t="n"/>
      <c r="B925" s="41" t="n"/>
      <c r="C925" s="41" t="n"/>
    </row>
    <row r="926" ht="15.75" customHeight="1" s="60">
      <c r="A926" s="41" t="n"/>
      <c r="B926" s="41" t="n"/>
      <c r="C926" s="41" t="n"/>
    </row>
    <row r="927" ht="15.75" customHeight="1" s="60">
      <c r="A927" s="41" t="n"/>
      <c r="B927" s="41" t="n"/>
      <c r="C927" s="41" t="n"/>
    </row>
    <row r="928" ht="15.75" customHeight="1" s="60">
      <c r="A928" s="41" t="n"/>
      <c r="B928" s="41" t="n"/>
      <c r="C928" s="41" t="n"/>
    </row>
    <row r="929" ht="15.75" customHeight="1" s="60">
      <c r="A929" s="41" t="n"/>
      <c r="B929" s="41" t="n"/>
      <c r="C929" s="41" t="n"/>
    </row>
    <row r="930" ht="15.75" customHeight="1" s="60">
      <c r="A930" s="41" t="n"/>
      <c r="B930" s="41" t="n"/>
      <c r="C930" s="41" t="n"/>
    </row>
    <row r="931" ht="15.75" customHeight="1" s="60">
      <c r="A931" s="41" t="n"/>
      <c r="B931" s="41" t="n"/>
      <c r="C931" s="41" t="n"/>
    </row>
    <row r="932" ht="15.75" customHeight="1" s="60">
      <c r="A932" s="41" t="n"/>
      <c r="B932" s="41" t="n"/>
      <c r="C932" s="41" t="n"/>
    </row>
    <row r="933" ht="15.75" customHeight="1" s="60">
      <c r="A933" s="41" t="n"/>
      <c r="B933" s="41" t="n"/>
      <c r="C933" s="41" t="n"/>
    </row>
    <row r="934" ht="15.75" customHeight="1" s="60">
      <c r="A934" s="41" t="n"/>
      <c r="B934" s="41" t="n"/>
      <c r="C934" s="41" t="n"/>
    </row>
    <row r="935" ht="15.75" customHeight="1" s="60">
      <c r="A935" s="41" t="n"/>
      <c r="B935" s="41" t="n"/>
      <c r="C935" s="41" t="n"/>
    </row>
    <row r="936" ht="15.75" customHeight="1" s="60">
      <c r="A936" s="41" t="n"/>
      <c r="B936" s="41" t="n"/>
      <c r="C936" s="41" t="n"/>
    </row>
    <row r="937" ht="15.75" customHeight="1" s="60">
      <c r="A937" s="41" t="n"/>
      <c r="B937" s="41" t="n"/>
      <c r="C937" s="41" t="n"/>
    </row>
    <row r="938" ht="15.75" customHeight="1" s="60">
      <c r="A938" s="41" t="n"/>
      <c r="B938" s="41" t="n"/>
      <c r="C938" s="41" t="n"/>
    </row>
    <row r="939" ht="15.75" customHeight="1" s="60">
      <c r="A939" s="41" t="n"/>
      <c r="B939" s="41" t="n"/>
      <c r="C939" s="41" t="n"/>
    </row>
    <row r="940" ht="15.75" customHeight="1" s="60">
      <c r="A940" s="41" t="n"/>
      <c r="B940" s="41" t="n"/>
      <c r="C940" s="41" t="n"/>
    </row>
    <row r="941" ht="15.75" customHeight="1" s="60">
      <c r="A941" s="41" t="n"/>
      <c r="B941" s="41" t="n"/>
      <c r="C941" s="41" t="n"/>
    </row>
    <row r="942" ht="15.75" customHeight="1" s="60">
      <c r="A942" s="41" t="n"/>
      <c r="B942" s="41" t="n"/>
      <c r="C942" s="41" t="n"/>
    </row>
    <row r="943" ht="15.75" customHeight="1" s="60">
      <c r="A943" s="41" t="n"/>
      <c r="B943" s="41" t="n"/>
      <c r="C943" s="41" t="n"/>
    </row>
    <row r="944" ht="15.75" customHeight="1" s="60">
      <c r="A944" s="41" t="n"/>
      <c r="B944" s="41" t="n"/>
      <c r="C944" s="41" t="n"/>
    </row>
    <row r="945" ht="15.75" customHeight="1" s="60">
      <c r="A945" s="41" t="n"/>
      <c r="B945" s="41" t="n"/>
      <c r="C945" s="41" t="n"/>
    </row>
    <row r="946" ht="15.75" customHeight="1" s="60">
      <c r="A946" s="41" t="n"/>
      <c r="B946" s="41" t="n"/>
      <c r="C946" s="41" t="n"/>
    </row>
    <row r="947" ht="15.75" customHeight="1" s="60">
      <c r="A947" s="41" t="n"/>
      <c r="B947" s="41" t="n"/>
      <c r="C947" s="41" t="n"/>
    </row>
    <row r="948" ht="15.75" customHeight="1" s="60">
      <c r="A948" s="41" t="n"/>
      <c r="B948" s="41" t="n"/>
      <c r="C948" s="41" t="n"/>
    </row>
    <row r="949" ht="15.75" customHeight="1" s="60">
      <c r="A949" s="41" t="n"/>
      <c r="B949" s="41" t="n"/>
      <c r="C949" s="41" t="n"/>
    </row>
    <row r="950" ht="15.75" customHeight="1" s="60">
      <c r="A950" s="41" t="n"/>
      <c r="B950" s="41" t="n"/>
      <c r="C950" s="41" t="n"/>
    </row>
    <row r="951" ht="15.75" customHeight="1" s="60">
      <c r="A951" s="41" t="n"/>
      <c r="B951" s="41" t="n"/>
      <c r="C951" s="41" t="n"/>
    </row>
    <row r="952" ht="15.75" customHeight="1" s="60">
      <c r="A952" s="41" t="n"/>
      <c r="B952" s="41" t="n"/>
      <c r="C952" s="41" t="n"/>
    </row>
    <row r="953" ht="15.75" customHeight="1" s="60">
      <c r="A953" s="41" t="n"/>
      <c r="B953" s="41" t="n"/>
      <c r="C953" s="41" t="n"/>
    </row>
    <row r="954" ht="15.75" customHeight="1" s="60">
      <c r="A954" s="41" t="n"/>
      <c r="B954" s="41" t="n"/>
      <c r="C954" s="41" t="n"/>
    </row>
    <row r="955" ht="15.75" customHeight="1" s="60">
      <c r="A955" s="41" t="n"/>
      <c r="B955" s="41" t="n"/>
      <c r="C955" s="41" t="n"/>
    </row>
    <row r="956" ht="15.75" customHeight="1" s="60">
      <c r="A956" s="41" t="n"/>
      <c r="B956" s="41" t="n"/>
      <c r="C956" s="41" t="n"/>
    </row>
    <row r="957" ht="15.75" customHeight="1" s="60">
      <c r="A957" s="41" t="n"/>
      <c r="B957" s="41" t="n"/>
      <c r="C957" s="41" t="n"/>
    </row>
    <row r="958" ht="15.75" customHeight="1" s="60">
      <c r="A958" s="41" t="n"/>
      <c r="B958" s="41" t="n"/>
      <c r="C958" s="41" t="n"/>
    </row>
    <row r="959" ht="15.75" customHeight="1" s="60">
      <c r="A959" s="41" t="n"/>
      <c r="B959" s="41" t="n"/>
      <c r="C959" s="41" t="n"/>
    </row>
    <row r="960" ht="15.75" customHeight="1" s="60">
      <c r="A960" s="41" t="n"/>
      <c r="B960" s="41" t="n"/>
      <c r="C960" s="41" t="n"/>
    </row>
    <row r="961" ht="15.75" customHeight="1" s="60">
      <c r="A961" s="41" t="n"/>
      <c r="B961" s="41" t="n"/>
      <c r="C961" s="41" t="n"/>
    </row>
    <row r="962" ht="15.75" customHeight="1" s="60">
      <c r="A962" s="41" t="n"/>
      <c r="B962" s="41" t="n"/>
      <c r="C962" s="41" t="n"/>
    </row>
    <row r="963" ht="15.75" customHeight="1" s="60">
      <c r="A963" s="41" t="n"/>
      <c r="B963" s="41" t="n"/>
      <c r="C963" s="41" t="n"/>
    </row>
    <row r="964" ht="15.75" customHeight="1" s="60">
      <c r="A964" s="41" t="n"/>
      <c r="B964" s="41" t="n"/>
      <c r="C964" s="41" t="n"/>
    </row>
    <row r="965" ht="15.75" customHeight="1" s="60">
      <c r="A965" s="41" t="n"/>
      <c r="B965" s="41" t="n"/>
      <c r="C965" s="41" t="n"/>
    </row>
    <row r="966" ht="15.75" customHeight="1" s="60">
      <c r="A966" s="41" t="n"/>
      <c r="B966" s="41" t="n"/>
      <c r="C966" s="41" t="n"/>
    </row>
    <row r="967" ht="15.75" customHeight="1" s="60">
      <c r="A967" s="41" t="n"/>
      <c r="B967" s="41" t="n"/>
      <c r="C967" s="41" t="n"/>
    </row>
    <row r="968" ht="15.75" customHeight="1" s="60">
      <c r="A968" s="41" t="n"/>
      <c r="B968" s="41" t="n"/>
      <c r="C968" s="41" t="n"/>
    </row>
    <row r="969" ht="15.75" customHeight="1" s="60">
      <c r="A969" s="41" t="n"/>
      <c r="B969" s="41" t="n"/>
      <c r="C969" s="41" t="n"/>
    </row>
    <row r="970" ht="15.75" customHeight="1" s="60">
      <c r="A970" s="41" t="n"/>
      <c r="B970" s="41" t="n"/>
      <c r="C970" s="41" t="n"/>
    </row>
    <row r="971" ht="15.75" customHeight="1" s="60">
      <c r="A971" s="41" t="n"/>
      <c r="B971" s="41" t="n"/>
      <c r="C971" s="41" t="n"/>
    </row>
    <row r="972" ht="15.75" customHeight="1" s="60">
      <c r="A972" s="41" t="n"/>
      <c r="B972" s="41" t="n"/>
      <c r="C972" s="41" t="n"/>
    </row>
    <row r="973" ht="15.75" customHeight="1" s="60">
      <c r="A973" s="41" t="n"/>
      <c r="B973" s="41" t="n"/>
      <c r="C973" s="41" t="n"/>
    </row>
    <row r="974" ht="15.75" customHeight="1" s="60">
      <c r="A974" s="41" t="n"/>
      <c r="B974" s="41" t="n"/>
      <c r="C974" s="41" t="n"/>
    </row>
    <row r="975" ht="15.75" customHeight="1" s="60">
      <c r="A975" s="41" t="n"/>
      <c r="B975" s="41" t="n"/>
      <c r="C975" s="41" t="n"/>
    </row>
    <row r="976" ht="15.75" customHeight="1" s="60">
      <c r="A976" s="41" t="n"/>
      <c r="B976" s="41" t="n"/>
      <c r="C976" s="41" t="n"/>
    </row>
    <row r="977" ht="15.75" customHeight="1" s="60">
      <c r="A977" s="41" t="n"/>
      <c r="B977" s="41" t="n"/>
      <c r="C977" s="41" t="n"/>
    </row>
    <row r="978" ht="15.75" customHeight="1" s="60">
      <c r="A978" s="41" t="n"/>
      <c r="B978" s="41" t="n"/>
      <c r="C978" s="41" t="n"/>
    </row>
    <row r="979" ht="15.75" customHeight="1" s="60">
      <c r="A979" s="41" t="n"/>
      <c r="B979" s="41" t="n"/>
      <c r="C979" s="41" t="n"/>
    </row>
    <row r="980" ht="15.75" customHeight="1" s="60">
      <c r="A980" s="41" t="n"/>
      <c r="B980" s="41" t="n"/>
      <c r="C980" s="41" t="n"/>
    </row>
    <row r="981" ht="15.75" customHeight="1" s="60">
      <c r="A981" s="41" t="n"/>
      <c r="B981" s="41" t="n"/>
      <c r="C981" s="41" t="n"/>
    </row>
    <row r="982" ht="15.75" customHeight="1" s="60">
      <c r="A982" s="41" t="n"/>
      <c r="B982" s="41" t="n"/>
      <c r="C982" s="41" t="n"/>
    </row>
    <row r="983" ht="15.75" customHeight="1" s="60">
      <c r="A983" s="41" t="n"/>
      <c r="B983" s="41" t="n"/>
      <c r="C983" s="41" t="n"/>
    </row>
    <row r="984" ht="15.75" customHeight="1" s="60">
      <c r="A984" s="41" t="n"/>
      <c r="B984" s="41" t="n"/>
      <c r="C984" s="41" t="n"/>
    </row>
    <row r="985" ht="15.75" customHeight="1" s="60">
      <c r="A985" s="41" t="n"/>
      <c r="B985" s="41" t="n"/>
      <c r="C985" s="41" t="n"/>
    </row>
    <row r="986" ht="15.75" customHeight="1" s="60">
      <c r="A986" s="41" t="n"/>
      <c r="B986" s="41" t="n"/>
      <c r="C986" s="41" t="n"/>
    </row>
    <row r="987" ht="15.75" customHeight="1" s="60">
      <c r="A987" s="41" t="n"/>
      <c r="B987" s="41" t="n"/>
      <c r="C987" s="41" t="n"/>
    </row>
    <row r="988" ht="15.75" customHeight="1" s="60">
      <c r="A988" s="41" t="n"/>
      <c r="B988" s="41" t="n"/>
      <c r="C988" s="41" t="n"/>
    </row>
    <row r="989" ht="15.75" customHeight="1" s="60">
      <c r="A989" s="41" t="n"/>
      <c r="B989" s="41" t="n"/>
      <c r="C989" s="41" t="n"/>
    </row>
    <row r="990" ht="15.75" customHeight="1" s="60">
      <c r="A990" s="41" t="n"/>
      <c r="B990" s="41" t="n"/>
      <c r="C990" s="41" t="n"/>
    </row>
    <row r="991" ht="15.75" customHeight="1" s="60">
      <c r="A991" s="41" t="n"/>
      <c r="B991" s="41" t="n"/>
      <c r="C991" s="41" t="n"/>
    </row>
    <row r="992" ht="15.75" customHeight="1" s="60">
      <c r="A992" s="41" t="n"/>
      <c r="B992" s="41" t="n"/>
      <c r="C992" s="41" t="n"/>
    </row>
    <row r="993" ht="15.75" customHeight="1" s="60">
      <c r="A993" s="41" t="n"/>
      <c r="B993" s="41" t="n"/>
      <c r="C993" s="41" t="n"/>
    </row>
    <row r="994" ht="15.75" customHeight="1" s="60">
      <c r="A994" s="41" t="n"/>
      <c r="B994" s="41" t="n"/>
      <c r="C994" s="41" t="n"/>
    </row>
    <row r="995" ht="15.75" customHeight="1" s="60">
      <c r="A995" s="41" t="n"/>
      <c r="B995" s="41" t="n"/>
      <c r="C995" s="41" t="n"/>
    </row>
    <row r="996" ht="15.75" customHeight="1" s="60">
      <c r="A996" s="41" t="n"/>
      <c r="B996" s="41" t="n"/>
      <c r="C996" s="41" t="n"/>
    </row>
    <row r="997" ht="15.75" customHeight="1" s="60">
      <c r="A997" s="41" t="n"/>
      <c r="B997" s="41" t="n"/>
      <c r="C997" s="41" t="n"/>
    </row>
    <row r="998" ht="15.75" customHeight="1" s="60">
      <c r="A998" s="41" t="n"/>
      <c r="B998" s="41" t="n"/>
      <c r="C998" s="41" t="n"/>
    </row>
    <row r="999" ht="15.75" customHeight="1" s="60">
      <c r="A999" s="41" t="n"/>
      <c r="B999" s="41" t="n"/>
      <c r="C999" s="41" t="n"/>
    </row>
    <row r="1000" ht="15.75" customHeight="1" s="60">
      <c r="A1000" s="41" t="n"/>
      <c r="B1000" s="41" t="n"/>
      <c r="C1000" s="4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I100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60" min="1" max="1"/>
    <col width="30" customWidth="1" style="60" min="2" max="2"/>
    <col width="32" customWidth="1" style="60" min="3" max="3"/>
    <col width="14" customWidth="1" style="60" min="4" max="4"/>
    <col width="12" customWidth="1" style="60" min="5" max="5"/>
    <col width="20" customWidth="1" style="60" min="6" max="6"/>
    <col width="12" customWidth="1" style="60" min="7" max="7"/>
    <col width="40" customWidth="1" style="60" min="8" max="8"/>
    <col width="16" customWidth="1" style="60" min="9" max="9"/>
    <col width="8.710000000000001" customWidth="1" style="60" min="10" max="26"/>
  </cols>
  <sheetData>
    <row r="1" ht="17.25" customHeight="1" s="60">
      <c r="A1" s="1" t="inlineStr">
        <is>
          <t>CARTA AKAUN (CHART OF ACCOUNTS)</t>
        </is>
      </c>
      <c r="B1" s="41" t="n"/>
      <c r="C1" s="41" t="n"/>
      <c r="D1" s="41" t="n"/>
      <c r="E1" s="41" t="n"/>
      <c r="F1" s="41" t="n"/>
      <c r="G1" s="41" t="n"/>
      <c r="H1" s="41" t="n"/>
      <c r="I1" s="41" t="n"/>
    </row>
    <row r="2" ht="15" customHeight="1" s="60">
      <c r="A2" s="5" t="inlineStr">
        <is>
          <t>Setiap baris ialah SATU akaun. Lajur I = Semasa/Bukan Semasa (Aset &amp; Liabiliti sahaja, ikut format KKK rasmi).</t>
        </is>
      </c>
      <c r="B2" s="41" t="n"/>
      <c r="C2" s="41" t="n"/>
      <c r="D2" s="41" t="n"/>
      <c r="E2" s="41" t="n"/>
      <c r="F2" s="41" t="n"/>
      <c r="G2" s="41" t="n"/>
      <c r="H2" s="41" t="n"/>
      <c r="I2" s="41" t="n"/>
    </row>
    <row r="3">
      <c r="A3" s="41" t="n"/>
      <c r="B3" s="41" t="n"/>
      <c r="C3" s="41" t="n"/>
      <c r="D3" s="41" t="n"/>
      <c r="E3" s="41" t="n"/>
      <c r="F3" s="41" t="n"/>
      <c r="G3" s="41" t="n"/>
      <c r="H3" s="41" t="n"/>
      <c r="I3" s="41" t="n"/>
    </row>
    <row r="4" ht="27.75" customHeight="1" s="60">
      <c r="A4" s="7" t="inlineStr">
        <is>
          <t>Kod Akaun</t>
        </is>
      </c>
      <c r="B4" s="7" t="inlineStr">
        <is>
          <t>Nama Akaun (EN)</t>
        </is>
      </c>
      <c r="C4" s="7" t="inlineStr">
        <is>
          <t>Nama Akaun (BM)</t>
        </is>
      </c>
      <c r="D4" s="7" t="inlineStr">
        <is>
          <t>Jenis</t>
        </is>
      </c>
      <c r="E4" s="7" t="inlineStr">
        <is>
          <t>Baki Normal</t>
        </is>
      </c>
      <c r="F4" s="7" t="inlineStr">
        <is>
          <t>Kumpulan Aliran Tunai</t>
        </is>
      </c>
      <c r="G4" s="7" t="inlineStr">
        <is>
          <t>Status</t>
        </is>
      </c>
      <c r="H4" s="7" t="inlineStr">
        <is>
          <t>Nota</t>
        </is>
      </c>
      <c r="I4" s="7" t="inlineStr">
        <is>
          <t>Semasa/Bukan Semasa</t>
        </is>
      </c>
    </row>
    <row r="5" ht="15" customHeight="1" s="60">
      <c r="A5" s="12" t="n">
        <v>1010</v>
      </c>
      <c r="B5" s="38" t="inlineStr">
        <is>
          <t>Cash in hand</t>
        </is>
      </c>
      <c r="C5" s="38" t="inlineStr">
        <is>
          <t>Wang Di Tangan</t>
        </is>
      </c>
      <c r="D5" s="38" t="inlineStr">
        <is>
          <t>Aset</t>
        </is>
      </c>
      <c r="E5" s="38">
        <f>IF(OR(D5="Aset",D5="Perbelanjaan"),"Debit","Kredit")</f>
        <v/>
      </c>
      <c r="F5" s="38" t="inlineStr">
        <is>
          <t>Tidak Berkaitan</t>
        </is>
      </c>
      <c r="G5" s="38" t="inlineStr">
        <is>
          <t>Aktif</t>
        </is>
      </c>
      <c r="H5" s="19" t="n"/>
      <c r="I5" s="38" t="inlineStr">
        <is>
          <t>Semasa</t>
        </is>
      </c>
    </row>
    <row r="6" ht="15" customHeight="1" s="60">
      <c r="A6" s="12" t="n">
        <v>1020</v>
      </c>
      <c r="B6" s="38" t="inlineStr">
        <is>
          <t>Bank</t>
        </is>
      </c>
      <c r="C6" s="38" t="inlineStr">
        <is>
          <t>Bank</t>
        </is>
      </c>
      <c r="D6" s="38" t="inlineStr">
        <is>
          <t>Aset</t>
        </is>
      </c>
      <c r="E6" s="38">
        <f>IF(OR(D6="Aset",D6="Perbelanjaan"),"Debit","Kredit")</f>
        <v/>
      </c>
      <c r="F6" s="38" t="inlineStr">
        <is>
          <t>Tidak Berkaitan</t>
        </is>
      </c>
      <c r="G6" s="38" t="inlineStr">
        <is>
          <t>Aktif</t>
        </is>
      </c>
      <c r="H6" s="19" t="n"/>
      <c r="I6" s="38" t="inlineStr">
        <is>
          <t>Semasa</t>
        </is>
      </c>
    </row>
    <row r="7" ht="15" customHeight="1" s="60">
      <c r="A7" s="12" t="n">
        <v>1030</v>
      </c>
      <c r="B7" s="38" t="inlineStr">
        <is>
          <t>Fixed Deposit</t>
        </is>
      </c>
      <c r="C7" s="38" t="inlineStr">
        <is>
          <t>Deposit Tetap</t>
        </is>
      </c>
      <c r="D7" s="38" t="inlineStr">
        <is>
          <t>Aset</t>
        </is>
      </c>
      <c r="E7" s="38">
        <f>IF(OR(D7="Aset",D7="Perbelanjaan"),"Debit","Kredit")</f>
        <v/>
      </c>
      <c r="F7" s="38" t="inlineStr">
        <is>
          <t>Pelaburan</t>
        </is>
      </c>
      <c r="G7" s="38" t="inlineStr">
        <is>
          <t>Aktif</t>
        </is>
      </c>
      <c r="H7" s="19" t="n"/>
      <c r="I7" s="38" t="inlineStr">
        <is>
          <t>Bukan Semasa</t>
        </is>
      </c>
    </row>
    <row r="8" ht="15" customHeight="1" s="60">
      <c r="A8" s="12" t="n">
        <v>1040</v>
      </c>
      <c r="B8" s="38" t="inlineStr">
        <is>
          <t>Fixed Assets (general)</t>
        </is>
      </c>
      <c r="C8" s="38" t="inlineStr">
        <is>
          <t>Aset Tetap</t>
        </is>
      </c>
      <c r="D8" s="38" t="inlineStr">
        <is>
          <t>Aset</t>
        </is>
      </c>
      <c r="E8" s="38">
        <f>IF(OR(D8="Aset",D8="Perbelanjaan"),"Debit","Kredit")</f>
        <v/>
      </c>
      <c r="F8" s="38" t="inlineStr">
        <is>
          <t>Pelaburan</t>
        </is>
      </c>
      <c r="G8" s="38" t="inlineStr">
        <is>
          <t>Aktif</t>
        </is>
      </c>
      <c r="H8" s="19" t="inlineStr">
        <is>
          <t>Pecahkan Tanah/Bangunan/Kenderaan bila disahkan pemilikan sebenar</t>
        </is>
      </c>
      <c r="I8" s="38" t="inlineStr">
        <is>
          <t>Bukan Semasa</t>
        </is>
      </c>
    </row>
    <row r="9" ht="15" customHeight="1" s="60">
      <c r="A9" s="12" t="n">
        <v>1050</v>
      </c>
      <c r="B9" s="38" t="inlineStr">
        <is>
          <t>Cooperative Deposit Account</t>
        </is>
      </c>
      <c r="C9" s="38" t="inlineStr">
        <is>
          <t>Akaun Deposit Koperasi</t>
        </is>
      </c>
      <c r="D9" s="38" t="inlineStr">
        <is>
          <t>Aset</t>
        </is>
      </c>
      <c r="E9" s="38">
        <f>IF(OR(D9="Aset",D9="Perbelanjaan"),"Debit","Kredit")</f>
        <v/>
      </c>
      <c r="F9" s="38" t="inlineStr">
        <is>
          <t>Pelaburan</t>
        </is>
      </c>
      <c r="G9" s="38" t="inlineStr">
        <is>
          <t>Aktif</t>
        </is>
      </c>
      <c r="H9" s="22" t="inlineStr">
        <is>
          <t>DIBETULKAN: Aset Bukan Semasa ikut format KKK rasmi (bukan Liabiliti seperti anggapan asal)</t>
        </is>
      </c>
      <c r="I9" s="38" t="inlineStr">
        <is>
          <t>Bukan Semasa</t>
        </is>
      </c>
    </row>
    <row r="10" ht="15" customHeight="1" s="60">
      <c r="A10" s="12" t="n">
        <v>1060</v>
      </c>
      <c r="B10" s="38" t="inlineStr">
        <is>
          <t>Retail Inventory</t>
        </is>
      </c>
      <c r="C10" s="38" t="inlineStr">
        <is>
          <t>Inventori Runcit</t>
        </is>
      </c>
      <c r="D10" s="38" t="inlineStr">
        <is>
          <t>Aset</t>
        </is>
      </c>
      <c r="E10" s="38">
        <f>IF(OR(D10="Aset",D10="Perbelanjaan"),"Debit","Kredit")</f>
        <v/>
      </c>
      <c r="F10" s="38" t="inlineStr">
        <is>
          <t>Operasi</t>
        </is>
      </c>
      <c r="G10" s="38" t="inlineStr">
        <is>
          <t>Aktif</t>
        </is>
      </c>
      <c r="H10" s="19" t="n"/>
      <c r="I10" s="38" t="inlineStr">
        <is>
          <t>Semasa</t>
        </is>
      </c>
    </row>
    <row r="11" ht="15" customHeight="1" s="60">
      <c r="A11" s="12" t="n">
        <v>1070</v>
      </c>
      <c r="B11" s="38" t="inlineStr">
        <is>
          <t>Poultry &amp; Slaughter Product Inventory</t>
        </is>
      </c>
      <c r="C11" s="38" t="inlineStr">
        <is>
          <t>Inventori Ayam &amp; Produk Sembelihan</t>
        </is>
      </c>
      <c r="D11" s="38" t="inlineStr">
        <is>
          <t>Aset</t>
        </is>
      </c>
      <c r="E11" s="38">
        <f>IF(OR(D11="Aset",D11="Perbelanjaan"),"Debit","Kredit")</f>
        <v/>
      </c>
      <c r="F11" s="38" t="inlineStr">
        <is>
          <t>Operasi</t>
        </is>
      </c>
      <c r="G11" s="38" t="inlineStr">
        <is>
          <t>Aktif</t>
        </is>
      </c>
      <c r="H11" s="19" t="n"/>
      <c r="I11" s="38" t="inlineStr">
        <is>
          <t>Semasa</t>
        </is>
      </c>
    </row>
    <row r="12" ht="15" customHeight="1" s="60">
      <c r="A12" s="12" t="n">
        <v>2010</v>
      </c>
      <c r="B12" s="38" t="inlineStr">
        <is>
          <t>Various Creditors</t>
        </is>
      </c>
      <c r="C12" s="38" t="inlineStr">
        <is>
          <t>Pelbagai Pemiutang</t>
        </is>
      </c>
      <c r="D12" s="38" t="inlineStr">
        <is>
          <t>Liabiliti</t>
        </is>
      </c>
      <c r="E12" s="38">
        <f>IF(OR(D12="Aset",D12="Perbelanjaan"),"Debit","Kredit")</f>
        <v/>
      </c>
      <c r="F12" s="38" t="inlineStr">
        <is>
          <t>Operasi</t>
        </is>
      </c>
      <c r="G12" s="38" t="inlineStr">
        <is>
          <t>Aktif</t>
        </is>
      </c>
      <c r="H12" s="19" t="n"/>
      <c r="I12" s="38" t="inlineStr">
        <is>
          <t>Semasa</t>
        </is>
      </c>
    </row>
    <row r="13" ht="15" customHeight="1" s="60">
      <c r="A13" s="12" t="n">
        <v>2020</v>
      </c>
      <c r="B13" s="38" t="inlineStr">
        <is>
          <t>Dividend Declared</t>
        </is>
      </c>
      <c r="C13" s="38" t="inlineStr">
        <is>
          <t>Dividen Diisytiharkan</t>
        </is>
      </c>
      <c r="D13" s="38" t="inlineStr">
        <is>
          <t>Liabiliti</t>
        </is>
      </c>
      <c r="E13" s="38">
        <f>IF(OR(D13="Aset",D13="Perbelanjaan"),"Debit","Kredit")</f>
        <v/>
      </c>
      <c r="F13" s="38" t="inlineStr">
        <is>
          <t>Berkanun</t>
        </is>
      </c>
      <c r="G13" s="38" t="inlineStr">
        <is>
          <t>Aktif</t>
        </is>
      </c>
      <c r="H13" s="19" t="n"/>
      <c r="I13" s="38" t="inlineStr">
        <is>
          <t>Semasa</t>
        </is>
      </c>
    </row>
    <row r="14" ht="15" customHeight="1" s="60">
      <c r="A14" s="12" t="n">
        <v>3010</v>
      </c>
      <c r="B14" s="38" t="inlineStr">
        <is>
          <t>Member Share Capital</t>
        </is>
      </c>
      <c r="C14" s="38" t="inlineStr">
        <is>
          <t>Modal Syer Ahli</t>
        </is>
      </c>
      <c r="D14" s="38" t="inlineStr">
        <is>
          <t>Ekuiti</t>
        </is>
      </c>
      <c r="E14" s="38">
        <f>IF(OR(D14="Aset",D14="Perbelanjaan"),"Debit","Kredit")</f>
        <v/>
      </c>
      <c r="F14" s="38" t="inlineStr">
        <is>
          <t>Pembiayaan</t>
        </is>
      </c>
      <c r="G14" s="38" t="inlineStr">
        <is>
          <t>Aktif</t>
        </is>
      </c>
      <c r="H14" s="19" t="n"/>
      <c r="I14" s="38" t="n"/>
    </row>
    <row r="15" ht="15" customHeight="1" s="60">
      <c r="A15" s="12" t="n">
        <v>3020</v>
      </c>
      <c r="B15" s="38" t="inlineStr">
        <is>
          <t>Statutory Reserve</t>
        </is>
      </c>
      <c r="C15" s="38" t="inlineStr">
        <is>
          <t>Rizab Statutori</t>
        </is>
      </c>
      <c r="D15" s="38" t="inlineStr">
        <is>
          <t>Ekuiti</t>
        </is>
      </c>
      <c r="E15" s="38">
        <f>IF(OR(D15="Aset",D15="Perbelanjaan"),"Debit","Kredit")</f>
        <v/>
      </c>
      <c r="F15" s="38" t="inlineStr">
        <is>
          <t>Tidak Berkaitan</t>
        </is>
      </c>
      <c r="G15" s="38" t="inlineStr">
        <is>
          <t>Aktif</t>
        </is>
      </c>
      <c r="H15" s="19" t="inlineStr">
        <is>
          <t>Wajib di bawah Akta Koperasi 1993</t>
        </is>
      </c>
      <c r="I15" s="38" t="n"/>
    </row>
    <row r="16" ht="15" customHeight="1" s="60">
      <c r="A16" s="12" t="n">
        <v>3030</v>
      </c>
      <c r="B16" s="38" t="inlineStr">
        <is>
          <t>Accumulated Surplus</t>
        </is>
      </c>
      <c r="C16" s="38" t="inlineStr">
        <is>
          <t>Lebihan Terkumpul</t>
        </is>
      </c>
      <c r="D16" s="38" t="inlineStr">
        <is>
          <t>Ekuiti</t>
        </is>
      </c>
      <c r="E16" s="38">
        <f>IF(OR(D16="Aset",D16="Perbelanjaan"),"Debit","Kredit")</f>
        <v/>
      </c>
      <c r="F16" s="38" t="inlineStr">
        <is>
          <t>Tidak Berkaitan</t>
        </is>
      </c>
      <c r="G16" s="38" t="inlineStr">
        <is>
          <t>Aktif</t>
        </is>
      </c>
      <c r="H16" s="19" t="n"/>
      <c r="I16" s="38" t="n"/>
    </row>
    <row r="17" ht="15" customHeight="1" s="60">
      <c r="A17" s="12" t="n">
        <v>4010</v>
      </c>
      <c r="B17" s="38" t="inlineStr">
        <is>
          <t>Entrance Fee</t>
        </is>
      </c>
      <c r="C17" s="38" t="inlineStr">
        <is>
          <t>Fi Masuk</t>
        </is>
      </c>
      <c r="D17" s="38" t="inlineStr">
        <is>
          <t>Hasil</t>
        </is>
      </c>
      <c r="E17" s="38">
        <f>IF(OR(D17="Aset",D17="Perbelanjaan"),"Debit","Kredit")</f>
        <v/>
      </c>
      <c r="F17" s="38" t="inlineStr">
        <is>
          <t>Operasi</t>
        </is>
      </c>
      <c r="G17" s="38" t="inlineStr">
        <is>
          <t>Aktif</t>
        </is>
      </c>
      <c r="H17" s="19" t="n"/>
      <c r="I17" s="38" t="n"/>
    </row>
    <row r="18" ht="15" customHeight="1" s="60">
      <c r="A18" s="12" t="n">
        <v>4020</v>
      </c>
      <c r="B18" s="38" t="inlineStr">
        <is>
          <t>Bank Interest (conventional)</t>
        </is>
      </c>
      <c r="C18" s="38" t="inlineStr">
        <is>
          <t>Faedah Bank</t>
        </is>
      </c>
      <c r="D18" s="38" t="inlineStr">
        <is>
          <t>Hasil</t>
        </is>
      </c>
      <c r="E18" s="38">
        <f>IF(OR(D18="Aset",D18="Perbelanjaan"),"Debit","Kredit")</f>
        <v/>
      </c>
      <c r="F18" s="38" t="inlineStr">
        <is>
          <t>Operasi</t>
        </is>
      </c>
      <c r="G18" s="38" t="inlineStr">
        <is>
          <t>Aktif</t>
        </is>
      </c>
      <c r="H18" s="19" t="n"/>
      <c r="I18" s="38" t="n"/>
    </row>
    <row r="19" ht="15" customHeight="1" s="60">
      <c r="A19" s="12" t="n">
        <v>4030</v>
      </c>
      <c r="B19" s="38" t="inlineStr">
        <is>
          <t>Bank Hibah (Islamic)</t>
        </is>
      </c>
      <c r="C19" s="38" t="inlineStr">
        <is>
          <t>Hibah Bank</t>
        </is>
      </c>
      <c r="D19" s="38" t="inlineStr">
        <is>
          <t>Hasil</t>
        </is>
      </c>
      <c r="E19" s="38">
        <f>IF(OR(D19="Aset",D19="Perbelanjaan"),"Debit","Kredit")</f>
        <v/>
      </c>
      <c r="F19" s="38" t="inlineStr">
        <is>
          <t>Operasi</t>
        </is>
      </c>
      <c r="G19" s="38" t="inlineStr">
        <is>
          <t>Aktif</t>
        </is>
      </c>
      <c r="H19" s="19" t="n"/>
      <c r="I19" s="38" t="n"/>
    </row>
    <row r="20" ht="15" customHeight="1" s="60">
      <c r="A20" s="12" t="n">
        <v>4040</v>
      </c>
      <c r="B20" s="38" t="inlineStr">
        <is>
          <t>Retail Sales</t>
        </is>
      </c>
      <c r="C20" s="38" t="inlineStr">
        <is>
          <t>Jualan Runcit</t>
        </is>
      </c>
      <c r="D20" s="38" t="inlineStr">
        <is>
          <t>Hasil</t>
        </is>
      </c>
      <c r="E20" s="38">
        <f>IF(OR(D20="Aset",D20="Perbelanjaan"),"Debit","Kredit")</f>
        <v/>
      </c>
      <c r="F20" s="38" t="inlineStr">
        <is>
          <t>Operasi</t>
        </is>
      </c>
      <c r="G20" s="38" t="inlineStr">
        <is>
          <t>Aktif</t>
        </is>
      </c>
      <c r="H20" s="19" t="n"/>
      <c r="I20" s="38" t="n"/>
    </row>
    <row r="21" ht="15" customHeight="1" s="60">
      <c r="A21" s="12" t="n">
        <v>4050</v>
      </c>
      <c r="B21" s="38" t="inlineStr">
        <is>
          <t>Service Income</t>
        </is>
      </c>
      <c r="C21" s="38" t="inlineStr">
        <is>
          <t>Pendapatan Perkhidmatan</t>
        </is>
      </c>
      <c r="D21" s="38" t="inlineStr">
        <is>
          <t>Hasil</t>
        </is>
      </c>
      <c r="E21" s="38">
        <f>IF(OR(D21="Aset",D21="Perbelanjaan"),"Debit","Kredit")</f>
        <v/>
      </c>
      <c r="F21" s="38" t="inlineStr">
        <is>
          <t>Operasi</t>
        </is>
      </c>
      <c r="G21" s="38" t="inlineStr">
        <is>
          <t>Aktif</t>
        </is>
      </c>
      <c r="H21" s="19" t="n"/>
      <c r="I21" s="38" t="n"/>
    </row>
    <row r="22" ht="15" customHeight="1" s="60">
      <c r="A22" s="12" t="n">
        <v>4060</v>
      </c>
      <c r="B22" s="38" t="inlineStr">
        <is>
          <t>Training &amp; Course Income</t>
        </is>
      </c>
      <c r="C22" s="38" t="inlineStr">
        <is>
          <t>Pendapatan Latihan &amp; Kursus</t>
        </is>
      </c>
      <c r="D22" s="38" t="inlineStr">
        <is>
          <t>Hasil</t>
        </is>
      </c>
      <c r="E22" s="38">
        <f>IF(OR(D22="Aset",D22="Perbelanjaan"),"Debit","Kredit")</f>
        <v/>
      </c>
      <c r="F22" s="38" t="inlineStr">
        <is>
          <t>Operasi</t>
        </is>
      </c>
      <c r="G22" s="38" t="inlineStr">
        <is>
          <t>Aktif</t>
        </is>
      </c>
      <c r="H22" s="19" t="n"/>
      <c r="I22" s="38" t="n"/>
    </row>
    <row r="23" ht="15" customHeight="1" s="60">
      <c r="A23" s="38" t="n">
        <v>4070</v>
      </c>
      <c r="B23" s="38" t="inlineStr">
        <is>
          <t>F&amp;B Sales</t>
        </is>
      </c>
      <c r="C23" s="38" t="inlineStr">
        <is>
          <t>Jualan Makanan &amp; Minuman</t>
        </is>
      </c>
      <c r="D23" s="38" t="inlineStr">
        <is>
          <t>Hasil</t>
        </is>
      </c>
      <c r="E23" s="38">
        <f>IF(OR(D23="Aset",D23="Perbelanjaan"),"Debit","Kredit")</f>
        <v/>
      </c>
      <c r="F23" s="38" t="inlineStr">
        <is>
          <t>Operasi</t>
        </is>
      </c>
      <c r="G23" s="38" t="inlineStr">
        <is>
          <t>Aktif</t>
        </is>
      </c>
      <c r="H23" s="19" t="n"/>
      <c r="I23" s="38" t="n"/>
    </row>
    <row r="24" ht="15" customHeight="1" s="60">
      <c r="A24" s="38" t="n">
        <v>4080</v>
      </c>
      <c r="B24" s="38" t="inlineStr">
        <is>
          <t>Halal Poultry &amp; Slaughter Product Sales</t>
        </is>
      </c>
      <c r="C24" s="38" t="inlineStr">
        <is>
          <t>Jualan Ayam &amp; Produk Sembelihan</t>
        </is>
      </c>
      <c r="D24" s="38" t="inlineStr">
        <is>
          <t>Hasil</t>
        </is>
      </c>
      <c r="E24" s="38">
        <f>IF(OR(D24="Aset",D24="Perbelanjaan"),"Debit","Kredit")</f>
        <v/>
      </c>
      <c r="F24" s="38" t="inlineStr">
        <is>
          <t>Operasi</t>
        </is>
      </c>
      <c r="G24" s="38" t="inlineStr">
        <is>
          <t>Aktif</t>
        </is>
      </c>
      <c r="H24" s="19" t="n"/>
      <c r="I24" s="38" t="n"/>
    </row>
    <row r="25" ht="15" customHeight="1" s="60">
      <c r="A25" s="38" t="n">
        <v>5010</v>
      </c>
      <c r="B25" s="38" t="inlineStr">
        <is>
          <t>Office Expenses</t>
        </is>
      </c>
      <c r="C25" s="38" t="inlineStr">
        <is>
          <t>Perbelanjaan Pejabat</t>
        </is>
      </c>
      <c r="D25" s="38" t="inlineStr">
        <is>
          <t>Perbelanjaan</t>
        </is>
      </c>
      <c r="E25" s="38">
        <f>IF(OR(D25="Aset",D25="Perbelanjaan"),"Debit","Kredit")</f>
        <v/>
      </c>
      <c r="F25" s="38" t="inlineStr">
        <is>
          <t>Operasi</t>
        </is>
      </c>
      <c r="G25" s="38" t="inlineStr">
        <is>
          <t>Aktif</t>
        </is>
      </c>
      <c r="H25" s="19" t="n"/>
      <c r="I25" s="38" t="n"/>
    </row>
    <row r="26" ht="15" customHeight="1" s="60">
      <c r="A26" s="38" t="n">
        <v>5020</v>
      </c>
      <c r="B26" s="38" t="inlineStr">
        <is>
          <t>Board Expenses</t>
        </is>
      </c>
      <c r="C26" s="38" t="inlineStr">
        <is>
          <t>Perbelanjaan Lembaga</t>
        </is>
      </c>
      <c r="D26" s="38" t="inlineStr">
        <is>
          <t>Perbelanjaan</t>
        </is>
      </c>
      <c r="E26" s="38">
        <f>IF(OR(D26="Aset",D26="Perbelanjaan"),"Debit","Kredit")</f>
        <v/>
      </c>
      <c r="F26" s="38" t="inlineStr">
        <is>
          <t>Operasi</t>
        </is>
      </c>
      <c r="G26" s="38" t="inlineStr">
        <is>
          <t>Aktif</t>
        </is>
      </c>
      <c r="H26" s="19" t="n"/>
      <c r="I26" s="38" t="n"/>
    </row>
    <row r="27" ht="15" customHeight="1" s="60">
      <c r="A27" s="38" t="n">
        <v>5030</v>
      </c>
      <c r="B27" s="38" t="inlineStr">
        <is>
          <t>Salaries and Allowances</t>
        </is>
      </c>
      <c r="C27" s="38" t="inlineStr">
        <is>
          <t>Gaji dan Elaun</t>
        </is>
      </c>
      <c r="D27" s="38" t="inlineStr">
        <is>
          <t>Perbelanjaan</t>
        </is>
      </c>
      <c r="E27" s="38">
        <f>IF(OR(D27="Aset",D27="Perbelanjaan"),"Debit","Kredit")</f>
        <v/>
      </c>
      <c r="F27" s="38" t="inlineStr">
        <is>
          <t>Operasi</t>
        </is>
      </c>
      <c r="G27" s="38" t="inlineStr">
        <is>
          <t>Aktif</t>
        </is>
      </c>
      <c r="H27" s="19" t="n"/>
      <c r="I27" s="38" t="n"/>
    </row>
    <row r="28" ht="15" customHeight="1" s="60">
      <c r="A28" s="38" t="n">
        <v>5040</v>
      </c>
      <c r="B28" s="38" t="inlineStr">
        <is>
          <t>Stationery and Printing</t>
        </is>
      </c>
      <c r="C28" s="38" t="inlineStr">
        <is>
          <t>Alatulis dan Percetakan</t>
        </is>
      </c>
      <c r="D28" s="38" t="inlineStr">
        <is>
          <t>Perbelanjaan</t>
        </is>
      </c>
      <c r="E28" s="38">
        <f>IF(OR(D28="Aset",D28="Perbelanjaan"),"Debit","Kredit")</f>
        <v/>
      </c>
      <c r="F28" s="38" t="inlineStr">
        <is>
          <t>Operasi</t>
        </is>
      </c>
      <c r="G28" s="38" t="inlineStr">
        <is>
          <t>Aktif</t>
        </is>
      </c>
      <c r="H28" s="19" t="n"/>
      <c r="I28" s="38" t="n"/>
    </row>
    <row r="29" ht="15" customHeight="1" s="60">
      <c r="A29" s="38" t="n">
        <v>5050</v>
      </c>
      <c r="B29" s="38" t="inlineStr">
        <is>
          <t>Statutory Audit Fee</t>
        </is>
      </c>
      <c r="C29" s="38" t="inlineStr">
        <is>
          <t>Fi Juruaudit</t>
        </is>
      </c>
      <c r="D29" s="38" t="inlineStr">
        <is>
          <t>Perbelanjaan</t>
        </is>
      </c>
      <c r="E29" s="38">
        <f>IF(OR(D29="Aset",D29="Perbelanjaan"),"Debit","Kredit")</f>
        <v/>
      </c>
      <c r="F29" s="38" t="inlineStr">
        <is>
          <t>Operasi</t>
        </is>
      </c>
      <c r="G29" s="38" t="inlineStr">
        <is>
          <t>Aktif</t>
        </is>
      </c>
      <c r="H29" s="19" t="n"/>
      <c r="I29" s="38" t="n"/>
    </row>
    <row r="30" ht="15" customHeight="1" s="60">
      <c r="A30" s="38" t="n">
        <v>5060</v>
      </c>
      <c r="B30" s="38" t="inlineStr">
        <is>
          <t>Accounting Fee</t>
        </is>
      </c>
      <c r="C30" s="38" t="inlineStr">
        <is>
          <t>Fi Perakaunan</t>
        </is>
      </c>
      <c r="D30" s="38" t="inlineStr">
        <is>
          <t>Perbelanjaan</t>
        </is>
      </c>
      <c r="E30" s="38">
        <f>IF(OR(D30="Aset",D30="Perbelanjaan"),"Debit","Kredit")</f>
        <v/>
      </c>
      <c r="F30" s="38" t="inlineStr">
        <is>
          <t>Operasi</t>
        </is>
      </c>
      <c r="G30" s="38" t="inlineStr">
        <is>
          <t>Aktif</t>
        </is>
      </c>
      <c r="H30" s="19" t="n"/>
      <c r="I30" s="38" t="n"/>
    </row>
    <row r="31" ht="15" customHeight="1" s="60">
      <c r="A31" s="38" t="n">
        <v>5070</v>
      </c>
      <c r="B31" s="38" t="inlineStr">
        <is>
          <t>Bank Charges</t>
        </is>
      </c>
      <c r="C31" s="38" t="inlineStr">
        <is>
          <t>Caj Bank</t>
        </is>
      </c>
      <c r="D31" s="38" t="inlineStr">
        <is>
          <t>Perbelanjaan</t>
        </is>
      </c>
      <c r="E31" s="38">
        <f>IF(OR(D31="Aset",D31="Perbelanjaan"),"Debit","Kredit")</f>
        <v/>
      </c>
      <c r="F31" s="38" t="inlineStr">
        <is>
          <t>Operasi</t>
        </is>
      </c>
      <c r="G31" s="38" t="inlineStr">
        <is>
          <t>Aktif</t>
        </is>
      </c>
      <c r="H31" s="19" t="n"/>
      <c r="I31" s="38" t="n"/>
    </row>
    <row r="32" ht="15" customHeight="1" s="60">
      <c r="A32" s="38" t="n">
        <v>5080</v>
      </c>
      <c r="B32" s="38" t="inlineStr">
        <is>
          <t>AGM Expenses — Annual</t>
        </is>
      </c>
      <c r="C32" s="38" t="inlineStr">
        <is>
          <t>Perbelanjaan Mesyuarat Agung Tahunan</t>
        </is>
      </c>
      <c r="D32" s="38" t="inlineStr">
        <is>
          <t>Perbelanjaan</t>
        </is>
      </c>
      <c r="E32" s="38">
        <f>IF(OR(D32="Aset",D32="Perbelanjaan"),"Debit","Kredit")</f>
        <v/>
      </c>
      <c r="F32" s="38" t="inlineStr">
        <is>
          <t>Operasi</t>
        </is>
      </c>
      <c r="G32" s="38" t="inlineStr">
        <is>
          <t>Aktif</t>
        </is>
      </c>
      <c r="H32" s="19" t="n"/>
      <c r="I32" s="38" t="n"/>
    </row>
    <row r="33" ht="15" customHeight="1" s="60">
      <c r="A33" s="38" t="n">
        <v>5090</v>
      </c>
      <c r="B33" s="38" t="inlineStr">
        <is>
          <t>AGM Expenses — Special/EGM</t>
        </is>
      </c>
      <c r="C33" s="38" t="inlineStr">
        <is>
          <t>Perbelanjaan Mesyuarat Agung Khas</t>
        </is>
      </c>
      <c r="D33" s="38" t="inlineStr">
        <is>
          <t>Perbelanjaan</t>
        </is>
      </c>
      <c r="E33" s="38">
        <f>IF(OR(D33="Aset",D33="Perbelanjaan"),"Debit","Kredit")</f>
        <v/>
      </c>
      <c r="F33" s="38" t="inlineStr">
        <is>
          <t>Operasi</t>
        </is>
      </c>
      <c r="G33" s="38" t="inlineStr">
        <is>
          <t>Aktif</t>
        </is>
      </c>
      <c r="H33" s="19" t="n"/>
      <c r="I33" s="38" t="n"/>
    </row>
    <row r="34" ht="15" customHeight="1" s="60">
      <c r="A34" s="38" t="n">
        <v>5100</v>
      </c>
      <c r="B34" s="38" t="inlineStr">
        <is>
          <t>Board Honorarium</t>
        </is>
      </c>
      <c r="C34" s="38" t="inlineStr">
        <is>
          <t>Honorarium ALK</t>
        </is>
      </c>
      <c r="D34" s="38" t="inlineStr">
        <is>
          <t>Perbelanjaan</t>
        </is>
      </c>
      <c r="E34" s="38">
        <f>IF(OR(D34="Aset",D34="Perbelanjaan"),"Debit","Kredit")</f>
        <v/>
      </c>
      <c r="F34" s="38" t="inlineStr">
        <is>
          <t>Operasi</t>
        </is>
      </c>
      <c r="G34" s="38" t="inlineStr">
        <is>
          <t>Tidak Aktif</t>
        </is>
      </c>
      <c r="H34" s="19" t="inlineStr">
        <is>
          <t>DIPINDAH ke APK sebagai pembahagian keuntungan, bukan perbelanjaan operasi - lihat akaun liabiliti gantian</t>
        </is>
      </c>
      <c r="I34" s="38" t="n"/>
    </row>
    <row r="35" ht="15" customHeight="1" s="60">
      <c r="A35" s="38" t="n">
        <v>5110</v>
      </c>
      <c r="B35" s="38" t="inlineStr">
        <is>
          <t>Income Tax</t>
        </is>
      </c>
      <c r="C35" s="38" t="inlineStr">
        <is>
          <t>Cukai Pendapatan</t>
        </is>
      </c>
      <c r="D35" s="38" t="inlineStr">
        <is>
          <t>Perbelanjaan</t>
        </is>
      </c>
      <c r="E35" s="38">
        <f>IF(OR(D35="Aset",D35="Perbelanjaan"),"Debit","Kredit")</f>
        <v/>
      </c>
      <c r="F35" s="38" t="inlineStr">
        <is>
          <t>Operasi</t>
        </is>
      </c>
      <c r="G35" s="38" t="inlineStr">
        <is>
          <t>Tidak Aktif</t>
        </is>
      </c>
      <c r="H35" s="19" t="inlineStr">
        <is>
          <t>DIPINDAH ke APK sebagai pembahagian keuntungan, bukan perbelanjaan operasi - lihat akaun liabiliti gantian</t>
        </is>
      </c>
      <c r="I35" s="38" t="n"/>
    </row>
    <row r="36" ht="15" customHeight="1" s="60">
      <c r="A36" s="38" t="n">
        <v>5120</v>
      </c>
      <c r="B36" s="38" t="inlineStr">
        <is>
          <t>Zakat</t>
        </is>
      </c>
      <c r="C36" s="38" t="inlineStr">
        <is>
          <t>Zakat</t>
        </is>
      </c>
      <c r="D36" s="38" t="inlineStr">
        <is>
          <t>Perbelanjaan</t>
        </is>
      </c>
      <c r="E36" s="38">
        <f>IF(OR(D36="Aset",D36="Perbelanjaan"),"Debit","Kredit")</f>
        <v/>
      </c>
      <c r="F36" s="38" t="inlineStr">
        <is>
          <t>Operasi</t>
        </is>
      </c>
      <c r="G36" s="38" t="inlineStr">
        <is>
          <t>Tidak Aktif</t>
        </is>
      </c>
      <c r="H36" s="19" t="inlineStr">
        <is>
          <t>DIPINDAH ke APK sebagai pembahagian keuntungan, bukan perbelanjaan operasi - lihat akaun liabiliti gantian</t>
        </is>
      </c>
      <c r="I36" s="38" t="n"/>
    </row>
    <row r="37" ht="15" customHeight="1" s="60">
      <c r="A37" s="38" t="n">
        <v>5130</v>
      </c>
      <c r="B37" s="38" t="inlineStr">
        <is>
          <t>Cooperative Education Fund</t>
        </is>
      </c>
      <c r="C37" s="38" t="inlineStr">
        <is>
          <t>Bayaran KWA Pendidikan Koperasi</t>
        </is>
      </c>
      <c r="D37" s="38" t="inlineStr">
        <is>
          <t>Perbelanjaan</t>
        </is>
      </c>
      <c r="E37" s="38">
        <f>IF(OR(D37="Aset",D37="Perbelanjaan"),"Debit","Kredit")</f>
        <v/>
      </c>
      <c r="F37" s="38" t="inlineStr">
        <is>
          <t>Operasi</t>
        </is>
      </c>
      <c r="G37" s="38" t="inlineStr">
        <is>
          <t>Tidak Aktif</t>
        </is>
      </c>
      <c r="H37" s="19" t="inlineStr">
        <is>
          <t>DIPINDAH ke APK sebagai pembahagian keuntungan, bukan perbelanjaan operasi - lihat akaun liabiliti gantian</t>
        </is>
      </c>
      <c r="I37" s="38" t="n"/>
    </row>
    <row r="38" ht="15" customHeight="1" s="60">
      <c r="A38" s="38" t="n">
        <v>5140</v>
      </c>
      <c r="B38" s="38" t="inlineStr">
        <is>
          <t>Cooperative Development Fund</t>
        </is>
      </c>
      <c r="C38" s="38" t="inlineStr">
        <is>
          <t>Bayaran KWA Pembangunan Koperasi</t>
        </is>
      </c>
      <c r="D38" s="38" t="inlineStr">
        <is>
          <t>Perbelanjaan</t>
        </is>
      </c>
      <c r="E38" s="38">
        <f>IF(OR(D38="Aset",D38="Perbelanjaan"),"Debit","Kredit")</f>
        <v/>
      </c>
      <c r="F38" s="38" t="inlineStr">
        <is>
          <t>Operasi</t>
        </is>
      </c>
      <c r="G38" s="38" t="inlineStr">
        <is>
          <t>Tidak Aktif</t>
        </is>
      </c>
      <c r="H38" s="19" t="inlineStr">
        <is>
          <t>DIPINDAH ke APK sebagai pembahagian keuntungan, bukan perbelanjaan operasi - lihat akaun liabiliti gantian</t>
        </is>
      </c>
      <c r="I38" s="38" t="n"/>
    </row>
    <row r="39" ht="15" customHeight="1" s="60">
      <c r="A39" s="38" t="n">
        <v>5150</v>
      </c>
      <c r="B39" s="38" t="inlineStr">
        <is>
          <t>Internet and Telephone</t>
        </is>
      </c>
      <c r="C39" s="38" t="inlineStr">
        <is>
          <t>Internet dan Telefon</t>
        </is>
      </c>
      <c r="D39" s="38" t="inlineStr">
        <is>
          <t>Perbelanjaan</t>
        </is>
      </c>
      <c r="E39" s="38">
        <f>IF(OR(D39="Aset",D39="Perbelanjaan"),"Debit","Kredit")</f>
        <v/>
      </c>
      <c r="F39" s="38" t="inlineStr">
        <is>
          <t>Operasi</t>
        </is>
      </c>
      <c r="G39" s="38" t="inlineStr">
        <is>
          <t>Aktif</t>
        </is>
      </c>
      <c r="H39" s="19" t="n"/>
      <c r="I39" s="38" t="n"/>
    </row>
    <row r="40" ht="15" customHeight="1" s="60">
      <c r="A40" s="38" t="n">
        <v>5160</v>
      </c>
      <c r="B40" s="38" t="inlineStr">
        <is>
          <t>Depreciation</t>
        </is>
      </c>
      <c r="C40" s="38" t="inlineStr">
        <is>
          <t>Susut Nilai Aset</t>
        </is>
      </c>
      <c r="D40" s="38" t="inlineStr">
        <is>
          <t>Perbelanjaan</t>
        </is>
      </c>
      <c r="E40" s="38">
        <f>IF(OR(D40="Aset",D40="Perbelanjaan"),"Debit","Kredit")</f>
        <v/>
      </c>
      <c r="F40" s="38" t="inlineStr">
        <is>
          <t>Operasi</t>
        </is>
      </c>
      <c r="G40" s="38" t="inlineStr">
        <is>
          <t>Aktif</t>
        </is>
      </c>
      <c r="H40" s="19" t="n"/>
      <c r="I40" s="38" t="n"/>
    </row>
    <row r="41" ht="15" customHeight="1" s="60">
      <c r="A41" s="38" t="n">
        <v>5170</v>
      </c>
      <c r="B41" s="38" t="inlineStr">
        <is>
          <t>Miscellaneous Expenses</t>
        </is>
      </c>
      <c r="C41" s="38" t="inlineStr">
        <is>
          <t>Pelbagai Perbelanjaan</t>
        </is>
      </c>
      <c r="D41" s="38" t="inlineStr">
        <is>
          <t>Perbelanjaan</t>
        </is>
      </c>
      <c r="E41" s="38">
        <f>IF(OR(D41="Aset",D41="Perbelanjaan"),"Debit","Kredit")</f>
        <v/>
      </c>
      <c r="F41" s="38" t="inlineStr">
        <is>
          <t>Operasi</t>
        </is>
      </c>
      <c r="G41" s="38" t="inlineStr">
        <is>
          <t>Aktif</t>
        </is>
      </c>
      <c r="H41" s="19" t="inlineStr">
        <is>
          <t>Tangkapan am</t>
        </is>
      </c>
      <c r="I41" s="38" t="n"/>
    </row>
    <row r="42" ht="15" customHeight="1" s="60">
      <c r="A42" s="38" t="n">
        <v>5180</v>
      </c>
      <c r="B42" s="38" t="inlineStr">
        <is>
          <t>Retail Purchases (COGS)</t>
        </is>
      </c>
      <c r="C42" s="38" t="inlineStr">
        <is>
          <t>Belian Runcit</t>
        </is>
      </c>
      <c r="D42" s="38" t="inlineStr">
        <is>
          <t>Perbelanjaan</t>
        </is>
      </c>
      <c r="E42" s="38">
        <f>IF(OR(D42="Aset",D42="Perbelanjaan"),"Debit","Kredit")</f>
        <v/>
      </c>
      <c r="F42" s="38" t="inlineStr">
        <is>
          <t>Operasi</t>
        </is>
      </c>
      <c r="G42" s="38" t="inlineStr">
        <is>
          <t>Aktif</t>
        </is>
      </c>
      <c r="H42" s="19" t="n"/>
      <c r="I42" s="38" t="n"/>
    </row>
    <row r="43" ht="15" customHeight="1" s="60">
      <c r="A43" s="38" t="n">
        <v>5190</v>
      </c>
      <c r="B43" s="38" t="inlineStr">
        <is>
          <t>Training &amp; Course Costs</t>
        </is>
      </c>
      <c r="C43" s="38" t="inlineStr">
        <is>
          <t>Kos Latihan &amp; Kursus</t>
        </is>
      </c>
      <c r="D43" s="38" t="inlineStr">
        <is>
          <t>Perbelanjaan</t>
        </is>
      </c>
      <c r="E43" s="38">
        <f>IF(OR(D43="Aset",D43="Perbelanjaan"),"Debit","Kredit")</f>
        <v/>
      </c>
      <c r="F43" s="38" t="inlineStr">
        <is>
          <t>Operasi</t>
        </is>
      </c>
      <c r="G43" s="38" t="inlineStr">
        <is>
          <t>Aktif</t>
        </is>
      </c>
      <c r="H43" s="19" t="n"/>
      <c r="I43" s="38" t="n"/>
    </row>
    <row r="44" ht="15" customHeight="1" s="60">
      <c r="A44" s="38" t="n">
        <v>5200</v>
      </c>
      <c r="B44" s="38" t="inlineStr">
        <is>
          <t>F&amp;B Raw Material Cost</t>
        </is>
      </c>
      <c r="C44" s="38" t="inlineStr">
        <is>
          <t>Kos Bahan Mentah F&amp;B</t>
        </is>
      </c>
      <c r="D44" s="38" t="inlineStr">
        <is>
          <t>Perbelanjaan</t>
        </is>
      </c>
      <c r="E44" s="38">
        <f>IF(OR(D44="Aset",D44="Perbelanjaan"),"Debit","Kredit")</f>
        <v/>
      </c>
      <c r="F44" s="38" t="inlineStr">
        <is>
          <t>Operasi</t>
        </is>
      </c>
      <c r="G44" s="38" t="inlineStr">
        <is>
          <t>Aktif</t>
        </is>
      </c>
      <c r="H44" s="19" t="n"/>
      <c r="I44" s="38" t="n"/>
    </row>
    <row r="45" ht="15" customHeight="1" s="60">
      <c r="A45" s="38" t="n">
        <v>5210</v>
      </c>
      <c r="B45" s="38" t="inlineStr">
        <is>
          <t>Live Chicken Purchases</t>
        </is>
      </c>
      <c r="C45" s="38" t="inlineStr">
        <is>
          <t>Belian Ayam Hidup</t>
        </is>
      </c>
      <c r="D45" s="38" t="inlineStr">
        <is>
          <t>Perbelanjaan</t>
        </is>
      </c>
      <c r="E45" s="38">
        <f>IF(OR(D45="Aset",D45="Perbelanjaan"),"Debit","Kredit")</f>
        <v/>
      </c>
      <c r="F45" s="38" t="inlineStr">
        <is>
          <t>Operasi</t>
        </is>
      </c>
      <c r="G45" s="38" t="inlineStr">
        <is>
          <t>Aktif</t>
        </is>
      </c>
      <c r="H45" s="19" t="n"/>
      <c r="I45" s="38" t="n"/>
    </row>
    <row r="46" ht="15" customHeight="1" s="60">
      <c r="A46" s="38" t="n">
        <v>5220</v>
      </c>
      <c r="B46" s="38" t="inlineStr">
        <is>
          <t>Slaughtering &amp; Processing Cost</t>
        </is>
      </c>
      <c r="C46" s="38" t="inlineStr">
        <is>
          <t>Kos Sembelihan &amp; Pemprosesan</t>
        </is>
      </c>
      <c r="D46" s="38" t="inlineStr">
        <is>
          <t>Perbelanjaan</t>
        </is>
      </c>
      <c r="E46" s="38">
        <f>IF(OR(D46="Aset",D46="Perbelanjaan"),"Debit","Kredit")</f>
        <v/>
      </c>
      <c r="F46" s="38" t="inlineStr">
        <is>
          <t>Operasi</t>
        </is>
      </c>
      <c r="G46" s="38" t="inlineStr">
        <is>
          <t>Aktif</t>
        </is>
      </c>
      <c r="H46" s="19" t="n"/>
      <c r="I46" s="38" t="n"/>
    </row>
    <row r="47" ht="15" customHeight="1" s="60">
      <c r="A47" s="38" t="n">
        <v>5230</v>
      </c>
      <c r="B47" s="38" t="inlineStr">
        <is>
          <t>Halal Certification Fee (JAKIM)</t>
        </is>
      </c>
      <c r="C47" s="38" t="inlineStr">
        <is>
          <t>Fi Pensijilan Halal</t>
        </is>
      </c>
      <c r="D47" s="38" t="inlineStr">
        <is>
          <t>Perbelanjaan</t>
        </is>
      </c>
      <c r="E47" s="38">
        <f>IF(OR(D47="Aset",D47="Perbelanjaan"),"Debit","Kredit")</f>
        <v/>
      </c>
      <c r="F47" s="38" t="inlineStr">
        <is>
          <t>Operasi</t>
        </is>
      </c>
      <c r="G47" s="38" t="inlineStr">
        <is>
          <t>Aktif</t>
        </is>
      </c>
      <c r="H47" s="19" t="n"/>
      <c r="I47" s="38" t="n"/>
    </row>
    <row r="48" ht="15" customHeight="1" s="60">
      <c r="A48" s="38" t="n">
        <v>1080</v>
      </c>
      <c r="B48" s="38" t="inlineStr">
        <is>
          <t>Petty Cash</t>
        </is>
      </c>
      <c r="C48" s="38" t="inlineStr">
        <is>
          <t>Wang Runcit</t>
        </is>
      </c>
      <c r="D48" s="38" t="inlineStr">
        <is>
          <t>Aset</t>
        </is>
      </c>
      <c r="E48" s="38">
        <f>IF(OR(D48="Aset",D48="Perbelanjaan"),"Debit","Kredit")</f>
        <v/>
      </c>
      <c r="F48" s="38" t="inlineStr">
        <is>
          <t>Tidak Berkaitan</t>
        </is>
      </c>
      <c r="G48" s="38" t="inlineStr">
        <is>
          <t>Aktif</t>
        </is>
      </c>
      <c r="H48" s="19" t="inlineStr">
        <is>
          <t>Diasingkan daripada Wang Di Tangan khas untuk sistem float/imprest - lihat helaian Wang_Runcit</t>
        </is>
      </c>
      <c r="I48" s="38" t="inlineStr">
        <is>
          <t>Semasa</t>
        </is>
      </c>
    </row>
    <row r="49" ht="15" customHeight="1" s="60">
      <c r="A49" s="38" t="n">
        <v>1090</v>
      </c>
      <c r="B49" s="38" t="inlineStr">
        <is>
          <t>Various Debtors</t>
        </is>
      </c>
      <c r="C49" s="38" t="inlineStr">
        <is>
          <t>Pelbagai Penghutang</t>
        </is>
      </c>
      <c r="D49" s="38" t="inlineStr">
        <is>
          <t>Aset</t>
        </is>
      </c>
      <c r="E49" s="38">
        <f>IF(OR(D49="Aset",D49="Perbelanjaan"),"Debit","Kredit")</f>
        <v/>
      </c>
      <c r="F49" s="38" t="inlineStr">
        <is>
          <t>Operasi</t>
        </is>
      </c>
      <c r="G49" s="38" t="inlineStr">
        <is>
          <t>Aktif</t>
        </is>
      </c>
      <c r="H49" s="19" t="n"/>
      <c r="I49" s="38" t="inlineStr">
        <is>
          <t>Semasa</t>
        </is>
      </c>
    </row>
    <row r="50" ht="15" customHeight="1" s="60">
      <c r="A50" s="38" t="n">
        <v>1100</v>
      </c>
      <c r="B50" s="38" t="inlineStr">
        <is>
          <t>Prepaid Expenses</t>
        </is>
      </c>
      <c r="C50" s="38" t="inlineStr">
        <is>
          <t>Perbelanjaan Prabayar</t>
        </is>
      </c>
      <c r="D50" s="38" t="inlineStr">
        <is>
          <t>Aset</t>
        </is>
      </c>
      <c r="E50" s="38">
        <f>IF(OR(D50="Aset",D50="Perbelanjaan"),"Debit","Kredit")</f>
        <v/>
      </c>
      <c r="F50" s="38" t="inlineStr">
        <is>
          <t>Operasi</t>
        </is>
      </c>
      <c r="G50" s="38" t="inlineStr">
        <is>
          <t>Aktif</t>
        </is>
      </c>
      <c r="H50" s="19" t="inlineStr">
        <is>
          <t>Dibayar sekarang, meliputi tempoh akan datang - cth. insurans setahun dibayar sekali</t>
        </is>
      </c>
      <c r="I50" s="38" t="inlineStr">
        <is>
          <t>Semasa</t>
        </is>
      </c>
    </row>
    <row r="51" ht="15" customHeight="1" s="60">
      <c r="A51" s="38" t="n">
        <v>1110</v>
      </c>
      <c r="B51" s="38" t="inlineStr">
        <is>
          <t>Accrued Income</t>
        </is>
      </c>
      <c r="C51" s="38" t="inlineStr">
        <is>
          <t>Pendapatan Terakru</t>
        </is>
      </c>
      <c r="D51" s="38" t="inlineStr">
        <is>
          <t>Aset</t>
        </is>
      </c>
      <c r="E51" s="38">
        <f>IF(OR(D51="Aset",D51="Perbelanjaan"),"Debit","Kredit")</f>
        <v/>
      </c>
      <c r="F51" s="38" t="inlineStr">
        <is>
          <t>Operasi</t>
        </is>
      </c>
      <c r="G51" s="38" t="inlineStr">
        <is>
          <t>Aktif</t>
        </is>
      </c>
      <c r="H51" s="19" t="inlineStr">
        <is>
          <t>Sudah diperoleh, belum diterima tunai</t>
        </is>
      </c>
      <c r="I51" s="38" t="inlineStr">
        <is>
          <t>Semasa</t>
        </is>
      </c>
    </row>
    <row r="52" ht="15" customHeight="1" s="60">
      <c r="A52" s="38" t="n">
        <v>2050</v>
      </c>
      <c r="B52" s="38" t="inlineStr">
        <is>
          <t>Accrued Expenses</t>
        </is>
      </c>
      <c r="C52" s="38" t="inlineStr">
        <is>
          <t>Perbelanjaan Terakru</t>
        </is>
      </c>
      <c r="D52" s="38" t="inlineStr">
        <is>
          <t>Liabiliti</t>
        </is>
      </c>
      <c r="E52" s="38">
        <f>IF(OR(D52="Aset",D52="Perbelanjaan"),"Debit","Kredit")</f>
        <v/>
      </c>
      <c r="F52" s="38" t="inlineStr">
        <is>
          <t>Operasi</t>
        </is>
      </c>
      <c r="G52" s="38" t="inlineStr">
        <is>
          <t>Aktif</t>
        </is>
      </c>
      <c r="H52" s="19" t="inlineStr">
        <is>
          <t>Sudah terlibat, belum dibayar - cth. bil elektrik bulan ini, invois belum sampai</t>
        </is>
      </c>
      <c r="I52" s="38" t="inlineStr">
        <is>
          <t>Semasa</t>
        </is>
      </c>
    </row>
    <row r="53" ht="15" customHeight="1" s="60">
      <c r="A53" s="38" t="n">
        <v>2060</v>
      </c>
      <c r="B53" s="38" t="inlineStr">
        <is>
          <t>Unearned Revenue</t>
        </is>
      </c>
      <c r="C53" s="38" t="inlineStr">
        <is>
          <t>Pendapatan Belum Diperoleh</t>
        </is>
      </c>
      <c r="D53" s="38" t="inlineStr">
        <is>
          <t>Liabiliti</t>
        </is>
      </c>
      <c r="E53" s="38">
        <f>IF(OR(D53="Aset",D53="Perbelanjaan"),"Debit","Kredit")</f>
        <v/>
      </c>
      <c r="F53" s="38" t="inlineStr">
        <is>
          <t>Operasi</t>
        </is>
      </c>
      <c r="G53" s="38" t="inlineStr">
        <is>
          <t>Aktif</t>
        </is>
      </c>
      <c r="H53" s="19" t="inlineStr">
        <is>
          <t>Tunai diterima dahulu, perkhidmatan/barangan belum diberi - cth. yuran kursus dibayar awal</t>
        </is>
      </c>
      <c r="I53" s="38" t="inlineStr">
        <is>
          <t>Semasa</t>
        </is>
      </c>
    </row>
    <row r="54" ht="15" customHeight="1" s="60">
      <c r="A54" s="38" t="n">
        <v>2070</v>
      </c>
      <c r="B54" s="38" t="inlineStr">
        <is>
          <t>Tax Payable</t>
        </is>
      </c>
      <c r="C54" s="38" t="inlineStr">
        <is>
          <t>Cukai Belum Dibayar</t>
        </is>
      </c>
      <c r="D54" s="38" t="inlineStr">
        <is>
          <t>Liabiliti</t>
        </is>
      </c>
      <c r="E54" s="38">
        <f>IF(OR(D54="Aset",D54="Perbelanjaan"),"Debit","Kredit")</f>
        <v/>
      </c>
      <c r="F54" s="38" t="inlineStr">
        <is>
          <t>Berkanun</t>
        </is>
      </c>
      <c r="G54" s="38" t="inlineStr">
        <is>
          <t>Aktif</t>
        </is>
      </c>
      <c r="H54" s="19" t="inlineStr">
        <is>
          <t>Diisi di APK, disahkan Lembaga, kemudian dipos sebagai satu transaksi</t>
        </is>
      </c>
      <c r="I54" s="38" t="inlineStr">
        <is>
          <t>Semasa</t>
        </is>
      </c>
    </row>
    <row r="55" ht="15" customHeight="1" s="60">
      <c r="A55" s="38" t="n">
        <v>2080</v>
      </c>
      <c r="B55" s="38" t="inlineStr">
        <is>
          <t>Zakat Payable</t>
        </is>
      </c>
      <c r="C55" s="38" t="inlineStr">
        <is>
          <t>Zakat Belum Dibayar</t>
        </is>
      </c>
      <c r="D55" s="38" t="inlineStr">
        <is>
          <t>Liabiliti</t>
        </is>
      </c>
      <c r="E55" s="38">
        <f>IF(OR(D55="Aset",D55="Perbelanjaan"),"Debit","Kredit")</f>
        <v/>
      </c>
      <c r="F55" s="38" t="inlineStr">
        <is>
          <t>Berkanun</t>
        </is>
      </c>
      <c r="G55" s="38" t="inlineStr">
        <is>
          <t>Aktif</t>
        </is>
      </c>
      <c r="H55" s="19" t="inlineStr">
        <is>
          <t>Sama seperti Cukai Belum Dibayar</t>
        </is>
      </c>
      <c r="I55" s="38" t="inlineStr">
        <is>
          <t>Semasa</t>
        </is>
      </c>
    </row>
    <row r="56" ht="15" customHeight="1" s="60">
      <c r="A56" s="38" t="n">
        <v>2090</v>
      </c>
      <c r="B56" s="38" t="inlineStr">
        <is>
          <t>Honorarium Payable</t>
        </is>
      </c>
      <c r="C56" s="38" t="inlineStr">
        <is>
          <t>Honorarium Belum Dibayar</t>
        </is>
      </c>
      <c r="D56" s="38" t="inlineStr">
        <is>
          <t>Liabiliti</t>
        </is>
      </c>
      <c r="E56" s="38">
        <f>IF(OR(D56="Aset",D56="Perbelanjaan"),"Debit","Kredit")</f>
        <v/>
      </c>
      <c r="F56" s="38" t="inlineStr">
        <is>
          <t>Berkanun</t>
        </is>
      </c>
      <c r="G56" s="38" t="inlineStr">
        <is>
          <t>Aktif</t>
        </is>
      </c>
      <c r="H56" s="19" t="inlineStr">
        <is>
          <t>Diluluskan di Mesyuarat Agung sebelum dipos</t>
        </is>
      </c>
      <c r="I56" s="38" t="inlineStr">
        <is>
          <t>Semasa</t>
        </is>
      </c>
    </row>
    <row r="57" ht="15" customHeight="1" s="60">
      <c r="A57" s="38" t="n">
        <v>2100</v>
      </c>
      <c r="B57" s="38" t="inlineStr">
        <is>
          <t>Cooperative Education Fund Payable</t>
        </is>
      </c>
      <c r="C57" s="38" t="inlineStr">
        <is>
          <t>KWA Pendidikan Koperasi Belum Dibayar</t>
        </is>
      </c>
      <c r="D57" s="38" t="inlineStr">
        <is>
          <t>Liabiliti</t>
        </is>
      </c>
      <c r="E57" s="38">
        <f>IF(OR(D57="Aset",D57="Perbelanjaan"),"Debit","Kredit")</f>
        <v/>
      </c>
      <c r="F57" s="38" t="inlineStr">
        <is>
          <t>Berkanun</t>
        </is>
      </c>
      <c r="G57" s="38" t="inlineStr">
        <is>
          <t>Aktif</t>
        </is>
      </c>
      <c r="H57" s="19" t="inlineStr">
        <is>
          <t>Dikira automatik di APK ikut kadar Tetapan</t>
        </is>
      </c>
      <c r="I57" s="38" t="inlineStr">
        <is>
          <t>Semasa</t>
        </is>
      </c>
    </row>
    <row r="58" ht="15" customHeight="1" s="60">
      <c r="A58" s="38" t="n">
        <v>2110</v>
      </c>
      <c r="B58" s="38" t="inlineStr">
        <is>
          <t>Cooperative Development Fund Payable</t>
        </is>
      </c>
      <c r="C58" s="38" t="inlineStr">
        <is>
          <t>KWA Pembangunan Koperasi Belum Dibayar</t>
        </is>
      </c>
      <c r="D58" s="38" t="inlineStr">
        <is>
          <t>Liabiliti</t>
        </is>
      </c>
      <c r="E58" s="38">
        <f>IF(OR(D58="Aset",D58="Perbelanjaan"),"Debit","Kredit")</f>
        <v/>
      </c>
      <c r="F58" s="38" t="inlineStr">
        <is>
          <t>Berkanun</t>
        </is>
      </c>
      <c r="G58" s="38" t="inlineStr">
        <is>
          <t>Aktif</t>
        </is>
      </c>
      <c r="H58" s="19" t="inlineStr">
        <is>
          <t>Dikira automatik di APK ikut kadar Tetapan</t>
        </is>
      </c>
      <c r="I58" s="38" t="inlineStr">
        <is>
          <t>Semasa</t>
        </is>
      </c>
    </row>
    <row r="59" ht="15" customHeight="1" s="60">
      <c r="A59" s="38" t="n">
        <v>1045</v>
      </c>
      <c r="B59" s="38" t="inlineStr">
        <is>
          <t>Accumulated Depreciation - Fixed Assets</t>
        </is>
      </c>
      <c r="C59" s="38" t="inlineStr">
        <is>
          <t>Susut Nilai Terkumpul - Aset Tetap</t>
        </is>
      </c>
      <c r="D59" s="38" t="inlineStr">
        <is>
          <t>Aset</t>
        </is>
      </c>
      <c r="E59" s="38">
        <f>IF(OR(D59="Aset",D59="Perbelanjaan"),"Debit","Kredit")</f>
        <v/>
      </c>
      <c r="F59" s="38" t="inlineStr">
        <is>
          <t>Pelaburan</t>
        </is>
      </c>
      <c r="G59" s="38" t="inlineStr">
        <is>
          <t>Aktif</t>
        </is>
      </c>
      <c r="H59" s="11" t="inlineStr">
        <is>
          <t>KONTRA-ASET: terkumpul via kredit, akan tunjuk Baki Bersih negatif - betul, ia tolak daripada Aset Tetap kasar</t>
        </is>
      </c>
      <c r="I59" s="38" t="inlineStr">
        <is>
          <t>Bukan Semasa</t>
        </is>
      </c>
    </row>
    <row r="60" ht="15" customHeight="1" s="60">
      <c r="A60" s="38" t="n">
        <v>1095</v>
      </c>
      <c r="B60" s="38" t="inlineStr">
        <is>
          <t>Allowance for Doubtful Debts</t>
        </is>
      </c>
      <c r="C60" s="38" t="inlineStr">
        <is>
          <t>Peruntukan Hutang Ragu</t>
        </is>
      </c>
      <c r="D60" s="38" t="inlineStr">
        <is>
          <t>Aset</t>
        </is>
      </c>
      <c r="E60" s="38">
        <f>IF(OR(D60="Aset",D60="Perbelanjaan"),"Debit","Kredit")</f>
        <v/>
      </c>
      <c r="F60" s="38" t="inlineStr">
        <is>
          <t>Operasi</t>
        </is>
      </c>
      <c r="G60" s="38" t="inlineStr">
        <is>
          <t>Aktif</t>
        </is>
      </c>
      <c r="H60" s="11" t="inlineStr">
        <is>
          <t>KONTRA-ASET (sama seperti Susut Nilai Terkumpul). GP23 wajibkan ini khusus untuk pinjaman &gt;6 bulan tak berbayar; amalan baik untuk Penghutang am juga</t>
        </is>
      </c>
      <c r="I60" s="38" t="inlineStr">
        <is>
          <t>Semasa</t>
        </is>
      </c>
    </row>
    <row r="61" ht="15" customHeight="1" s="60">
      <c r="A61" s="16" t="n"/>
      <c r="B61" s="16" t="n"/>
      <c r="C61" s="16" t="n"/>
      <c r="D61" s="16" t="n"/>
      <c r="E61" s="16" t="n"/>
      <c r="F61" s="16" t="n"/>
      <c r="G61" s="16" t="n"/>
      <c r="H61" s="16" t="n"/>
      <c r="I61" s="41" t="n"/>
    </row>
    <row r="62" ht="15" customHeight="1" s="60">
      <c r="A62" s="16" t="n"/>
      <c r="B62" s="16" t="n"/>
      <c r="C62" s="16" t="n"/>
      <c r="D62" s="16" t="n"/>
      <c r="E62" s="16" t="n"/>
      <c r="F62" s="16" t="n"/>
      <c r="G62" s="16" t="n"/>
      <c r="H62" s="16" t="n"/>
      <c r="I62" s="41" t="n"/>
    </row>
    <row r="63" ht="15" customHeight="1" s="60">
      <c r="A63" s="16" t="n"/>
      <c r="B63" s="16" t="n"/>
      <c r="C63" s="16" t="n"/>
      <c r="D63" s="16" t="n"/>
      <c r="E63" s="16" t="n"/>
      <c r="F63" s="16" t="n"/>
      <c r="G63" s="16" t="n"/>
      <c r="H63" s="16" t="n"/>
      <c r="I63" s="41" t="n"/>
    </row>
    <row r="64" ht="15" customHeight="1" s="60">
      <c r="A64" s="16" t="n"/>
      <c r="B64" s="16" t="n"/>
      <c r="C64" s="16" t="n"/>
      <c r="D64" s="16" t="n"/>
      <c r="E64" s="16" t="n"/>
      <c r="F64" s="16" t="n"/>
      <c r="G64" s="16" t="n"/>
      <c r="H64" s="16" t="n"/>
      <c r="I64" s="41" t="n"/>
    </row>
    <row r="65" ht="15" customHeight="1" s="60">
      <c r="A65" s="16" t="n"/>
      <c r="B65" s="16" t="n"/>
      <c r="C65" s="16" t="n"/>
      <c r="D65" s="16" t="n"/>
      <c r="E65" s="16" t="n"/>
      <c r="F65" s="16" t="n"/>
      <c r="G65" s="16" t="n"/>
      <c r="H65" s="16" t="n"/>
      <c r="I65" s="41" t="n"/>
    </row>
    <row r="66" ht="15" customHeight="1" s="60">
      <c r="A66" s="16" t="n"/>
      <c r="B66" s="16" t="n"/>
      <c r="C66" s="16" t="n"/>
      <c r="D66" s="16" t="n"/>
      <c r="E66" s="16" t="n"/>
      <c r="F66" s="16" t="n"/>
      <c r="G66" s="16" t="n"/>
      <c r="H66" s="16" t="n"/>
      <c r="I66" s="41" t="n"/>
    </row>
    <row r="67" ht="15" customHeight="1" s="60">
      <c r="A67" s="16" t="n"/>
      <c r="B67" s="16" t="n"/>
      <c r="C67" s="16" t="n"/>
      <c r="D67" s="16" t="n"/>
      <c r="E67" s="16" t="n"/>
      <c r="F67" s="16" t="n"/>
      <c r="G67" s="16" t="n"/>
      <c r="H67" s="16" t="n"/>
      <c r="I67" s="41" t="n"/>
    </row>
    <row r="68" ht="15" customHeight="1" s="60">
      <c r="A68" s="16" t="n"/>
      <c r="B68" s="16" t="n"/>
      <c r="C68" s="16" t="n"/>
      <c r="D68" s="16" t="n"/>
      <c r="E68" s="16" t="n"/>
      <c r="F68" s="16" t="n"/>
      <c r="G68" s="16" t="n"/>
      <c r="H68" s="16" t="n"/>
      <c r="I68" s="41" t="n"/>
    </row>
    <row r="69" ht="15" customHeight="1" s="60">
      <c r="A69" s="16" t="n"/>
      <c r="B69" s="16" t="n"/>
      <c r="C69" s="16" t="n"/>
      <c r="D69" s="16" t="n"/>
      <c r="E69" s="16" t="n"/>
      <c r="F69" s="16" t="n"/>
      <c r="G69" s="16" t="n"/>
      <c r="H69" s="16" t="n"/>
      <c r="I69" s="41" t="n"/>
    </row>
    <row r="70" ht="15" customHeight="1" s="60">
      <c r="A70" s="16" t="n"/>
      <c r="B70" s="16" t="n"/>
      <c r="C70" s="16" t="n"/>
      <c r="D70" s="16" t="n"/>
      <c r="E70" s="16" t="n"/>
      <c r="F70" s="16" t="n"/>
      <c r="G70" s="16" t="n"/>
      <c r="H70" s="16" t="n"/>
      <c r="I70" s="41" t="n"/>
    </row>
    <row r="71" ht="15" customHeight="1" s="60">
      <c r="A71" s="16" t="n"/>
      <c r="B71" s="16" t="n"/>
      <c r="C71" s="16" t="n"/>
      <c r="D71" s="16" t="n"/>
      <c r="E71" s="16" t="n"/>
      <c r="F71" s="16" t="n"/>
      <c r="G71" s="16" t="n"/>
      <c r="H71" s="16" t="n"/>
      <c r="I71" s="41" t="n"/>
    </row>
    <row r="72" ht="15" customHeight="1" s="60">
      <c r="A72" s="16" t="n"/>
      <c r="B72" s="16" t="n"/>
      <c r="C72" s="16" t="n"/>
      <c r="D72" s="16" t="n"/>
      <c r="E72" s="16" t="n"/>
      <c r="F72" s="16" t="n"/>
      <c r="G72" s="16" t="n"/>
      <c r="H72" s="16" t="n"/>
      <c r="I72" s="41" t="n"/>
    </row>
    <row r="73" ht="15" customHeight="1" s="60">
      <c r="A73" s="16" t="n"/>
      <c r="B73" s="16" t="n"/>
      <c r="C73" s="16" t="n"/>
      <c r="D73" s="16" t="n"/>
      <c r="E73" s="16" t="n"/>
      <c r="F73" s="16" t="n"/>
      <c r="G73" s="16" t="n"/>
      <c r="H73" s="16" t="n"/>
      <c r="I73" s="41" t="n"/>
    </row>
    <row r="74" ht="15" customHeight="1" s="60">
      <c r="A74" s="16" t="n"/>
      <c r="B74" s="16" t="n"/>
      <c r="C74" s="16" t="n"/>
      <c r="D74" s="16" t="n"/>
      <c r="E74" s="16" t="n"/>
      <c r="F74" s="16" t="n"/>
      <c r="G74" s="16" t="n"/>
      <c r="H74" s="16" t="n"/>
      <c r="I74" s="41" t="n"/>
    </row>
    <row r="75" ht="15" customHeight="1" s="60">
      <c r="A75" s="16" t="n"/>
      <c r="B75" s="16" t="n"/>
      <c r="C75" s="16" t="n"/>
      <c r="D75" s="16" t="n"/>
      <c r="E75" s="16" t="n"/>
      <c r="F75" s="16" t="n"/>
      <c r="G75" s="16" t="n"/>
      <c r="H75" s="16" t="n"/>
      <c r="I75" s="41" t="n"/>
    </row>
    <row r="76" ht="15" customHeight="1" s="60">
      <c r="A76" s="16" t="n"/>
      <c r="B76" s="16" t="n"/>
      <c r="C76" s="16" t="n"/>
      <c r="D76" s="16" t="n"/>
      <c r="E76" s="16" t="n"/>
      <c r="F76" s="16" t="n"/>
      <c r="G76" s="16" t="n"/>
      <c r="H76" s="16" t="n"/>
      <c r="I76" s="41" t="n"/>
    </row>
    <row r="77" ht="15" customHeight="1" s="60">
      <c r="A77" s="16" t="n"/>
      <c r="B77" s="16" t="n"/>
      <c r="C77" s="16" t="n"/>
      <c r="D77" s="16" t="n"/>
      <c r="E77" s="16" t="n"/>
      <c r="F77" s="16" t="n"/>
      <c r="G77" s="16" t="n"/>
      <c r="H77" s="16" t="n"/>
      <c r="I77" s="41" t="n"/>
    </row>
    <row r="78" ht="15" customHeight="1" s="60">
      <c r="A78" s="16" t="n"/>
      <c r="B78" s="16" t="n"/>
      <c r="C78" s="16" t="n"/>
      <c r="D78" s="16" t="n"/>
      <c r="E78" s="16" t="n"/>
      <c r="F78" s="16" t="n"/>
      <c r="G78" s="16" t="n"/>
      <c r="H78" s="16" t="n"/>
      <c r="I78" s="41" t="n"/>
    </row>
    <row r="79" ht="15" customHeight="1" s="60">
      <c r="A79" s="16" t="n"/>
      <c r="B79" s="16" t="n"/>
      <c r="C79" s="16" t="n"/>
      <c r="D79" s="16" t="n"/>
      <c r="E79" s="16" t="n"/>
      <c r="F79" s="16" t="n"/>
      <c r="G79" s="16" t="n"/>
      <c r="H79" s="16" t="n"/>
      <c r="I79" s="41" t="n"/>
    </row>
    <row r="80" ht="15" customHeight="1" s="60">
      <c r="A80" s="16" t="n"/>
      <c r="B80" s="16" t="n"/>
      <c r="C80" s="16" t="n"/>
      <c r="D80" s="16" t="n"/>
      <c r="E80" s="16" t="n"/>
      <c r="F80" s="16" t="n"/>
      <c r="G80" s="16" t="n"/>
      <c r="H80" s="16" t="n"/>
      <c r="I80" s="41" t="n"/>
    </row>
    <row r="81" ht="15" customHeight="1" s="60">
      <c r="A81" s="16" t="n"/>
      <c r="B81" s="16" t="n"/>
      <c r="C81" s="16" t="n"/>
      <c r="D81" s="16" t="n"/>
      <c r="E81" s="16" t="n"/>
      <c r="F81" s="16" t="n"/>
      <c r="G81" s="16" t="n"/>
      <c r="H81" s="16" t="n"/>
      <c r="I81" s="41" t="n"/>
    </row>
    <row r="82" ht="15" customHeight="1" s="60">
      <c r="A82" s="16" t="n"/>
      <c r="B82" s="16" t="n"/>
      <c r="C82" s="16" t="n"/>
      <c r="D82" s="16" t="n"/>
      <c r="E82" s="16" t="n"/>
      <c r="F82" s="16" t="n"/>
      <c r="G82" s="16" t="n"/>
      <c r="H82" s="16" t="n"/>
      <c r="I82" s="41" t="n"/>
    </row>
    <row r="83" ht="15" customHeight="1" s="60">
      <c r="A83" s="16" t="n"/>
      <c r="B83" s="16" t="n"/>
      <c r="C83" s="16" t="n"/>
      <c r="D83" s="16" t="n"/>
      <c r="E83" s="16" t="n"/>
      <c r="F83" s="16" t="n"/>
      <c r="G83" s="16" t="n"/>
      <c r="H83" s="16" t="n"/>
      <c r="I83" s="41" t="n"/>
    </row>
    <row r="84" ht="15" customHeight="1" s="60">
      <c r="A84" s="16" t="n"/>
      <c r="B84" s="16" t="n"/>
      <c r="C84" s="16" t="n"/>
      <c r="D84" s="16" t="n"/>
      <c r="E84" s="16" t="n"/>
      <c r="F84" s="16" t="n"/>
      <c r="G84" s="16" t="n"/>
      <c r="H84" s="16" t="n"/>
      <c r="I84" s="41" t="n"/>
    </row>
    <row r="85" ht="15" customHeight="1" s="60">
      <c r="A85" s="16" t="n"/>
      <c r="B85" s="16" t="n"/>
      <c r="C85" s="16" t="n"/>
      <c r="D85" s="16" t="n"/>
      <c r="E85" s="16" t="n"/>
      <c r="F85" s="16" t="n"/>
      <c r="G85" s="16" t="n"/>
      <c r="H85" s="16" t="n"/>
      <c r="I85" s="41" t="n"/>
    </row>
    <row r="86" ht="15" customHeight="1" s="60">
      <c r="A86" s="16" t="n"/>
      <c r="B86" s="16" t="n"/>
      <c r="C86" s="16" t="n"/>
      <c r="D86" s="16" t="n"/>
      <c r="E86" s="16" t="n"/>
      <c r="F86" s="16" t="n"/>
      <c r="G86" s="16" t="n"/>
      <c r="H86" s="16" t="n"/>
      <c r="I86" s="41" t="n"/>
    </row>
    <row r="87" ht="15" customHeight="1" s="60">
      <c r="A87" s="16" t="n"/>
      <c r="B87" s="16" t="n"/>
      <c r="C87" s="16" t="n"/>
      <c r="D87" s="16" t="n"/>
      <c r="E87" s="16" t="n"/>
      <c r="F87" s="16" t="n"/>
      <c r="G87" s="16" t="n"/>
      <c r="H87" s="16" t="n"/>
      <c r="I87" s="41" t="n"/>
    </row>
    <row r="88" ht="15" customHeight="1" s="60">
      <c r="A88" s="16" t="n"/>
      <c r="B88" s="16" t="n"/>
      <c r="C88" s="16" t="n"/>
      <c r="D88" s="16" t="n"/>
      <c r="E88" s="16" t="n"/>
      <c r="F88" s="16" t="n"/>
      <c r="G88" s="16" t="n"/>
      <c r="H88" s="16" t="n"/>
      <c r="I88" s="41" t="n"/>
    </row>
    <row r="89" ht="15" customHeight="1" s="60">
      <c r="A89" s="16" t="n"/>
      <c r="B89" s="16" t="n"/>
      <c r="C89" s="16" t="n"/>
      <c r="D89" s="16" t="n"/>
      <c r="E89" s="16" t="n"/>
      <c r="F89" s="16" t="n"/>
      <c r="G89" s="16" t="n"/>
      <c r="H89" s="16" t="n"/>
      <c r="I89" s="41" t="n"/>
    </row>
    <row r="90" ht="15" customHeight="1" s="60">
      <c r="A90" s="16" t="n"/>
      <c r="B90" s="16" t="n"/>
      <c r="C90" s="16" t="n"/>
      <c r="D90" s="16" t="n"/>
      <c r="E90" s="16" t="n"/>
      <c r="F90" s="16" t="n"/>
      <c r="G90" s="16" t="n"/>
      <c r="H90" s="16" t="n"/>
      <c r="I90" s="41" t="n"/>
    </row>
    <row r="91" ht="15" customHeight="1" s="60">
      <c r="A91" s="16" t="n"/>
      <c r="B91" s="16" t="n"/>
      <c r="C91" s="16" t="n"/>
      <c r="D91" s="16" t="n"/>
      <c r="E91" s="16" t="n"/>
      <c r="F91" s="16" t="n"/>
      <c r="G91" s="16" t="n"/>
      <c r="H91" s="16" t="n"/>
      <c r="I91" s="41" t="n"/>
    </row>
    <row r="92" ht="15" customHeight="1" s="60">
      <c r="A92" s="16" t="n"/>
      <c r="B92" s="16" t="n"/>
      <c r="C92" s="16" t="n"/>
      <c r="D92" s="16" t="n"/>
      <c r="E92" s="16" t="n"/>
      <c r="F92" s="16" t="n"/>
      <c r="G92" s="16" t="n"/>
      <c r="H92" s="16" t="n"/>
      <c r="I92" s="41" t="n"/>
    </row>
    <row r="93" ht="15" customHeight="1" s="60">
      <c r="A93" s="16" t="n"/>
      <c r="B93" s="16" t="n"/>
      <c r="C93" s="16" t="n"/>
      <c r="D93" s="16" t="n"/>
      <c r="E93" s="16" t="n"/>
      <c r="F93" s="16" t="n"/>
      <c r="G93" s="16" t="n"/>
      <c r="H93" s="16" t="n"/>
      <c r="I93" s="41" t="n"/>
    </row>
    <row r="94" ht="15" customHeight="1" s="60">
      <c r="A94" s="16" t="n"/>
      <c r="B94" s="16" t="n"/>
      <c r="C94" s="16" t="n"/>
      <c r="D94" s="16" t="n"/>
      <c r="E94" s="16" t="n"/>
      <c r="F94" s="16" t="n"/>
      <c r="G94" s="16" t="n"/>
      <c r="H94" s="16" t="n"/>
      <c r="I94" s="41" t="n"/>
    </row>
    <row r="95" ht="15" customHeight="1" s="60">
      <c r="A95" s="16" t="n"/>
      <c r="B95" s="16" t="n"/>
      <c r="C95" s="16" t="n"/>
      <c r="D95" s="16" t="n"/>
      <c r="E95" s="16" t="n"/>
      <c r="F95" s="16" t="n"/>
      <c r="G95" s="16" t="n"/>
      <c r="H95" s="16" t="n"/>
      <c r="I95" s="41" t="n"/>
    </row>
    <row r="96" ht="15" customHeight="1" s="60">
      <c r="A96" s="16" t="n"/>
      <c r="B96" s="16" t="n"/>
      <c r="C96" s="16" t="n"/>
      <c r="D96" s="16" t="n"/>
      <c r="E96" s="16" t="n"/>
      <c r="F96" s="16" t="n"/>
      <c r="G96" s="16" t="n"/>
      <c r="H96" s="16" t="n"/>
      <c r="I96" s="41" t="n"/>
    </row>
    <row r="97" ht="15" customHeight="1" s="60">
      <c r="A97" s="16" t="n"/>
      <c r="B97" s="16" t="n"/>
      <c r="C97" s="16" t="n"/>
      <c r="D97" s="16" t="n"/>
      <c r="E97" s="16" t="n"/>
      <c r="F97" s="16" t="n"/>
      <c r="G97" s="16" t="n"/>
      <c r="H97" s="16" t="n"/>
      <c r="I97" s="41" t="n"/>
    </row>
    <row r="98" ht="15.75" customHeight="1" s="60">
      <c r="A98" s="41" t="n"/>
      <c r="B98" s="41" t="n"/>
      <c r="C98" s="41" t="n"/>
      <c r="D98" s="41" t="n"/>
      <c r="E98" s="41" t="n"/>
      <c r="F98" s="41" t="n"/>
      <c r="G98" s="41" t="n"/>
      <c r="H98" s="41" t="n"/>
      <c r="I98" s="41" t="n"/>
    </row>
    <row r="99" ht="15.75" customHeight="1" s="60">
      <c r="A99" s="41" t="n"/>
      <c r="B99" s="41" t="n"/>
      <c r="C99" s="41" t="n"/>
      <c r="D99" s="41" t="n"/>
      <c r="E99" s="41" t="n"/>
      <c r="F99" s="41" t="n"/>
      <c r="G99" s="41" t="n"/>
      <c r="H99" s="41" t="n"/>
      <c r="I99" s="41" t="n"/>
    </row>
    <row r="100" ht="15.75" customHeight="1" s="60">
      <c r="A100" s="41" t="n"/>
      <c r="B100" s="41" t="n"/>
      <c r="C100" s="41" t="n"/>
      <c r="D100" s="41" t="n"/>
      <c r="E100" s="41" t="n"/>
      <c r="F100" s="41" t="n"/>
      <c r="G100" s="41" t="n"/>
      <c r="H100" s="41" t="n"/>
      <c r="I100" s="41" t="n"/>
    </row>
    <row r="101" ht="15.75" customHeight="1" s="60">
      <c r="A101" s="41" t="n"/>
      <c r="B101" s="41" t="n"/>
      <c r="C101" s="41" t="n"/>
      <c r="D101" s="41" t="n"/>
      <c r="E101" s="41" t="n"/>
      <c r="F101" s="41" t="n"/>
      <c r="G101" s="41" t="n"/>
      <c r="H101" s="41" t="n"/>
      <c r="I101" s="41" t="n"/>
    </row>
    <row r="102" ht="15.75" customHeight="1" s="60">
      <c r="A102" s="41" t="n"/>
      <c r="B102" s="41" t="n"/>
      <c r="C102" s="41" t="n"/>
      <c r="D102" s="41" t="n"/>
      <c r="E102" s="41" t="n"/>
      <c r="F102" s="41" t="n"/>
      <c r="G102" s="41" t="n"/>
      <c r="H102" s="41" t="n"/>
      <c r="I102" s="41" t="n"/>
    </row>
    <row r="103" ht="15.75" customHeight="1" s="60">
      <c r="A103" s="41" t="n"/>
      <c r="B103" s="41" t="n"/>
      <c r="C103" s="41" t="n"/>
      <c r="D103" s="41" t="n"/>
      <c r="E103" s="41" t="n"/>
      <c r="F103" s="41" t="n"/>
      <c r="G103" s="41" t="n"/>
      <c r="H103" s="41" t="n"/>
      <c r="I103" s="41" t="n"/>
    </row>
    <row r="104" ht="15.75" customHeight="1" s="60">
      <c r="A104" s="41" t="n"/>
      <c r="B104" s="41" t="n"/>
      <c r="C104" s="41" t="n"/>
      <c r="D104" s="41" t="n"/>
      <c r="E104" s="41" t="n"/>
      <c r="F104" s="41" t="n"/>
      <c r="G104" s="41" t="n"/>
      <c r="H104" s="41" t="n"/>
      <c r="I104" s="41" t="n"/>
    </row>
    <row r="105" ht="15.75" customHeight="1" s="60">
      <c r="A105" s="41" t="n"/>
      <c r="B105" s="41" t="n"/>
      <c r="C105" s="41" t="n"/>
      <c r="D105" s="41" t="n"/>
      <c r="E105" s="41" t="n"/>
      <c r="F105" s="41" t="n"/>
      <c r="G105" s="41" t="n"/>
      <c r="H105" s="41" t="n"/>
      <c r="I105" s="41" t="n"/>
    </row>
    <row r="106" ht="15.75" customHeight="1" s="60">
      <c r="A106" s="41" t="n"/>
      <c r="B106" s="41" t="n"/>
      <c r="C106" s="41" t="n"/>
      <c r="D106" s="41" t="n"/>
      <c r="E106" s="41" t="n"/>
      <c r="F106" s="41" t="n"/>
      <c r="G106" s="41" t="n"/>
      <c r="H106" s="41" t="n"/>
      <c r="I106" s="41" t="n"/>
    </row>
    <row r="107" ht="15.75" customHeight="1" s="60">
      <c r="A107" s="41" t="n"/>
      <c r="B107" s="41" t="n"/>
      <c r="C107" s="41" t="n"/>
      <c r="D107" s="41" t="n"/>
      <c r="E107" s="41" t="n"/>
      <c r="F107" s="41" t="n"/>
      <c r="G107" s="41" t="n"/>
      <c r="H107" s="41" t="n"/>
      <c r="I107" s="41" t="n"/>
    </row>
    <row r="108" ht="15.75" customHeight="1" s="60">
      <c r="A108" s="41" t="n"/>
      <c r="B108" s="41" t="n"/>
      <c r="C108" s="41" t="n"/>
      <c r="D108" s="41" t="n"/>
      <c r="E108" s="41" t="n"/>
      <c r="F108" s="41" t="n"/>
      <c r="G108" s="41" t="n"/>
      <c r="H108" s="41" t="n"/>
      <c r="I108" s="41" t="n"/>
    </row>
    <row r="109" ht="15.75" customHeight="1" s="60">
      <c r="A109" s="41" t="n"/>
      <c r="B109" s="41" t="n"/>
      <c r="C109" s="41" t="n"/>
      <c r="D109" s="41" t="n"/>
      <c r="E109" s="41" t="n"/>
      <c r="F109" s="41" t="n"/>
      <c r="G109" s="41" t="n"/>
      <c r="H109" s="41" t="n"/>
      <c r="I109" s="41" t="n"/>
    </row>
    <row r="110" ht="15.75" customHeight="1" s="60">
      <c r="A110" s="41" t="n"/>
      <c r="B110" s="41" t="n"/>
      <c r="C110" s="41" t="n"/>
      <c r="D110" s="41" t="n"/>
      <c r="E110" s="41" t="n"/>
      <c r="F110" s="41" t="n"/>
      <c r="G110" s="41" t="n"/>
      <c r="H110" s="41" t="n"/>
      <c r="I110" s="41" t="n"/>
    </row>
    <row r="111" ht="15.75" customHeight="1" s="60">
      <c r="A111" s="41" t="n"/>
      <c r="B111" s="41" t="n"/>
      <c r="C111" s="41" t="n"/>
      <c r="D111" s="41" t="n"/>
      <c r="E111" s="41" t="n"/>
      <c r="F111" s="41" t="n"/>
      <c r="G111" s="41" t="n"/>
      <c r="H111" s="41" t="n"/>
      <c r="I111" s="41" t="n"/>
    </row>
    <row r="112" ht="15.75" customHeight="1" s="60">
      <c r="A112" s="41" t="n"/>
      <c r="B112" s="41" t="n"/>
      <c r="C112" s="41" t="n"/>
      <c r="D112" s="41" t="n"/>
      <c r="E112" s="41" t="n"/>
      <c r="F112" s="41" t="n"/>
      <c r="G112" s="41" t="n"/>
      <c r="H112" s="41" t="n"/>
      <c r="I112" s="41" t="n"/>
    </row>
    <row r="113" ht="15.75" customHeight="1" s="60">
      <c r="A113" s="41" t="n"/>
      <c r="B113" s="41" t="n"/>
      <c r="C113" s="41" t="n"/>
      <c r="D113" s="41" t="n"/>
      <c r="E113" s="41" t="n"/>
      <c r="F113" s="41" t="n"/>
      <c r="G113" s="41" t="n"/>
      <c r="H113" s="41" t="n"/>
      <c r="I113" s="41" t="n"/>
    </row>
    <row r="114" ht="15.75" customHeight="1" s="60">
      <c r="A114" s="41" t="n"/>
      <c r="B114" s="41" t="n"/>
      <c r="C114" s="41" t="n"/>
      <c r="D114" s="41" t="n"/>
      <c r="E114" s="41" t="n"/>
      <c r="F114" s="41" t="n"/>
      <c r="G114" s="41" t="n"/>
      <c r="H114" s="41" t="n"/>
      <c r="I114" s="41" t="n"/>
    </row>
    <row r="115" ht="15.75" customHeight="1" s="60">
      <c r="A115" s="41" t="n"/>
      <c r="B115" s="41" t="n"/>
      <c r="C115" s="41" t="n"/>
      <c r="D115" s="41" t="n"/>
      <c r="E115" s="41" t="n"/>
      <c r="F115" s="41" t="n"/>
      <c r="G115" s="41" t="n"/>
      <c r="H115" s="41" t="n"/>
      <c r="I115" s="41" t="n"/>
    </row>
    <row r="116" ht="15.75" customHeight="1" s="60">
      <c r="A116" s="41" t="n"/>
      <c r="B116" s="41" t="n"/>
      <c r="C116" s="41" t="n"/>
      <c r="D116" s="41" t="n"/>
      <c r="E116" s="41" t="n"/>
      <c r="F116" s="41" t="n"/>
      <c r="G116" s="41" t="n"/>
      <c r="H116" s="41" t="n"/>
      <c r="I116" s="41" t="n"/>
    </row>
    <row r="117" ht="15.75" customHeight="1" s="60">
      <c r="A117" s="41" t="n"/>
      <c r="B117" s="41" t="n"/>
      <c r="C117" s="41" t="n"/>
      <c r="D117" s="41" t="n"/>
      <c r="E117" s="41" t="n"/>
      <c r="F117" s="41" t="n"/>
      <c r="G117" s="41" t="n"/>
      <c r="H117" s="41" t="n"/>
      <c r="I117" s="41" t="n"/>
    </row>
    <row r="118" ht="15.75" customHeight="1" s="60">
      <c r="A118" s="41" t="n"/>
      <c r="B118" s="41" t="n"/>
      <c r="C118" s="41" t="n"/>
      <c r="D118" s="41" t="n"/>
      <c r="E118" s="41" t="n"/>
      <c r="F118" s="41" t="n"/>
      <c r="G118" s="41" t="n"/>
      <c r="H118" s="41" t="n"/>
      <c r="I118" s="41" t="n"/>
    </row>
    <row r="119" ht="15.75" customHeight="1" s="60">
      <c r="A119" s="41" t="n"/>
      <c r="B119" s="41" t="n"/>
      <c r="C119" s="41" t="n"/>
      <c r="D119" s="41" t="n"/>
      <c r="E119" s="41" t="n"/>
      <c r="F119" s="41" t="n"/>
      <c r="G119" s="41" t="n"/>
      <c r="H119" s="41" t="n"/>
      <c r="I119" s="41" t="n"/>
    </row>
    <row r="120" ht="15.75" customHeight="1" s="60">
      <c r="A120" s="41" t="n"/>
      <c r="B120" s="41" t="n"/>
      <c r="C120" s="41" t="n"/>
      <c r="D120" s="41" t="n"/>
      <c r="E120" s="41" t="n"/>
      <c r="F120" s="41" t="n"/>
      <c r="G120" s="41" t="n"/>
      <c r="H120" s="41" t="n"/>
      <c r="I120" s="41" t="n"/>
    </row>
    <row r="121" ht="15.75" customHeight="1" s="60">
      <c r="A121" s="41" t="n"/>
      <c r="B121" s="41" t="n"/>
      <c r="C121" s="41" t="n"/>
      <c r="D121" s="41" t="n"/>
      <c r="E121" s="41" t="n"/>
      <c r="F121" s="41" t="n"/>
      <c r="G121" s="41" t="n"/>
      <c r="H121" s="41" t="n"/>
      <c r="I121" s="41" t="n"/>
    </row>
    <row r="122" ht="15.75" customHeight="1" s="60">
      <c r="A122" s="41" t="n"/>
      <c r="B122" s="41" t="n"/>
      <c r="C122" s="41" t="n"/>
      <c r="D122" s="41" t="n"/>
      <c r="E122" s="41" t="n"/>
      <c r="F122" s="41" t="n"/>
      <c r="G122" s="41" t="n"/>
      <c r="H122" s="41" t="n"/>
      <c r="I122" s="41" t="n"/>
    </row>
    <row r="123" ht="15.75" customHeight="1" s="60">
      <c r="A123" s="41" t="n"/>
      <c r="B123" s="41" t="n"/>
      <c r="C123" s="41" t="n"/>
      <c r="D123" s="41" t="n"/>
      <c r="E123" s="41" t="n"/>
      <c r="F123" s="41" t="n"/>
      <c r="G123" s="41" t="n"/>
      <c r="H123" s="41" t="n"/>
      <c r="I123" s="41" t="n"/>
    </row>
    <row r="124" ht="15.75" customHeight="1" s="60">
      <c r="A124" s="41" t="n"/>
      <c r="B124" s="41" t="n"/>
      <c r="C124" s="41" t="n"/>
      <c r="D124" s="41" t="n"/>
      <c r="E124" s="41" t="n"/>
      <c r="F124" s="41" t="n"/>
      <c r="G124" s="41" t="n"/>
      <c r="H124" s="41" t="n"/>
      <c r="I124" s="41" t="n"/>
    </row>
    <row r="125" ht="15.75" customHeight="1" s="60">
      <c r="A125" s="41" t="n"/>
      <c r="B125" s="41" t="n"/>
      <c r="C125" s="41" t="n"/>
      <c r="D125" s="41" t="n"/>
      <c r="E125" s="41" t="n"/>
      <c r="F125" s="41" t="n"/>
      <c r="G125" s="41" t="n"/>
      <c r="H125" s="41" t="n"/>
      <c r="I125" s="41" t="n"/>
    </row>
    <row r="126" ht="15.75" customHeight="1" s="60">
      <c r="A126" s="41" t="n"/>
      <c r="B126" s="41" t="n"/>
      <c r="C126" s="41" t="n"/>
      <c r="D126" s="41" t="n"/>
      <c r="E126" s="41" t="n"/>
      <c r="F126" s="41" t="n"/>
      <c r="G126" s="41" t="n"/>
      <c r="H126" s="41" t="n"/>
      <c r="I126" s="41" t="n"/>
    </row>
    <row r="127" ht="15.75" customHeight="1" s="60">
      <c r="A127" s="41" t="n"/>
      <c r="B127" s="41" t="n"/>
      <c r="C127" s="41" t="n"/>
      <c r="D127" s="41" t="n"/>
      <c r="E127" s="41" t="n"/>
      <c r="F127" s="41" t="n"/>
      <c r="G127" s="41" t="n"/>
      <c r="H127" s="41" t="n"/>
      <c r="I127" s="41" t="n"/>
    </row>
    <row r="128" ht="15.75" customHeight="1" s="60">
      <c r="A128" s="41" t="n"/>
      <c r="B128" s="41" t="n"/>
      <c r="C128" s="41" t="n"/>
      <c r="D128" s="41" t="n"/>
      <c r="E128" s="41" t="n"/>
      <c r="F128" s="41" t="n"/>
      <c r="G128" s="41" t="n"/>
      <c r="H128" s="41" t="n"/>
      <c r="I128" s="41" t="n"/>
    </row>
    <row r="129" ht="15.75" customHeight="1" s="60">
      <c r="A129" s="41" t="n"/>
      <c r="B129" s="41" t="n"/>
      <c r="C129" s="41" t="n"/>
      <c r="D129" s="41" t="n"/>
      <c r="E129" s="41" t="n"/>
      <c r="F129" s="41" t="n"/>
      <c r="G129" s="41" t="n"/>
      <c r="H129" s="41" t="n"/>
      <c r="I129" s="41" t="n"/>
    </row>
    <row r="130" ht="15.75" customHeight="1" s="60">
      <c r="A130" s="41" t="n"/>
      <c r="B130" s="41" t="n"/>
      <c r="C130" s="41" t="n"/>
      <c r="D130" s="41" t="n"/>
      <c r="E130" s="41" t="n"/>
      <c r="F130" s="41" t="n"/>
      <c r="G130" s="41" t="n"/>
      <c r="H130" s="41" t="n"/>
      <c r="I130" s="41" t="n"/>
    </row>
    <row r="131" ht="15.75" customHeight="1" s="60">
      <c r="A131" s="41" t="n"/>
      <c r="B131" s="41" t="n"/>
      <c r="C131" s="41" t="n"/>
      <c r="D131" s="41" t="n"/>
      <c r="E131" s="41" t="n"/>
      <c r="F131" s="41" t="n"/>
      <c r="G131" s="41" t="n"/>
      <c r="H131" s="41" t="n"/>
      <c r="I131" s="41" t="n"/>
    </row>
    <row r="132" ht="15.75" customHeight="1" s="60">
      <c r="A132" s="41" t="n"/>
      <c r="B132" s="41" t="n"/>
      <c r="C132" s="41" t="n"/>
      <c r="D132" s="41" t="n"/>
      <c r="E132" s="41" t="n"/>
      <c r="F132" s="41" t="n"/>
      <c r="G132" s="41" t="n"/>
      <c r="H132" s="41" t="n"/>
      <c r="I132" s="41" t="n"/>
    </row>
    <row r="133" ht="15.75" customHeight="1" s="60">
      <c r="A133" s="41" t="n"/>
      <c r="B133" s="41" t="n"/>
      <c r="C133" s="41" t="n"/>
      <c r="D133" s="41" t="n"/>
      <c r="E133" s="41" t="n"/>
      <c r="F133" s="41" t="n"/>
      <c r="G133" s="41" t="n"/>
      <c r="H133" s="41" t="n"/>
      <c r="I133" s="41" t="n"/>
    </row>
    <row r="134" ht="15.75" customHeight="1" s="60">
      <c r="A134" s="41" t="n"/>
      <c r="B134" s="41" t="n"/>
      <c r="C134" s="41" t="n"/>
      <c r="D134" s="41" t="n"/>
      <c r="E134" s="41" t="n"/>
      <c r="F134" s="41" t="n"/>
      <c r="G134" s="41" t="n"/>
      <c r="H134" s="41" t="n"/>
      <c r="I134" s="41" t="n"/>
    </row>
    <row r="135" ht="15.75" customHeight="1" s="60">
      <c r="A135" s="41" t="n"/>
      <c r="B135" s="41" t="n"/>
      <c r="C135" s="41" t="n"/>
      <c r="D135" s="41" t="n"/>
      <c r="E135" s="41" t="n"/>
      <c r="F135" s="41" t="n"/>
      <c r="G135" s="41" t="n"/>
      <c r="H135" s="41" t="n"/>
      <c r="I135" s="41" t="n"/>
    </row>
    <row r="136" ht="15.75" customHeight="1" s="60">
      <c r="A136" s="41" t="n"/>
      <c r="B136" s="41" t="n"/>
      <c r="C136" s="41" t="n"/>
      <c r="D136" s="41" t="n"/>
      <c r="E136" s="41" t="n"/>
      <c r="F136" s="41" t="n"/>
      <c r="G136" s="41" t="n"/>
      <c r="H136" s="41" t="n"/>
      <c r="I136" s="41" t="n"/>
    </row>
    <row r="137" ht="15.75" customHeight="1" s="60">
      <c r="A137" s="41" t="n"/>
      <c r="B137" s="41" t="n"/>
      <c r="C137" s="41" t="n"/>
      <c r="D137" s="41" t="n"/>
      <c r="E137" s="41" t="n"/>
      <c r="F137" s="41" t="n"/>
      <c r="G137" s="41" t="n"/>
      <c r="H137" s="41" t="n"/>
      <c r="I137" s="41" t="n"/>
    </row>
    <row r="138" ht="15.75" customHeight="1" s="60">
      <c r="A138" s="41" t="n"/>
      <c r="B138" s="41" t="n"/>
      <c r="C138" s="41" t="n"/>
      <c r="D138" s="41" t="n"/>
      <c r="E138" s="41" t="n"/>
      <c r="F138" s="41" t="n"/>
      <c r="G138" s="41" t="n"/>
      <c r="H138" s="41" t="n"/>
      <c r="I138" s="41" t="n"/>
    </row>
    <row r="139" ht="15.75" customHeight="1" s="60">
      <c r="A139" s="41" t="n"/>
      <c r="B139" s="41" t="n"/>
      <c r="C139" s="41" t="n"/>
      <c r="D139" s="41" t="n"/>
      <c r="E139" s="41" t="n"/>
      <c r="F139" s="41" t="n"/>
      <c r="G139" s="41" t="n"/>
      <c r="H139" s="41" t="n"/>
      <c r="I139" s="41" t="n"/>
    </row>
    <row r="140" ht="15.75" customHeight="1" s="60">
      <c r="A140" s="41" t="n"/>
      <c r="B140" s="41" t="n"/>
      <c r="C140" s="41" t="n"/>
      <c r="D140" s="41" t="n"/>
      <c r="E140" s="41" t="n"/>
      <c r="F140" s="41" t="n"/>
      <c r="G140" s="41" t="n"/>
      <c r="H140" s="41" t="n"/>
      <c r="I140" s="41" t="n"/>
    </row>
    <row r="141" ht="15.75" customHeight="1" s="60">
      <c r="A141" s="41" t="n"/>
      <c r="B141" s="41" t="n"/>
      <c r="C141" s="41" t="n"/>
      <c r="D141" s="41" t="n"/>
      <c r="E141" s="41" t="n"/>
      <c r="F141" s="41" t="n"/>
      <c r="G141" s="41" t="n"/>
      <c r="H141" s="41" t="n"/>
      <c r="I141" s="41" t="n"/>
    </row>
    <row r="142" ht="15.75" customHeight="1" s="60">
      <c r="A142" s="41" t="n"/>
      <c r="B142" s="41" t="n"/>
      <c r="C142" s="41" t="n"/>
      <c r="D142" s="41" t="n"/>
      <c r="E142" s="41" t="n"/>
      <c r="F142" s="41" t="n"/>
      <c r="G142" s="41" t="n"/>
      <c r="H142" s="41" t="n"/>
      <c r="I142" s="41" t="n"/>
    </row>
    <row r="143" ht="15.75" customHeight="1" s="60">
      <c r="A143" s="41" t="n"/>
      <c r="B143" s="41" t="n"/>
      <c r="C143" s="41" t="n"/>
      <c r="D143" s="41" t="n"/>
      <c r="E143" s="41" t="n"/>
      <c r="F143" s="41" t="n"/>
      <c r="G143" s="41" t="n"/>
      <c r="H143" s="41" t="n"/>
      <c r="I143" s="41" t="n"/>
    </row>
    <row r="144" ht="15.75" customHeight="1" s="60">
      <c r="A144" s="41" t="n"/>
      <c r="B144" s="41" t="n"/>
      <c r="C144" s="41" t="n"/>
      <c r="D144" s="41" t="n"/>
      <c r="E144" s="41" t="n"/>
      <c r="F144" s="41" t="n"/>
      <c r="G144" s="41" t="n"/>
      <c r="H144" s="41" t="n"/>
      <c r="I144" s="41" t="n"/>
    </row>
    <row r="145" ht="15.75" customHeight="1" s="60">
      <c r="A145" s="41" t="n"/>
      <c r="B145" s="41" t="n"/>
      <c r="C145" s="41" t="n"/>
      <c r="D145" s="41" t="n"/>
      <c r="E145" s="41" t="n"/>
      <c r="F145" s="41" t="n"/>
      <c r="G145" s="41" t="n"/>
      <c r="H145" s="41" t="n"/>
      <c r="I145" s="41" t="n"/>
    </row>
    <row r="146" ht="15.75" customHeight="1" s="60">
      <c r="A146" s="41" t="n"/>
      <c r="B146" s="41" t="n"/>
      <c r="C146" s="41" t="n"/>
      <c r="D146" s="41" t="n"/>
      <c r="E146" s="41" t="n"/>
      <c r="F146" s="41" t="n"/>
      <c r="G146" s="41" t="n"/>
      <c r="H146" s="41" t="n"/>
      <c r="I146" s="41" t="n"/>
    </row>
    <row r="147" ht="15.75" customHeight="1" s="60">
      <c r="A147" s="41" t="n"/>
      <c r="B147" s="41" t="n"/>
      <c r="C147" s="41" t="n"/>
      <c r="D147" s="41" t="n"/>
      <c r="E147" s="41" t="n"/>
      <c r="F147" s="41" t="n"/>
      <c r="G147" s="41" t="n"/>
      <c r="H147" s="41" t="n"/>
      <c r="I147" s="41" t="n"/>
    </row>
    <row r="148" ht="15.75" customHeight="1" s="60">
      <c r="A148" s="41" t="n"/>
      <c r="B148" s="41" t="n"/>
      <c r="C148" s="41" t="n"/>
      <c r="D148" s="41" t="n"/>
      <c r="E148" s="41" t="n"/>
      <c r="F148" s="41" t="n"/>
      <c r="G148" s="41" t="n"/>
      <c r="H148" s="41" t="n"/>
      <c r="I148" s="41" t="n"/>
    </row>
    <row r="149" ht="15.75" customHeight="1" s="60">
      <c r="A149" s="41" t="n"/>
      <c r="B149" s="41" t="n"/>
      <c r="C149" s="41" t="n"/>
      <c r="D149" s="41" t="n"/>
      <c r="E149" s="41" t="n"/>
      <c r="F149" s="41" t="n"/>
      <c r="G149" s="41" t="n"/>
      <c r="H149" s="41" t="n"/>
      <c r="I149" s="41" t="n"/>
    </row>
    <row r="150" ht="15.75" customHeight="1" s="60">
      <c r="A150" s="41" t="n"/>
      <c r="B150" s="41" t="n"/>
      <c r="C150" s="41" t="n"/>
      <c r="D150" s="41" t="n"/>
      <c r="E150" s="41" t="n"/>
      <c r="F150" s="41" t="n"/>
      <c r="G150" s="41" t="n"/>
      <c r="H150" s="41" t="n"/>
      <c r="I150" s="41" t="n"/>
    </row>
    <row r="151" ht="15.75" customHeight="1" s="60">
      <c r="A151" s="41" t="n"/>
      <c r="B151" s="41" t="n"/>
      <c r="C151" s="41" t="n"/>
      <c r="D151" s="41" t="n"/>
      <c r="E151" s="41" t="n"/>
      <c r="F151" s="41" t="n"/>
      <c r="G151" s="41" t="n"/>
      <c r="H151" s="41" t="n"/>
      <c r="I151" s="41" t="n"/>
    </row>
    <row r="152" ht="15.75" customHeight="1" s="60">
      <c r="A152" s="41" t="n"/>
      <c r="B152" s="41" t="n"/>
      <c r="C152" s="41" t="n"/>
      <c r="D152" s="41" t="n"/>
      <c r="E152" s="41" t="n"/>
      <c r="F152" s="41" t="n"/>
      <c r="G152" s="41" t="n"/>
      <c r="H152" s="41" t="n"/>
      <c r="I152" s="41" t="n"/>
    </row>
    <row r="153" ht="15.75" customHeight="1" s="60">
      <c r="A153" s="41" t="n"/>
      <c r="B153" s="41" t="n"/>
      <c r="C153" s="41" t="n"/>
      <c r="D153" s="41" t="n"/>
      <c r="E153" s="41" t="n"/>
      <c r="F153" s="41" t="n"/>
      <c r="G153" s="41" t="n"/>
      <c r="H153" s="41" t="n"/>
      <c r="I153" s="41" t="n"/>
    </row>
    <row r="154" ht="15.75" customHeight="1" s="60">
      <c r="A154" s="41" t="n"/>
      <c r="B154" s="41" t="n"/>
      <c r="C154" s="41" t="n"/>
      <c r="D154" s="41" t="n"/>
      <c r="E154" s="41" t="n"/>
      <c r="F154" s="41" t="n"/>
      <c r="G154" s="41" t="n"/>
      <c r="H154" s="41" t="n"/>
      <c r="I154" s="41" t="n"/>
    </row>
    <row r="155" ht="15.75" customHeight="1" s="60">
      <c r="A155" s="41" t="n"/>
      <c r="B155" s="41" t="n"/>
      <c r="C155" s="41" t="n"/>
      <c r="D155" s="41" t="n"/>
      <c r="E155" s="41" t="n"/>
      <c r="F155" s="41" t="n"/>
      <c r="G155" s="41" t="n"/>
      <c r="H155" s="41" t="n"/>
      <c r="I155" s="41" t="n"/>
    </row>
    <row r="156" ht="15.75" customHeight="1" s="60">
      <c r="A156" s="41" t="n"/>
      <c r="B156" s="41" t="n"/>
      <c r="C156" s="41" t="n"/>
      <c r="D156" s="41" t="n"/>
      <c r="E156" s="41" t="n"/>
      <c r="F156" s="41" t="n"/>
      <c r="G156" s="41" t="n"/>
      <c r="H156" s="41" t="n"/>
      <c r="I156" s="41" t="n"/>
    </row>
    <row r="157" ht="15.75" customHeight="1" s="60">
      <c r="A157" s="41" t="n"/>
      <c r="B157" s="41" t="n"/>
      <c r="C157" s="41" t="n"/>
      <c r="D157" s="41" t="n"/>
      <c r="E157" s="41" t="n"/>
      <c r="F157" s="41" t="n"/>
      <c r="G157" s="41" t="n"/>
      <c r="H157" s="41" t="n"/>
      <c r="I157" s="41" t="n"/>
    </row>
    <row r="158" ht="15.75" customHeight="1" s="60">
      <c r="A158" s="41" t="n"/>
      <c r="B158" s="41" t="n"/>
      <c r="C158" s="41" t="n"/>
      <c r="D158" s="41" t="n"/>
      <c r="E158" s="41" t="n"/>
      <c r="F158" s="41" t="n"/>
      <c r="G158" s="41" t="n"/>
      <c r="H158" s="41" t="n"/>
      <c r="I158" s="41" t="n"/>
    </row>
    <row r="159" ht="15.75" customHeight="1" s="60">
      <c r="A159" s="41" t="n"/>
      <c r="B159" s="41" t="n"/>
      <c r="C159" s="41" t="n"/>
      <c r="D159" s="41" t="n"/>
      <c r="E159" s="41" t="n"/>
      <c r="F159" s="41" t="n"/>
      <c r="G159" s="41" t="n"/>
      <c r="H159" s="41" t="n"/>
      <c r="I159" s="41" t="n"/>
    </row>
    <row r="160" ht="15.75" customHeight="1" s="60">
      <c r="A160" s="41" t="n"/>
      <c r="B160" s="41" t="n"/>
      <c r="C160" s="41" t="n"/>
      <c r="D160" s="41" t="n"/>
      <c r="E160" s="41" t="n"/>
      <c r="F160" s="41" t="n"/>
      <c r="G160" s="41" t="n"/>
      <c r="H160" s="41" t="n"/>
      <c r="I160" s="41" t="n"/>
    </row>
    <row r="161" ht="15.75" customHeight="1" s="60">
      <c r="A161" s="41" t="n"/>
      <c r="B161" s="41" t="n"/>
      <c r="C161" s="41" t="n"/>
      <c r="D161" s="41" t="n"/>
      <c r="E161" s="41" t="n"/>
      <c r="F161" s="41" t="n"/>
      <c r="G161" s="41" t="n"/>
      <c r="H161" s="41" t="n"/>
      <c r="I161" s="41" t="n"/>
    </row>
    <row r="162" ht="15.75" customHeight="1" s="60">
      <c r="A162" s="41" t="n"/>
      <c r="B162" s="41" t="n"/>
      <c r="C162" s="41" t="n"/>
      <c r="D162" s="41" t="n"/>
      <c r="E162" s="41" t="n"/>
      <c r="F162" s="41" t="n"/>
      <c r="G162" s="41" t="n"/>
      <c r="H162" s="41" t="n"/>
      <c r="I162" s="41" t="n"/>
    </row>
    <row r="163" ht="15.75" customHeight="1" s="60">
      <c r="A163" s="41" t="n"/>
      <c r="B163" s="41" t="n"/>
      <c r="C163" s="41" t="n"/>
      <c r="D163" s="41" t="n"/>
      <c r="E163" s="41" t="n"/>
      <c r="F163" s="41" t="n"/>
      <c r="G163" s="41" t="n"/>
      <c r="H163" s="41" t="n"/>
      <c r="I163" s="41" t="n"/>
    </row>
    <row r="164" ht="15.75" customHeight="1" s="60">
      <c r="A164" s="41" t="n"/>
      <c r="B164" s="41" t="n"/>
      <c r="C164" s="41" t="n"/>
      <c r="D164" s="41" t="n"/>
      <c r="E164" s="41" t="n"/>
      <c r="F164" s="41" t="n"/>
      <c r="G164" s="41" t="n"/>
      <c r="H164" s="41" t="n"/>
      <c r="I164" s="41" t="n"/>
    </row>
    <row r="165" ht="15.75" customHeight="1" s="60">
      <c r="A165" s="41" t="n"/>
      <c r="B165" s="41" t="n"/>
      <c r="C165" s="41" t="n"/>
      <c r="D165" s="41" t="n"/>
      <c r="E165" s="41" t="n"/>
      <c r="F165" s="41" t="n"/>
      <c r="G165" s="41" t="n"/>
      <c r="H165" s="41" t="n"/>
      <c r="I165" s="41" t="n"/>
    </row>
    <row r="166" ht="15.75" customHeight="1" s="60">
      <c r="A166" s="41" t="n"/>
      <c r="B166" s="41" t="n"/>
      <c r="C166" s="41" t="n"/>
      <c r="D166" s="41" t="n"/>
      <c r="E166" s="41" t="n"/>
      <c r="F166" s="41" t="n"/>
      <c r="G166" s="41" t="n"/>
      <c r="H166" s="41" t="n"/>
      <c r="I166" s="41" t="n"/>
    </row>
    <row r="167" ht="15.75" customHeight="1" s="60">
      <c r="A167" s="41" t="n"/>
      <c r="B167" s="41" t="n"/>
      <c r="C167" s="41" t="n"/>
      <c r="D167" s="41" t="n"/>
      <c r="E167" s="41" t="n"/>
      <c r="F167" s="41" t="n"/>
      <c r="G167" s="41" t="n"/>
      <c r="H167" s="41" t="n"/>
      <c r="I167" s="41" t="n"/>
    </row>
    <row r="168" ht="15.75" customHeight="1" s="60">
      <c r="A168" s="41" t="n"/>
      <c r="B168" s="41" t="n"/>
      <c r="C168" s="41" t="n"/>
      <c r="D168" s="41" t="n"/>
      <c r="E168" s="41" t="n"/>
      <c r="F168" s="41" t="n"/>
      <c r="G168" s="41" t="n"/>
      <c r="H168" s="41" t="n"/>
      <c r="I168" s="41" t="n"/>
    </row>
    <row r="169" ht="15.75" customHeight="1" s="60">
      <c r="A169" s="41" t="n"/>
      <c r="B169" s="41" t="n"/>
      <c r="C169" s="41" t="n"/>
      <c r="D169" s="41" t="n"/>
      <c r="E169" s="41" t="n"/>
      <c r="F169" s="41" t="n"/>
      <c r="G169" s="41" t="n"/>
      <c r="H169" s="41" t="n"/>
      <c r="I169" s="41" t="n"/>
    </row>
    <row r="170" ht="15.75" customHeight="1" s="60">
      <c r="A170" s="41" t="n"/>
      <c r="B170" s="41" t="n"/>
      <c r="C170" s="41" t="n"/>
      <c r="D170" s="41" t="n"/>
      <c r="E170" s="41" t="n"/>
      <c r="F170" s="41" t="n"/>
      <c r="G170" s="41" t="n"/>
      <c r="H170" s="41" t="n"/>
      <c r="I170" s="41" t="n"/>
    </row>
    <row r="171" ht="15.75" customHeight="1" s="60">
      <c r="A171" s="41" t="n"/>
      <c r="B171" s="41" t="n"/>
      <c r="C171" s="41" t="n"/>
      <c r="D171" s="41" t="n"/>
      <c r="E171" s="41" t="n"/>
      <c r="F171" s="41" t="n"/>
      <c r="G171" s="41" t="n"/>
      <c r="H171" s="41" t="n"/>
      <c r="I171" s="41" t="n"/>
    </row>
    <row r="172" ht="15.75" customHeight="1" s="60">
      <c r="A172" s="41" t="n"/>
      <c r="B172" s="41" t="n"/>
      <c r="C172" s="41" t="n"/>
      <c r="D172" s="41" t="n"/>
      <c r="E172" s="41" t="n"/>
      <c r="F172" s="41" t="n"/>
      <c r="G172" s="41" t="n"/>
      <c r="H172" s="41" t="n"/>
      <c r="I172" s="41" t="n"/>
    </row>
    <row r="173" ht="15.75" customHeight="1" s="60">
      <c r="A173" s="41" t="n"/>
      <c r="B173" s="41" t="n"/>
      <c r="C173" s="41" t="n"/>
      <c r="D173" s="41" t="n"/>
      <c r="E173" s="41" t="n"/>
      <c r="F173" s="41" t="n"/>
      <c r="G173" s="41" t="n"/>
      <c r="H173" s="41" t="n"/>
      <c r="I173" s="41" t="n"/>
    </row>
    <row r="174" ht="15.75" customHeight="1" s="60">
      <c r="A174" s="41" t="n"/>
      <c r="B174" s="41" t="n"/>
      <c r="C174" s="41" t="n"/>
      <c r="D174" s="41" t="n"/>
      <c r="E174" s="41" t="n"/>
      <c r="F174" s="41" t="n"/>
      <c r="G174" s="41" t="n"/>
      <c r="H174" s="41" t="n"/>
      <c r="I174" s="41" t="n"/>
    </row>
    <row r="175" ht="15.75" customHeight="1" s="60">
      <c r="A175" s="41" t="n"/>
      <c r="B175" s="41" t="n"/>
      <c r="C175" s="41" t="n"/>
      <c r="D175" s="41" t="n"/>
      <c r="E175" s="41" t="n"/>
      <c r="F175" s="41" t="n"/>
      <c r="G175" s="41" t="n"/>
      <c r="H175" s="41" t="n"/>
      <c r="I175" s="41" t="n"/>
    </row>
    <row r="176" ht="15.75" customHeight="1" s="60">
      <c r="A176" s="41" t="n"/>
      <c r="B176" s="41" t="n"/>
      <c r="C176" s="41" t="n"/>
      <c r="D176" s="41" t="n"/>
      <c r="E176" s="41" t="n"/>
      <c r="F176" s="41" t="n"/>
      <c r="G176" s="41" t="n"/>
      <c r="H176" s="41" t="n"/>
      <c r="I176" s="41" t="n"/>
    </row>
    <row r="177" ht="15.75" customHeight="1" s="60">
      <c r="A177" s="41" t="n"/>
      <c r="B177" s="41" t="n"/>
      <c r="C177" s="41" t="n"/>
      <c r="D177" s="41" t="n"/>
      <c r="E177" s="41" t="n"/>
      <c r="F177" s="41" t="n"/>
      <c r="G177" s="41" t="n"/>
      <c r="H177" s="41" t="n"/>
      <c r="I177" s="41" t="n"/>
    </row>
    <row r="178" ht="15.75" customHeight="1" s="60">
      <c r="A178" s="41" t="n"/>
      <c r="B178" s="41" t="n"/>
      <c r="C178" s="41" t="n"/>
      <c r="D178" s="41" t="n"/>
      <c r="E178" s="41" t="n"/>
      <c r="F178" s="41" t="n"/>
      <c r="G178" s="41" t="n"/>
      <c r="H178" s="41" t="n"/>
      <c r="I178" s="41" t="n"/>
    </row>
    <row r="179" ht="15.75" customHeight="1" s="60">
      <c r="A179" s="41" t="n"/>
      <c r="B179" s="41" t="n"/>
      <c r="C179" s="41" t="n"/>
      <c r="D179" s="41" t="n"/>
      <c r="E179" s="41" t="n"/>
      <c r="F179" s="41" t="n"/>
      <c r="G179" s="41" t="n"/>
      <c r="H179" s="41" t="n"/>
      <c r="I179" s="41" t="n"/>
    </row>
    <row r="180" ht="15.75" customHeight="1" s="60">
      <c r="A180" s="41" t="n"/>
      <c r="B180" s="41" t="n"/>
      <c r="C180" s="41" t="n"/>
      <c r="D180" s="41" t="n"/>
      <c r="E180" s="41" t="n"/>
      <c r="F180" s="41" t="n"/>
      <c r="G180" s="41" t="n"/>
      <c r="H180" s="41" t="n"/>
      <c r="I180" s="41" t="n"/>
    </row>
    <row r="181" ht="15.75" customHeight="1" s="60">
      <c r="A181" s="41" t="n"/>
      <c r="B181" s="41" t="n"/>
      <c r="C181" s="41" t="n"/>
      <c r="D181" s="41" t="n"/>
      <c r="E181" s="41" t="n"/>
      <c r="F181" s="41" t="n"/>
      <c r="G181" s="41" t="n"/>
      <c r="H181" s="41" t="n"/>
      <c r="I181" s="41" t="n"/>
    </row>
    <row r="182" ht="15.75" customHeight="1" s="60">
      <c r="A182" s="41" t="n"/>
      <c r="B182" s="41" t="n"/>
      <c r="C182" s="41" t="n"/>
      <c r="D182" s="41" t="n"/>
      <c r="E182" s="41" t="n"/>
      <c r="F182" s="41" t="n"/>
      <c r="G182" s="41" t="n"/>
      <c r="H182" s="41" t="n"/>
      <c r="I182" s="41" t="n"/>
    </row>
    <row r="183" ht="15.75" customHeight="1" s="60">
      <c r="A183" s="41" t="n"/>
      <c r="B183" s="41" t="n"/>
      <c r="C183" s="41" t="n"/>
      <c r="D183" s="41" t="n"/>
      <c r="E183" s="41" t="n"/>
      <c r="F183" s="41" t="n"/>
      <c r="G183" s="41" t="n"/>
      <c r="H183" s="41" t="n"/>
      <c r="I183" s="41" t="n"/>
    </row>
    <row r="184" ht="15.75" customHeight="1" s="60">
      <c r="A184" s="41" t="n"/>
      <c r="B184" s="41" t="n"/>
      <c r="C184" s="41" t="n"/>
      <c r="D184" s="41" t="n"/>
      <c r="E184" s="41" t="n"/>
      <c r="F184" s="41" t="n"/>
      <c r="G184" s="41" t="n"/>
      <c r="H184" s="41" t="n"/>
      <c r="I184" s="41" t="n"/>
    </row>
    <row r="185" ht="15.75" customHeight="1" s="60">
      <c r="A185" s="41" t="n"/>
      <c r="B185" s="41" t="n"/>
      <c r="C185" s="41" t="n"/>
      <c r="D185" s="41" t="n"/>
      <c r="E185" s="41" t="n"/>
      <c r="F185" s="41" t="n"/>
      <c r="G185" s="41" t="n"/>
      <c r="H185" s="41" t="n"/>
      <c r="I185" s="41" t="n"/>
    </row>
    <row r="186" ht="15.75" customHeight="1" s="60">
      <c r="A186" s="41" t="n"/>
      <c r="B186" s="41" t="n"/>
      <c r="C186" s="41" t="n"/>
      <c r="D186" s="41" t="n"/>
      <c r="E186" s="41" t="n"/>
      <c r="F186" s="41" t="n"/>
      <c r="G186" s="41" t="n"/>
      <c r="H186" s="41" t="n"/>
      <c r="I186" s="41" t="n"/>
    </row>
    <row r="187" ht="15.75" customHeight="1" s="60">
      <c r="A187" s="41" t="n"/>
      <c r="B187" s="41" t="n"/>
      <c r="C187" s="41" t="n"/>
      <c r="D187" s="41" t="n"/>
      <c r="E187" s="41" t="n"/>
      <c r="F187" s="41" t="n"/>
      <c r="G187" s="41" t="n"/>
      <c r="H187" s="41" t="n"/>
      <c r="I187" s="41" t="n"/>
    </row>
    <row r="188" ht="15.75" customHeight="1" s="60">
      <c r="A188" s="41" t="n"/>
      <c r="B188" s="41" t="n"/>
      <c r="C188" s="41" t="n"/>
      <c r="D188" s="41" t="n"/>
      <c r="E188" s="41" t="n"/>
      <c r="F188" s="41" t="n"/>
      <c r="G188" s="41" t="n"/>
      <c r="H188" s="41" t="n"/>
      <c r="I188" s="41" t="n"/>
    </row>
    <row r="189" ht="15.75" customHeight="1" s="60">
      <c r="A189" s="41" t="n"/>
      <c r="B189" s="41" t="n"/>
      <c r="C189" s="41" t="n"/>
      <c r="D189" s="41" t="n"/>
      <c r="E189" s="41" t="n"/>
      <c r="F189" s="41" t="n"/>
      <c r="G189" s="41" t="n"/>
      <c r="H189" s="41" t="n"/>
      <c r="I189" s="41" t="n"/>
    </row>
    <row r="190" ht="15.75" customHeight="1" s="60">
      <c r="A190" s="41" t="n"/>
      <c r="B190" s="41" t="n"/>
      <c r="C190" s="41" t="n"/>
      <c r="D190" s="41" t="n"/>
      <c r="E190" s="41" t="n"/>
      <c r="F190" s="41" t="n"/>
      <c r="G190" s="41" t="n"/>
      <c r="H190" s="41" t="n"/>
      <c r="I190" s="41" t="n"/>
    </row>
    <row r="191" ht="15.75" customHeight="1" s="60">
      <c r="A191" s="41" t="n"/>
      <c r="B191" s="41" t="n"/>
      <c r="C191" s="41" t="n"/>
      <c r="D191" s="41" t="n"/>
      <c r="E191" s="41" t="n"/>
      <c r="F191" s="41" t="n"/>
      <c r="G191" s="41" t="n"/>
      <c r="H191" s="41" t="n"/>
      <c r="I191" s="41" t="n"/>
    </row>
    <row r="192" ht="15.75" customHeight="1" s="60">
      <c r="A192" s="41" t="n"/>
      <c r="B192" s="41" t="n"/>
      <c r="C192" s="41" t="n"/>
      <c r="D192" s="41" t="n"/>
      <c r="E192" s="41" t="n"/>
      <c r="F192" s="41" t="n"/>
      <c r="G192" s="41" t="n"/>
      <c r="H192" s="41" t="n"/>
      <c r="I192" s="41" t="n"/>
    </row>
    <row r="193" ht="15.75" customHeight="1" s="60">
      <c r="A193" s="41" t="n"/>
      <c r="B193" s="41" t="n"/>
      <c r="C193" s="41" t="n"/>
      <c r="D193" s="41" t="n"/>
      <c r="E193" s="41" t="n"/>
      <c r="F193" s="41" t="n"/>
      <c r="G193" s="41" t="n"/>
      <c r="H193" s="41" t="n"/>
      <c r="I193" s="41" t="n"/>
    </row>
    <row r="194" ht="15.75" customHeight="1" s="60">
      <c r="A194" s="41" t="n"/>
      <c r="B194" s="41" t="n"/>
      <c r="C194" s="41" t="n"/>
      <c r="D194" s="41" t="n"/>
      <c r="E194" s="41" t="n"/>
      <c r="F194" s="41" t="n"/>
      <c r="G194" s="41" t="n"/>
      <c r="H194" s="41" t="n"/>
      <c r="I194" s="41" t="n"/>
    </row>
    <row r="195" ht="15.75" customHeight="1" s="60">
      <c r="A195" s="41" t="n"/>
      <c r="B195" s="41" t="n"/>
      <c r="C195" s="41" t="n"/>
      <c r="D195" s="41" t="n"/>
      <c r="E195" s="41" t="n"/>
      <c r="F195" s="41" t="n"/>
      <c r="G195" s="41" t="n"/>
      <c r="H195" s="41" t="n"/>
      <c r="I195" s="41" t="n"/>
    </row>
    <row r="196" ht="15.75" customHeight="1" s="60">
      <c r="A196" s="41" t="n"/>
      <c r="B196" s="41" t="n"/>
      <c r="C196" s="41" t="n"/>
      <c r="D196" s="41" t="n"/>
      <c r="E196" s="41" t="n"/>
      <c r="F196" s="41" t="n"/>
      <c r="G196" s="41" t="n"/>
      <c r="H196" s="41" t="n"/>
      <c r="I196" s="41" t="n"/>
    </row>
    <row r="197" ht="15.75" customHeight="1" s="60">
      <c r="A197" s="41" t="n"/>
      <c r="B197" s="41" t="n"/>
      <c r="C197" s="41" t="n"/>
      <c r="D197" s="41" t="n"/>
      <c r="E197" s="41" t="n"/>
      <c r="F197" s="41" t="n"/>
      <c r="G197" s="41" t="n"/>
      <c r="H197" s="41" t="n"/>
      <c r="I197" s="41" t="n"/>
    </row>
    <row r="198" ht="15.75" customHeight="1" s="60">
      <c r="A198" s="41" t="n"/>
      <c r="B198" s="41" t="n"/>
      <c r="C198" s="41" t="n"/>
      <c r="D198" s="41" t="n"/>
      <c r="E198" s="41" t="n"/>
      <c r="F198" s="41" t="n"/>
      <c r="G198" s="41" t="n"/>
      <c r="H198" s="41" t="n"/>
      <c r="I198" s="41" t="n"/>
    </row>
    <row r="199" ht="15.75" customHeight="1" s="60">
      <c r="A199" s="41" t="n"/>
      <c r="B199" s="41" t="n"/>
      <c r="C199" s="41" t="n"/>
      <c r="D199" s="41" t="n"/>
      <c r="E199" s="41" t="n"/>
      <c r="F199" s="41" t="n"/>
      <c r="G199" s="41" t="n"/>
      <c r="H199" s="41" t="n"/>
      <c r="I199" s="41" t="n"/>
    </row>
    <row r="200" ht="15.75" customHeight="1" s="60">
      <c r="A200" s="41" t="n"/>
      <c r="B200" s="41" t="n"/>
      <c r="C200" s="41" t="n"/>
      <c r="D200" s="41" t="n"/>
      <c r="E200" s="41" t="n"/>
      <c r="F200" s="41" t="n"/>
      <c r="G200" s="41" t="n"/>
      <c r="H200" s="41" t="n"/>
      <c r="I200" s="41" t="n"/>
    </row>
    <row r="201" ht="15.75" customHeight="1" s="60">
      <c r="A201" s="41" t="n"/>
      <c r="B201" s="41" t="n"/>
      <c r="C201" s="41" t="n"/>
      <c r="D201" s="41" t="n"/>
      <c r="E201" s="41" t="n"/>
      <c r="F201" s="41" t="n"/>
      <c r="G201" s="41" t="n"/>
      <c r="H201" s="41" t="n"/>
      <c r="I201" s="41" t="n"/>
    </row>
    <row r="202" ht="15.75" customHeight="1" s="60">
      <c r="A202" s="41" t="n"/>
      <c r="B202" s="41" t="n"/>
      <c r="C202" s="41" t="n"/>
      <c r="D202" s="41" t="n"/>
      <c r="E202" s="41" t="n"/>
      <c r="F202" s="41" t="n"/>
      <c r="G202" s="41" t="n"/>
      <c r="H202" s="41" t="n"/>
      <c r="I202" s="41" t="n"/>
    </row>
    <row r="203" ht="15.75" customHeight="1" s="60">
      <c r="A203" s="41" t="n"/>
      <c r="B203" s="41" t="n"/>
      <c r="C203" s="41" t="n"/>
      <c r="D203" s="41" t="n"/>
      <c r="E203" s="41" t="n"/>
      <c r="F203" s="41" t="n"/>
      <c r="G203" s="41" t="n"/>
      <c r="H203" s="41" t="n"/>
      <c r="I203" s="41" t="n"/>
    </row>
    <row r="204" ht="15.75" customHeight="1" s="60">
      <c r="A204" s="41" t="n"/>
      <c r="B204" s="41" t="n"/>
      <c r="C204" s="41" t="n"/>
      <c r="D204" s="41" t="n"/>
      <c r="E204" s="41" t="n"/>
      <c r="F204" s="41" t="n"/>
      <c r="G204" s="41" t="n"/>
      <c r="H204" s="41" t="n"/>
      <c r="I204" s="41" t="n"/>
    </row>
    <row r="205" ht="15.75" customHeight="1" s="60">
      <c r="A205" s="41" t="n"/>
      <c r="B205" s="41" t="n"/>
      <c r="C205" s="41" t="n"/>
      <c r="D205" s="41" t="n"/>
      <c r="E205" s="41" t="n"/>
      <c r="F205" s="41" t="n"/>
      <c r="G205" s="41" t="n"/>
      <c r="H205" s="41" t="n"/>
      <c r="I205" s="41" t="n"/>
    </row>
    <row r="206" ht="15.75" customHeight="1" s="60">
      <c r="A206" s="41" t="n"/>
      <c r="B206" s="41" t="n"/>
      <c r="C206" s="41" t="n"/>
      <c r="D206" s="41" t="n"/>
      <c r="E206" s="41" t="n"/>
      <c r="F206" s="41" t="n"/>
      <c r="G206" s="41" t="n"/>
      <c r="H206" s="41" t="n"/>
      <c r="I206" s="41" t="n"/>
    </row>
    <row r="207" ht="15.75" customHeight="1" s="60">
      <c r="A207" s="41" t="n"/>
      <c r="B207" s="41" t="n"/>
      <c r="C207" s="41" t="n"/>
      <c r="D207" s="41" t="n"/>
      <c r="E207" s="41" t="n"/>
      <c r="F207" s="41" t="n"/>
      <c r="G207" s="41" t="n"/>
      <c r="H207" s="41" t="n"/>
      <c r="I207" s="41" t="n"/>
    </row>
    <row r="208" ht="15.75" customHeight="1" s="60">
      <c r="A208" s="41" t="n"/>
      <c r="B208" s="41" t="n"/>
      <c r="C208" s="41" t="n"/>
      <c r="D208" s="41" t="n"/>
      <c r="E208" s="41" t="n"/>
      <c r="F208" s="41" t="n"/>
      <c r="G208" s="41" t="n"/>
      <c r="H208" s="41" t="n"/>
      <c r="I208" s="41" t="n"/>
    </row>
    <row r="209" ht="15.75" customHeight="1" s="60">
      <c r="A209" s="41" t="n"/>
      <c r="B209" s="41" t="n"/>
      <c r="C209" s="41" t="n"/>
      <c r="D209" s="41" t="n"/>
      <c r="E209" s="41" t="n"/>
      <c r="F209" s="41" t="n"/>
      <c r="G209" s="41" t="n"/>
      <c r="H209" s="41" t="n"/>
      <c r="I209" s="41" t="n"/>
    </row>
    <row r="210" ht="15.75" customHeight="1" s="60">
      <c r="A210" s="41" t="n"/>
      <c r="B210" s="41" t="n"/>
      <c r="C210" s="41" t="n"/>
      <c r="D210" s="41" t="n"/>
      <c r="E210" s="41" t="n"/>
      <c r="F210" s="41" t="n"/>
      <c r="G210" s="41" t="n"/>
      <c r="H210" s="41" t="n"/>
      <c r="I210" s="41" t="n"/>
    </row>
    <row r="211" ht="15.75" customHeight="1" s="60">
      <c r="A211" s="41" t="n"/>
      <c r="B211" s="41" t="n"/>
      <c r="C211" s="41" t="n"/>
      <c r="D211" s="41" t="n"/>
      <c r="E211" s="41" t="n"/>
      <c r="F211" s="41" t="n"/>
      <c r="G211" s="41" t="n"/>
      <c r="H211" s="41" t="n"/>
      <c r="I211" s="41" t="n"/>
    </row>
    <row r="212" ht="15.75" customHeight="1" s="60">
      <c r="A212" s="41" t="n"/>
      <c r="B212" s="41" t="n"/>
      <c r="C212" s="41" t="n"/>
      <c r="D212" s="41" t="n"/>
      <c r="E212" s="41" t="n"/>
      <c r="F212" s="41" t="n"/>
      <c r="G212" s="41" t="n"/>
      <c r="H212" s="41" t="n"/>
      <c r="I212" s="41" t="n"/>
    </row>
    <row r="213" ht="15.75" customHeight="1" s="60">
      <c r="A213" s="41" t="n"/>
      <c r="B213" s="41" t="n"/>
      <c r="C213" s="41" t="n"/>
      <c r="D213" s="41" t="n"/>
      <c r="E213" s="41" t="n"/>
      <c r="F213" s="41" t="n"/>
      <c r="G213" s="41" t="n"/>
      <c r="H213" s="41" t="n"/>
      <c r="I213" s="41" t="n"/>
    </row>
    <row r="214" ht="15.75" customHeight="1" s="60">
      <c r="A214" s="41" t="n"/>
      <c r="B214" s="41" t="n"/>
      <c r="C214" s="41" t="n"/>
      <c r="D214" s="41" t="n"/>
      <c r="E214" s="41" t="n"/>
      <c r="F214" s="41" t="n"/>
      <c r="G214" s="41" t="n"/>
      <c r="H214" s="41" t="n"/>
      <c r="I214" s="41" t="n"/>
    </row>
    <row r="215" ht="15.75" customHeight="1" s="60">
      <c r="A215" s="41" t="n"/>
      <c r="B215" s="41" t="n"/>
      <c r="C215" s="41" t="n"/>
      <c r="D215" s="41" t="n"/>
      <c r="E215" s="41" t="n"/>
      <c r="F215" s="41" t="n"/>
      <c r="G215" s="41" t="n"/>
      <c r="H215" s="41" t="n"/>
      <c r="I215" s="41" t="n"/>
    </row>
    <row r="216" ht="15.75" customHeight="1" s="60">
      <c r="A216" s="41" t="n"/>
      <c r="B216" s="41" t="n"/>
      <c r="C216" s="41" t="n"/>
      <c r="D216" s="41" t="n"/>
      <c r="E216" s="41" t="n"/>
      <c r="F216" s="41" t="n"/>
      <c r="G216" s="41" t="n"/>
      <c r="H216" s="41" t="n"/>
      <c r="I216" s="41" t="n"/>
    </row>
    <row r="217" ht="15.75" customHeight="1" s="60">
      <c r="A217" s="41" t="n"/>
      <c r="B217" s="41" t="n"/>
      <c r="C217" s="41" t="n"/>
      <c r="D217" s="41" t="n"/>
      <c r="E217" s="41" t="n"/>
      <c r="F217" s="41" t="n"/>
      <c r="G217" s="41" t="n"/>
      <c r="H217" s="41" t="n"/>
      <c r="I217" s="41" t="n"/>
    </row>
    <row r="218" ht="15.75" customHeight="1" s="60">
      <c r="A218" s="41" t="n"/>
      <c r="B218" s="41" t="n"/>
      <c r="C218" s="41" t="n"/>
      <c r="D218" s="41" t="n"/>
      <c r="E218" s="41" t="n"/>
      <c r="F218" s="41" t="n"/>
      <c r="G218" s="41" t="n"/>
      <c r="H218" s="41" t="n"/>
      <c r="I218" s="41" t="n"/>
    </row>
    <row r="219" ht="15.75" customHeight="1" s="60">
      <c r="A219" s="41" t="n"/>
      <c r="B219" s="41" t="n"/>
      <c r="C219" s="41" t="n"/>
      <c r="D219" s="41" t="n"/>
      <c r="E219" s="41" t="n"/>
      <c r="F219" s="41" t="n"/>
      <c r="G219" s="41" t="n"/>
      <c r="H219" s="41" t="n"/>
      <c r="I219" s="41" t="n"/>
    </row>
    <row r="220" ht="15.75" customHeight="1" s="60">
      <c r="A220" s="41" t="n"/>
      <c r="B220" s="41" t="n"/>
      <c r="C220" s="41" t="n"/>
      <c r="D220" s="41" t="n"/>
      <c r="E220" s="41" t="n"/>
      <c r="F220" s="41" t="n"/>
      <c r="G220" s="41" t="n"/>
      <c r="H220" s="41" t="n"/>
      <c r="I220" s="41" t="n"/>
    </row>
    <row r="221" ht="15.75" customHeight="1" s="60">
      <c r="A221" s="41" t="n"/>
      <c r="B221" s="41" t="n"/>
      <c r="C221" s="41" t="n"/>
      <c r="D221" s="41" t="n"/>
      <c r="E221" s="41" t="n"/>
      <c r="F221" s="41" t="n"/>
      <c r="G221" s="41" t="n"/>
      <c r="H221" s="41" t="n"/>
      <c r="I221" s="41" t="n"/>
    </row>
    <row r="222" ht="15.75" customHeight="1" s="60">
      <c r="A222" s="41" t="n"/>
      <c r="B222" s="41" t="n"/>
      <c r="C222" s="41" t="n"/>
      <c r="D222" s="41" t="n"/>
      <c r="E222" s="41" t="n"/>
      <c r="F222" s="41" t="n"/>
      <c r="G222" s="41" t="n"/>
      <c r="H222" s="41" t="n"/>
      <c r="I222" s="41" t="n"/>
    </row>
    <row r="223" ht="15.75" customHeight="1" s="60">
      <c r="A223" s="41" t="n"/>
      <c r="B223" s="41" t="n"/>
      <c r="C223" s="41" t="n"/>
      <c r="D223" s="41" t="n"/>
      <c r="E223" s="41" t="n"/>
      <c r="F223" s="41" t="n"/>
      <c r="G223" s="41" t="n"/>
      <c r="H223" s="41" t="n"/>
      <c r="I223" s="41" t="n"/>
    </row>
    <row r="224" ht="15.75" customHeight="1" s="60">
      <c r="A224" s="41" t="n"/>
      <c r="B224" s="41" t="n"/>
      <c r="C224" s="41" t="n"/>
      <c r="D224" s="41" t="n"/>
      <c r="E224" s="41" t="n"/>
      <c r="F224" s="41" t="n"/>
      <c r="G224" s="41" t="n"/>
      <c r="H224" s="41" t="n"/>
      <c r="I224" s="41" t="n"/>
    </row>
    <row r="225" ht="15.75" customHeight="1" s="60">
      <c r="A225" s="41" t="n"/>
      <c r="B225" s="41" t="n"/>
      <c r="C225" s="41" t="n"/>
      <c r="D225" s="41" t="n"/>
      <c r="E225" s="41" t="n"/>
      <c r="F225" s="41" t="n"/>
      <c r="G225" s="41" t="n"/>
      <c r="H225" s="41" t="n"/>
      <c r="I225" s="41" t="n"/>
    </row>
    <row r="226" ht="15.75" customHeight="1" s="60">
      <c r="A226" s="41" t="n"/>
      <c r="B226" s="41" t="n"/>
      <c r="C226" s="41" t="n"/>
      <c r="D226" s="41" t="n"/>
      <c r="E226" s="41" t="n"/>
      <c r="F226" s="41" t="n"/>
      <c r="G226" s="41" t="n"/>
      <c r="H226" s="41" t="n"/>
      <c r="I226" s="41" t="n"/>
    </row>
    <row r="227" ht="15.75" customHeight="1" s="60">
      <c r="A227" s="41" t="n"/>
      <c r="B227" s="41" t="n"/>
      <c r="C227" s="41" t="n"/>
      <c r="D227" s="41" t="n"/>
      <c r="E227" s="41" t="n"/>
      <c r="F227" s="41" t="n"/>
      <c r="G227" s="41" t="n"/>
      <c r="H227" s="41" t="n"/>
      <c r="I227" s="41" t="n"/>
    </row>
    <row r="228" ht="15.75" customHeight="1" s="60">
      <c r="A228" s="41" t="n"/>
      <c r="B228" s="41" t="n"/>
      <c r="C228" s="41" t="n"/>
      <c r="D228" s="41" t="n"/>
      <c r="E228" s="41" t="n"/>
      <c r="F228" s="41" t="n"/>
      <c r="G228" s="41" t="n"/>
      <c r="H228" s="41" t="n"/>
      <c r="I228" s="41" t="n"/>
    </row>
    <row r="229" ht="15.75" customHeight="1" s="60">
      <c r="A229" s="41" t="n"/>
      <c r="B229" s="41" t="n"/>
      <c r="C229" s="41" t="n"/>
      <c r="D229" s="41" t="n"/>
      <c r="E229" s="41" t="n"/>
      <c r="F229" s="41" t="n"/>
      <c r="G229" s="41" t="n"/>
      <c r="H229" s="41" t="n"/>
      <c r="I229" s="41" t="n"/>
    </row>
    <row r="230" ht="15.75" customHeight="1" s="60">
      <c r="A230" s="41" t="n"/>
      <c r="B230" s="41" t="n"/>
      <c r="C230" s="41" t="n"/>
      <c r="D230" s="41" t="n"/>
      <c r="E230" s="41" t="n"/>
      <c r="F230" s="41" t="n"/>
      <c r="G230" s="41" t="n"/>
      <c r="H230" s="41" t="n"/>
      <c r="I230" s="41" t="n"/>
    </row>
    <row r="231" ht="15.75" customHeight="1" s="60">
      <c r="A231" s="41" t="n"/>
      <c r="B231" s="41" t="n"/>
      <c r="C231" s="41" t="n"/>
      <c r="D231" s="41" t="n"/>
      <c r="E231" s="41" t="n"/>
      <c r="F231" s="41" t="n"/>
      <c r="G231" s="41" t="n"/>
      <c r="H231" s="41" t="n"/>
      <c r="I231" s="41" t="n"/>
    </row>
    <row r="232" ht="15.75" customHeight="1" s="60">
      <c r="A232" s="41" t="n"/>
      <c r="B232" s="41" t="n"/>
      <c r="C232" s="41" t="n"/>
      <c r="D232" s="41" t="n"/>
      <c r="E232" s="41" t="n"/>
      <c r="F232" s="41" t="n"/>
      <c r="G232" s="41" t="n"/>
      <c r="H232" s="41" t="n"/>
      <c r="I232" s="41" t="n"/>
    </row>
    <row r="233" ht="15.75" customHeight="1" s="60">
      <c r="A233" s="41" t="n"/>
      <c r="B233" s="41" t="n"/>
      <c r="C233" s="41" t="n"/>
      <c r="D233" s="41" t="n"/>
      <c r="E233" s="41" t="n"/>
      <c r="F233" s="41" t="n"/>
      <c r="G233" s="41" t="n"/>
      <c r="H233" s="41" t="n"/>
      <c r="I233" s="41" t="n"/>
    </row>
    <row r="234" ht="15.75" customHeight="1" s="60">
      <c r="A234" s="41" t="n"/>
      <c r="B234" s="41" t="n"/>
      <c r="C234" s="41" t="n"/>
      <c r="D234" s="41" t="n"/>
      <c r="E234" s="41" t="n"/>
      <c r="F234" s="41" t="n"/>
      <c r="G234" s="41" t="n"/>
      <c r="H234" s="41" t="n"/>
      <c r="I234" s="41" t="n"/>
    </row>
    <row r="235" ht="15.75" customHeight="1" s="60">
      <c r="A235" s="41" t="n"/>
      <c r="B235" s="41" t="n"/>
      <c r="C235" s="41" t="n"/>
      <c r="D235" s="41" t="n"/>
      <c r="E235" s="41" t="n"/>
      <c r="F235" s="41" t="n"/>
      <c r="G235" s="41" t="n"/>
      <c r="H235" s="41" t="n"/>
      <c r="I235" s="41" t="n"/>
    </row>
    <row r="236" ht="15.75" customHeight="1" s="60">
      <c r="A236" s="41" t="n"/>
      <c r="B236" s="41" t="n"/>
      <c r="C236" s="41" t="n"/>
      <c r="D236" s="41" t="n"/>
      <c r="E236" s="41" t="n"/>
      <c r="F236" s="41" t="n"/>
      <c r="G236" s="41" t="n"/>
      <c r="H236" s="41" t="n"/>
      <c r="I236" s="41" t="n"/>
    </row>
    <row r="237" ht="15.75" customHeight="1" s="60">
      <c r="A237" s="41" t="n"/>
      <c r="B237" s="41" t="n"/>
      <c r="C237" s="41" t="n"/>
      <c r="D237" s="41" t="n"/>
      <c r="E237" s="41" t="n"/>
      <c r="F237" s="41" t="n"/>
      <c r="G237" s="41" t="n"/>
      <c r="H237" s="41" t="n"/>
      <c r="I237" s="41" t="n"/>
    </row>
    <row r="238" ht="15.75" customHeight="1" s="60">
      <c r="A238" s="41" t="n"/>
      <c r="B238" s="41" t="n"/>
      <c r="C238" s="41" t="n"/>
      <c r="D238" s="41" t="n"/>
      <c r="E238" s="41" t="n"/>
      <c r="F238" s="41" t="n"/>
      <c r="G238" s="41" t="n"/>
      <c r="H238" s="41" t="n"/>
      <c r="I238" s="41" t="n"/>
    </row>
    <row r="239" ht="15.75" customHeight="1" s="60">
      <c r="A239" s="41" t="n"/>
      <c r="B239" s="41" t="n"/>
      <c r="C239" s="41" t="n"/>
      <c r="D239" s="41" t="n"/>
      <c r="E239" s="41" t="n"/>
      <c r="F239" s="41" t="n"/>
      <c r="G239" s="41" t="n"/>
      <c r="H239" s="41" t="n"/>
      <c r="I239" s="41" t="n"/>
    </row>
    <row r="240" ht="15.75" customHeight="1" s="60">
      <c r="A240" s="41" t="n"/>
      <c r="B240" s="41" t="n"/>
      <c r="C240" s="41" t="n"/>
      <c r="D240" s="41" t="n"/>
      <c r="E240" s="41" t="n"/>
      <c r="F240" s="41" t="n"/>
      <c r="G240" s="41" t="n"/>
      <c r="H240" s="41" t="n"/>
      <c r="I240" s="41" t="n"/>
    </row>
    <row r="241" ht="15.75" customHeight="1" s="60">
      <c r="A241" s="41" t="n"/>
      <c r="B241" s="41" t="n"/>
      <c r="C241" s="41" t="n"/>
      <c r="D241" s="41" t="n"/>
      <c r="E241" s="41" t="n"/>
      <c r="F241" s="41" t="n"/>
      <c r="G241" s="41" t="n"/>
      <c r="H241" s="41" t="n"/>
      <c r="I241" s="41" t="n"/>
    </row>
    <row r="242" ht="15.75" customHeight="1" s="60">
      <c r="A242" s="41" t="n"/>
      <c r="B242" s="41" t="n"/>
      <c r="C242" s="41" t="n"/>
      <c r="D242" s="41" t="n"/>
      <c r="E242" s="41" t="n"/>
      <c r="F242" s="41" t="n"/>
      <c r="G242" s="41" t="n"/>
      <c r="H242" s="41" t="n"/>
      <c r="I242" s="41" t="n"/>
    </row>
    <row r="243" ht="15.75" customHeight="1" s="60">
      <c r="A243" s="41" t="n"/>
      <c r="B243" s="41" t="n"/>
      <c r="C243" s="41" t="n"/>
      <c r="D243" s="41" t="n"/>
      <c r="E243" s="41" t="n"/>
      <c r="F243" s="41" t="n"/>
      <c r="G243" s="41" t="n"/>
      <c r="H243" s="41" t="n"/>
      <c r="I243" s="41" t="n"/>
    </row>
    <row r="244" ht="15.75" customHeight="1" s="60">
      <c r="A244" s="41" t="n"/>
      <c r="B244" s="41" t="n"/>
      <c r="C244" s="41" t="n"/>
      <c r="D244" s="41" t="n"/>
      <c r="E244" s="41" t="n"/>
      <c r="F244" s="41" t="n"/>
      <c r="G244" s="41" t="n"/>
      <c r="H244" s="41" t="n"/>
      <c r="I244" s="41" t="n"/>
    </row>
    <row r="245" ht="15.75" customHeight="1" s="60">
      <c r="A245" s="41" t="n"/>
      <c r="B245" s="41" t="n"/>
      <c r="C245" s="41" t="n"/>
      <c r="D245" s="41" t="n"/>
      <c r="E245" s="41" t="n"/>
      <c r="F245" s="41" t="n"/>
      <c r="G245" s="41" t="n"/>
      <c r="H245" s="41" t="n"/>
      <c r="I245" s="41" t="n"/>
    </row>
    <row r="246" ht="15.75" customHeight="1" s="60">
      <c r="A246" s="41" t="n"/>
      <c r="B246" s="41" t="n"/>
      <c r="C246" s="41" t="n"/>
      <c r="D246" s="41" t="n"/>
      <c r="E246" s="41" t="n"/>
      <c r="F246" s="41" t="n"/>
      <c r="G246" s="41" t="n"/>
      <c r="H246" s="41" t="n"/>
      <c r="I246" s="41" t="n"/>
    </row>
    <row r="247" ht="15.75" customHeight="1" s="60">
      <c r="A247" s="41" t="n"/>
      <c r="B247" s="41" t="n"/>
      <c r="C247" s="41" t="n"/>
      <c r="D247" s="41" t="n"/>
      <c r="E247" s="41" t="n"/>
      <c r="F247" s="41" t="n"/>
      <c r="G247" s="41" t="n"/>
      <c r="H247" s="41" t="n"/>
      <c r="I247" s="41" t="n"/>
    </row>
    <row r="248" ht="15.75" customHeight="1" s="60">
      <c r="A248" s="41" t="n"/>
      <c r="B248" s="41" t="n"/>
      <c r="C248" s="41" t="n"/>
      <c r="D248" s="41" t="n"/>
      <c r="E248" s="41" t="n"/>
      <c r="F248" s="41" t="n"/>
      <c r="G248" s="41" t="n"/>
      <c r="H248" s="41" t="n"/>
      <c r="I248" s="41" t="n"/>
    </row>
    <row r="249" ht="15.75" customHeight="1" s="60">
      <c r="A249" s="41" t="n"/>
      <c r="B249" s="41" t="n"/>
      <c r="C249" s="41" t="n"/>
      <c r="D249" s="41" t="n"/>
      <c r="E249" s="41" t="n"/>
      <c r="F249" s="41" t="n"/>
      <c r="G249" s="41" t="n"/>
      <c r="H249" s="41" t="n"/>
      <c r="I249" s="41" t="n"/>
    </row>
    <row r="250" ht="15.75" customHeight="1" s="60">
      <c r="A250" s="41" t="n"/>
      <c r="B250" s="41" t="n"/>
      <c r="C250" s="41" t="n"/>
      <c r="D250" s="41" t="n"/>
      <c r="E250" s="41" t="n"/>
      <c r="F250" s="41" t="n"/>
      <c r="G250" s="41" t="n"/>
      <c r="H250" s="41" t="n"/>
      <c r="I250" s="41" t="n"/>
    </row>
    <row r="251" ht="15.75" customHeight="1" s="60">
      <c r="A251" s="41" t="n"/>
      <c r="B251" s="41" t="n"/>
      <c r="C251" s="41" t="n"/>
      <c r="D251" s="41" t="n"/>
      <c r="E251" s="41" t="n"/>
      <c r="F251" s="41" t="n"/>
      <c r="G251" s="41" t="n"/>
      <c r="H251" s="41" t="n"/>
      <c r="I251" s="41" t="n"/>
    </row>
    <row r="252" ht="15.75" customHeight="1" s="60">
      <c r="A252" s="41" t="n"/>
      <c r="B252" s="41" t="n"/>
      <c r="C252" s="41" t="n"/>
      <c r="D252" s="41" t="n"/>
      <c r="E252" s="41" t="n"/>
      <c r="F252" s="41" t="n"/>
      <c r="G252" s="41" t="n"/>
      <c r="H252" s="41" t="n"/>
      <c r="I252" s="41" t="n"/>
    </row>
    <row r="253" ht="15.75" customHeight="1" s="60">
      <c r="A253" s="41" t="n"/>
      <c r="B253" s="41" t="n"/>
      <c r="C253" s="41" t="n"/>
      <c r="D253" s="41" t="n"/>
      <c r="E253" s="41" t="n"/>
      <c r="F253" s="41" t="n"/>
      <c r="G253" s="41" t="n"/>
      <c r="H253" s="41" t="n"/>
      <c r="I253" s="41" t="n"/>
    </row>
    <row r="254" ht="15.75" customHeight="1" s="60">
      <c r="A254" s="41" t="n"/>
      <c r="B254" s="41" t="n"/>
      <c r="C254" s="41" t="n"/>
      <c r="D254" s="41" t="n"/>
      <c r="E254" s="41" t="n"/>
      <c r="F254" s="41" t="n"/>
      <c r="G254" s="41" t="n"/>
      <c r="H254" s="41" t="n"/>
      <c r="I254" s="41" t="n"/>
    </row>
    <row r="255" ht="15.75" customHeight="1" s="60">
      <c r="A255" s="41" t="n"/>
      <c r="B255" s="41" t="n"/>
      <c r="C255" s="41" t="n"/>
      <c r="D255" s="41" t="n"/>
      <c r="E255" s="41" t="n"/>
      <c r="F255" s="41" t="n"/>
      <c r="G255" s="41" t="n"/>
      <c r="H255" s="41" t="n"/>
      <c r="I255" s="41" t="n"/>
    </row>
    <row r="256" ht="15.75" customHeight="1" s="60">
      <c r="A256" s="41" t="n"/>
      <c r="B256" s="41" t="n"/>
      <c r="C256" s="41" t="n"/>
      <c r="D256" s="41" t="n"/>
      <c r="E256" s="41" t="n"/>
      <c r="F256" s="41" t="n"/>
      <c r="G256" s="41" t="n"/>
      <c r="H256" s="41" t="n"/>
      <c r="I256" s="41" t="n"/>
    </row>
    <row r="257" ht="15.75" customHeight="1" s="60">
      <c r="A257" s="41" t="n"/>
      <c r="B257" s="41" t="n"/>
      <c r="C257" s="41" t="n"/>
      <c r="D257" s="41" t="n"/>
      <c r="E257" s="41" t="n"/>
      <c r="F257" s="41" t="n"/>
      <c r="G257" s="41" t="n"/>
      <c r="H257" s="41" t="n"/>
      <c r="I257" s="41" t="n"/>
    </row>
    <row r="258" ht="15.75" customHeight="1" s="60">
      <c r="A258" s="41" t="n"/>
      <c r="B258" s="41" t="n"/>
      <c r="C258" s="41" t="n"/>
      <c r="D258" s="41" t="n"/>
      <c r="E258" s="41" t="n"/>
      <c r="F258" s="41" t="n"/>
      <c r="G258" s="41" t="n"/>
      <c r="H258" s="41" t="n"/>
      <c r="I258" s="41" t="n"/>
    </row>
    <row r="259" ht="15.75" customHeight="1" s="60">
      <c r="A259" s="41" t="n"/>
      <c r="B259" s="41" t="n"/>
      <c r="C259" s="41" t="n"/>
      <c r="D259" s="41" t="n"/>
      <c r="E259" s="41" t="n"/>
      <c r="F259" s="41" t="n"/>
      <c r="G259" s="41" t="n"/>
      <c r="H259" s="41" t="n"/>
      <c r="I259" s="41" t="n"/>
    </row>
    <row r="260" ht="15.75" customHeight="1" s="60">
      <c r="A260" s="41" t="n"/>
      <c r="B260" s="41" t="n"/>
      <c r="C260" s="41" t="n"/>
      <c r="D260" s="41" t="n"/>
      <c r="E260" s="41" t="n"/>
      <c r="F260" s="41" t="n"/>
      <c r="G260" s="41" t="n"/>
      <c r="H260" s="41" t="n"/>
      <c r="I260" s="41" t="n"/>
    </row>
    <row r="261" ht="15.75" customHeight="1" s="60">
      <c r="A261" s="41" t="n"/>
      <c r="B261" s="41" t="n"/>
      <c r="C261" s="41" t="n"/>
      <c r="D261" s="41" t="n"/>
      <c r="E261" s="41" t="n"/>
      <c r="F261" s="41" t="n"/>
      <c r="G261" s="41" t="n"/>
      <c r="H261" s="41" t="n"/>
      <c r="I261" s="41" t="n"/>
    </row>
    <row r="262" ht="15.75" customHeight="1" s="60">
      <c r="A262" s="41" t="n"/>
      <c r="B262" s="41" t="n"/>
      <c r="C262" s="41" t="n"/>
      <c r="D262" s="41" t="n"/>
      <c r="E262" s="41" t="n"/>
      <c r="F262" s="41" t="n"/>
      <c r="G262" s="41" t="n"/>
      <c r="H262" s="41" t="n"/>
      <c r="I262" s="41" t="n"/>
    </row>
    <row r="263" ht="15.75" customHeight="1" s="60">
      <c r="A263" s="41" t="n"/>
      <c r="B263" s="41" t="n"/>
      <c r="C263" s="41" t="n"/>
      <c r="D263" s="41" t="n"/>
      <c r="E263" s="41" t="n"/>
      <c r="F263" s="41" t="n"/>
      <c r="G263" s="41" t="n"/>
      <c r="H263" s="41" t="n"/>
      <c r="I263" s="41" t="n"/>
    </row>
    <row r="264" ht="15.75" customHeight="1" s="60">
      <c r="A264" s="41" t="n"/>
      <c r="B264" s="41" t="n"/>
      <c r="C264" s="41" t="n"/>
      <c r="D264" s="41" t="n"/>
      <c r="E264" s="41" t="n"/>
      <c r="F264" s="41" t="n"/>
      <c r="G264" s="41" t="n"/>
      <c r="H264" s="41" t="n"/>
      <c r="I264" s="41" t="n"/>
    </row>
    <row r="265" ht="15.75" customHeight="1" s="60">
      <c r="A265" s="41" t="n"/>
      <c r="B265" s="41" t="n"/>
      <c r="C265" s="41" t="n"/>
      <c r="D265" s="41" t="n"/>
      <c r="E265" s="41" t="n"/>
      <c r="F265" s="41" t="n"/>
      <c r="G265" s="41" t="n"/>
      <c r="H265" s="41" t="n"/>
      <c r="I265" s="41" t="n"/>
    </row>
    <row r="266" ht="15.75" customHeight="1" s="60">
      <c r="A266" s="41" t="n"/>
      <c r="B266" s="41" t="n"/>
      <c r="C266" s="41" t="n"/>
      <c r="D266" s="41" t="n"/>
      <c r="E266" s="41" t="n"/>
      <c r="F266" s="41" t="n"/>
      <c r="G266" s="41" t="n"/>
      <c r="H266" s="41" t="n"/>
      <c r="I266" s="41" t="n"/>
    </row>
    <row r="267" ht="15.75" customHeight="1" s="60">
      <c r="A267" s="41" t="n"/>
      <c r="B267" s="41" t="n"/>
      <c r="C267" s="41" t="n"/>
      <c r="D267" s="41" t="n"/>
      <c r="E267" s="41" t="n"/>
      <c r="F267" s="41" t="n"/>
      <c r="G267" s="41" t="n"/>
      <c r="H267" s="41" t="n"/>
      <c r="I267" s="41" t="n"/>
    </row>
    <row r="268" ht="15.75" customHeight="1" s="60">
      <c r="A268" s="41" t="n"/>
      <c r="B268" s="41" t="n"/>
      <c r="C268" s="41" t="n"/>
      <c r="D268" s="41" t="n"/>
      <c r="E268" s="41" t="n"/>
      <c r="F268" s="41" t="n"/>
      <c r="G268" s="41" t="n"/>
      <c r="H268" s="41" t="n"/>
      <c r="I268" s="41" t="n"/>
    </row>
    <row r="269" ht="15.75" customHeight="1" s="60">
      <c r="A269" s="41" t="n"/>
      <c r="B269" s="41" t="n"/>
      <c r="C269" s="41" t="n"/>
      <c r="D269" s="41" t="n"/>
      <c r="E269" s="41" t="n"/>
      <c r="F269" s="41" t="n"/>
      <c r="G269" s="41" t="n"/>
      <c r="H269" s="41" t="n"/>
      <c r="I269" s="41" t="n"/>
    </row>
    <row r="270" ht="15.75" customHeight="1" s="60">
      <c r="A270" s="41" t="n"/>
      <c r="B270" s="41" t="n"/>
      <c r="C270" s="41" t="n"/>
      <c r="D270" s="41" t="n"/>
      <c r="E270" s="41" t="n"/>
      <c r="F270" s="41" t="n"/>
      <c r="G270" s="41" t="n"/>
      <c r="H270" s="41" t="n"/>
      <c r="I270" s="41" t="n"/>
    </row>
    <row r="271" ht="15.75" customHeight="1" s="60">
      <c r="A271" s="41" t="n"/>
      <c r="B271" s="41" t="n"/>
      <c r="C271" s="41" t="n"/>
      <c r="D271" s="41" t="n"/>
      <c r="E271" s="41" t="n"/>
      <c r="F271" s="41" t="n"/>
      <c r="G271" s="41" t="n"/>
      <c r="H271" s="41" t="n"/>
      <c r="I271" s="41" t="n"/>
    </row>
    <row r="272" ht="15.75" customHeight="1" s="60">
      <c r="A272" s="41" t="n"/>
      <c r="B272" s="41" t="n"/>
      <c r="C272" s="41" t="n"/>
      <c r="D272" s="41" t="n"/>
      <c r="E272" s="41" t="n"/>
      <c r="F272" s="41" t="n"/>
      <c r="G272" s="41" t="n"/>
      <c r="H272" s="41" t="n"/>
      <c r="I272" s="41" t="n"/>
    </row>
    <row r="273" ht="15.75" customHeight="1" s="60">
      <c r="A273" s="41" t="n"/>
      <c r="B273" s="41" t="n"/>
      <c r="C273" s="41" t="n"/>
      <c r="D273" s="41" t="n"/>
      <c r="E273" s="41" t="n"/>
      <c r="F273" s="41" t="n"/>
      <c r="G273" s="41" t="n"/>
      <c r="H273" s="41" t="n"/>
      <c r="I273" s="41" t="n"/>
    </row>
    <row r="274" ht="15.75" customHeight="1" s="60">
      <c r="A274" s="41" t="n"/>
      <c r="B274" s="41" t="n"/>
      <c r="C274" s="41" t="n"/>
      <c r="D274" s="41" t="n"/>
      <c r="E274" s="41" t="n"/>
      <c r="F274" s="41" t="n"/>
      <c r="G274" s="41" t="n"/>
      <c r="H274" s="41" t="n"/>
      <c r="I274" s="41" t="n"/>
    </row>
    <row r="275" ht="15.75" customHeight="1" s="60">
      <c r="A275" s="41" t="n"/>
      <c r="B275" s="41" t="n"/>
      <c r="C275" s="41" t="n"/>
      <c r="D275" s="41" t="n"/>
      <c r="E275" s="41" t="n"/>
      <c r="F275" s="41" t="n"/>
      <c r="G275" s="41" t="n"/>
      <c r="H275" s="41" t="n"/>
      <c r="I275" s="41" t="n"/>
    </row>
    <row r="276" ht="15.75" customHeight="1" s="60">
      <c r="A276" s="41" t="n"/>
      <c r="B276" s="41" t="n"/>
      <c r="C276" s="41" t="n"/>
      <c r="D276" s="41" t="n"/>
      <c r="E276" s="41" t="n"/>
      <c r="F276" s="41" t="n"/>
      <c r="G276" s="41" t="n"/>
      <c r="H276" s="41" t="n"/>
      <c r="I276" s="41" t="n"/>
    </row>
    <row r="277" ht="15.75" customHeight="1" s="60">
      <c r="A277" s="41" t="n"/>
      <c r="B277" s="41" t="n"/>
      <c r="C277" s="41" t="n"/>
      <c r="D277" s="41" t="n"/>
      <c r="E277" s="41" t="n"/>
      <c r="F277" s="41" t="n"/>
      <c r="G277" s="41" t="n"/>
      <c r="H277" s="41" t="n"/>
      <c r="I277" s="41" t="n"/>
    </row>
    <row r="278" ht="15.75" customHeight="1" s="60">
      <c r="A278" s="41" t="n"/>
      <c r="B278" s="41" t="n"/>
      <c r="C278" s="41" t="n"/>
      <c r="D278" s="41" t="n"/>
      <c r="E278" s="41" t="n"/>
      <c r="F278" s="41" t="n"/>
      <c r="G278" s="41" t="n"/>
      <c r="H278" s="41" t="n"/>
      <c r="I278" s="41" t="n"/>
    </row>
    <row r="279" ht="15.75" customHeight="1" s="60">
      <c r="A279" s="41" t="n"/>
      <c r="B279" s="41" t="n"/>
      <c r="C279" s="41" t="n"/>
      <c r="D279" s="41" t="n"/>
      <c r="E279" s="41" t="n"/>
      <c r="F279" s="41" t="n"/>
      <c r="G279" s="41" t="n"/>
      <c r="H279" s="41" t="n"/>
      <c r="I279" s="41" t="n"/>
    </row>
    <row r="280" ht="15.75" customHeight="1" s="60">
      <c r="A280" s="41" t="n"/>
      <c r="B280" s="41" t="n"/>
      <c r="C280" s="41" t="n"/>
      <c r="D280" s="41" t="n"/>
      <c r="E280" s="41" t="n"/>
      <c r="F280" s="41" t="n"/>
      <c r="G280" s="41" t="n"/>
      <c r="H280" s="41" t="n"/>
      <c r="I280" s="41" t="n"/>
    </row>
    <row r="281" ht="15.75" customHeight="1" s="60">
      <c r="A281" s="41" t="n"/>
      <c r="B281" s="41" t="n"/>
      <c r="C281" s="41" t="n"/>
      <c r="D281" s="41" t="n"/>
      <c r="E281" s="41" t="n"/>
      <c r="F281" s="41" t="n"/>
      <c r="G281" s="41" t="n"/>
      <c r="H281" s="41" t="n"/>
      <c r="I281" s="41" t="n"/>
    </row>
    <row r="282" ht="15.75" customHeight="1" s="60">
      <c r="A282" s="41" t="n"/>
      <c r="B282" s="41" t="n"/>
      <c r="C282" s="41" t="n"/>
      <c r="D282" s="41" t="n"/>
      <c r="E282" s="41" t="n"/>
      <c r="F282" s="41" t="n"/>
      <c r="G282" s="41" t="n"/>
      <c r="H282" s="41" t="n"/>
      <c r="I282" s="41" t="n"/>
    </row>
    <row r="283" ht="15.75" customHeight="1" s="60">
      <c r="A283" s="41" t="n"/>
      <c r="B283" s="41" t="n"/>
      <c r="C283" s="41" t="n"/>
      <c r="D283" s="41" t="n"/>
      <c r="E283" s="41" t="n"/>
      <c r="F283" s="41" t="n"/>
      <c r="G283" s="41" t="n"/>
      <c r="H283" s="41" t="n"/>
      <c r="I283" s="41" t="n"/>
    </row>
    <row r="284" ht="15.75" customHeight="1" s="60">
      <c r="A284" s="41" t="n"/>
      <c r="B284" s="41" t="n"/>
      <c r="C284" s="41" t="n"/>
      <c r="D284" s="41" t="n"/>
      <c r="E284" s="41" t="n"/>
      <c r="F284" s="41" t="n"/>
      <c r="G284" s="41" t="n"/>
      <c r="H284" s="41" t="n"/>
      <c r="I284" s="41" t="n"/>
    </row>
    <row r="285" ht="15.75" customHeight="1" s="60">
      <c r="A285" s="41" t="n"/>
      <c r="B285" s="41" t="n"/>
      <c r="C285" s="41" t="n"/>
      <c r="D285" s="41" t="n"/>
      <c r="E285" s="41" t="n"/>
      <c r="F285" s="41" t="n"/>
      <c r="G285" s="41" t="n"/>
      <c r="H285" s="41" t="n"/>
      <c r="I285" s="41" t="n"/>
    </row>
    <row r="286" ht="15.75" customHeight="1" s="60">
      <c r="A286" s="41" t="n"/>
      <c r="B286" s="41" t="n"/>
      <c r="C286" s="41" t="n"/>
      <c r="D286" s="41" t="n"/>
      <c r="E286" s="41" t="n"/>
      <c r="F286" s="41" t="n"/>
      <c r="G286" s="41" t="n"/>
      <c r="H286" s="41" t="n"/>
      <c r="I286" s="41" t="n"/>
    </row>
    <row r="287" ht="15.75" customHeight="1" s="60">
      <c r="A287" s="41" t="n"/>
      <c r="B287" s="41" t="n"/>
      <c r="C287" s="41" t="n"/>
      <c r="D287" s="41" t="n"/>
      <c r="E287" s="41" t="n"/>
      <c r="F287" s="41" t="n"/>
      <c r="G287" s="41" t="n"/>
      <c r="H287" s="41" t="n"/>
      <c r="I287" s="41" t="n"/>
    </row>
    <row r="288" ht="15.75" customHeight="1" s="60">
      <c r="A288" s="41" t="n"/>
      <c r="B288" s="41" t="n"/>
      <c r="C288" s="41" t="n"/>
      <c r="D288" s="41" t="n"/>
      <c r="E288" s="41" t="n"/>
      <c r="F288" s="41" t="n"/>
      <c r="G288" s="41" t="n"/>
      <c r="H288" s="41" t="n"/>
      <c r="I288" s="41" t="n"/>
    </row>
    <row r="289" ht="15.75" customHeight="1" s="60">
      <c r="A289" s="41" t="n"/>
      <c r="B289" s="41" t="n"/>
      <c r="C289" s="41" t="n"/>
      <c r="D289" s="41" t="n"/>
      <c r="E289" s="41" t="n"/>
      <c r="F289" s="41" t="n"/>
      <c r="G289" s="41" t="n"/>
      <c r="H289" s="41" t="n"/>
      <c r="I289" s="41" t="n"/>
    </row>
    <row r="290" ht="15.75" customHeight="1" s="60">
      <c r="A290" s="41" t="n"/>
      <c r="B290" s="41" t="n"/>
      <c r="C290" s="41" t="n"/>
      <c r="D290" s="41" t="n"/>
      <c r="E290" s="41" t="n"/>
      <c r="F290" s="41" t="n"/>
      <c r="G290" s="41" t="n"/>
      <c r="H290" s="41" t="n"/>
      <c r="I290" s="41" t="n"/>
    </row>
    <row r="291" ht="15.75" customHeight="1" s="60">
      <c r="A291" s="41" t="n"/>
      <c r="B291" s="41" t="n"/>
      <c r="C291" s="41" t="n"/>
      <c r="D291" s="41" t="n"/>
      <c r="E291" s="41" t="n"/>
      <c r="F291" s="41" t="n"/>
      <c r="G291" s="41" t="n"/>
      <c r="H291" s="41" t="n"/>
      <c r="I291" s="41" t="n"/>
    </row>
    <row r="292" ht="15.75" customHeight="1" s="60">
      <c r="A292" s="41" t="n"/>
      <c r="B292" s="41" t="n"/>
      <c r="C292" s="41" t="n"/>
      <c r="D292" s="41" t="n"/>
      <c r="E292" s="41" t="n"/>
      <c r="F292" s="41" t="n"/>
      <c r="G292" s="41" t="n"/>
      <c r="H292" s="41" t="n"/>
      <c r="I292" s="41" t="n"/>
    </row>
    <row r="293" ht="15.75" customHeight="1" s="60">
      <c r="A293" s="41" t="n"/>
      <c r="B293" s="41" t="n"/>
      <c r="C293" s="41" t="n"/>
      <c r="D293" s="41" t="n"/>
      <c r="E293" s="41" t="n"/>
      <c r="F293" s="41" t="n"/>
      <c r="G293" s="41" t="n"/>
      <c r="H293" s="41" t="n"/>
      <c r="I293" s="41" t="n"/>
    </row>
    <row r="294" ht="15.75" customHeight="1" s="60">
      <c r="A294" s="41" t="n"/>
      <c r="B294" s="41" t="n"/>
      <c r="C294" s="41" t="n"/>
      <c r="D294" s="41" t="n"/>
      <c r="E294" s="41" t="n"/>
      <c r="F294" s="41" t="n"/>
      <c r="G294" s="41" t="n"/>
      <c r="H294" s="41" t="n"/>
      <c r="I294" s="41" t="n"/>
    </row>
    <row r="295" ht="15.75" customHeight="1" s="60">
      <c r="A295" s="41" t="n"/>
      <c r="B295" s="41" t="n"/>
      <c r="C295" s="41" t="n"/>
      <c r="D295" s="41" t="n"/>
      <c r="E295" s="41" t="n"/>
      <c r="F295" s="41" t="n"/>
      <c r="G295" s="41" t="n"/>
      <c r="H295" s="41" t="n"/>
      <c r="I295" s="41" t="n"/>
    </row>
    <row r="296" ht="15.75" customHeight="1" s="60">
      <c r="A296" s="41" t="n"/>
      <c r="B296" s="41" t="n"/>
      <c r="C296" s="41" t="n"/>
      <c r="D296" s="41" t="n"/>
      <c r="E296" s="41" t="n"/>
      <c r="F296" s="41" t="n"/>
      <c r="G296" s="41" t="n"/>
      <c r="H296" s="41" t="n"/>
      <c r="I296" s="41" t="n"/>
    </row>
    <row r="297" ht="15.75" customHeight="1" s="60">
      <c r="A297" s="41" t="n"/>
      <c r="B297" s="41" t="n"/>
      <c r="C297" s="41" t="n"/>
      <c r="D297" s="41" t="n"/>
      <c r="E297" s="41" t="n"/>
      <c r="F297" s="41" t="n"/>
      <c r="G297" s="41" t="n"/>
      <c r="H297" s="41" t="n"/>
      <c r="I297" s="41" t="n"/>
    </row>
    <row r="298" ht="15.75" customHeight="1" s="60">
      <c r="A298" s="41" t="n"/>
      <c r="B298" s="41" t="n"/>
      <c r="C298" s="41" t="n"/>
      <c r="D298" s="41" t="n"/>
      <c r="E298" s="41" t="n"/>
      <c r="F298" s="41" t="n"/>
      <c r="G298" s="41" t="n"/>
      <c r="H298" s="41" t="n"/>
      <c r="I298" s="41" t="n"/>
    </row>
    <row r="299" ht="15.75" customHeight="1" s="60">
      <c r="A299" s="41" t="n"/>
      <c r="B299" s="41" t="n"/>
      <c r="C299" s="41" t="n"/>
      <c r="D299" s="41" t="n"/>
      <c r="E299" s="41" t="n"/>
      <c r="F299" s="41" t="n"/>
      <c r="G299" s="41" t="n"/>
      <c r="H299" s="41" t="n"/>
      <c r="I299" s="41" t="n"/>
    </row>
    <row r="300" ht="15.75" customHeight="1" s="60">
      <c r="A300" s="41" t="n"/>
      <c r="B300" s="41" t="n"/>
      <c r="C300" s="41" t="n"/>
      <c r="D300" s="41" t="n"/>
      <c r="E300" s="41" t="n"/>
      <c r="F300" s="41" t="n"/>
      <c r="G300" s="41" t="n"/>
      <c r="H300" s="41" t="n"/>
      <c r="I300" s="41" t="n"/>
    </row>
    <row r="301" ht="15.75" customHeight="1" s="60">
      <c r="A301" s="41" t="n"/>
      <c r="B301" s="41" t="n"/>
      <c r="C301" s="41" t="n"/>
      <c r="D301" s="41" t="n"/>
      <c r="E301" s="41" t="n"/>
      <c r="F301" s="41" t="n"/>
      <c r="G301" s="41" t="n"/>
      <c r="H301" s="41" t="n"/>
      <c r="I301" s="41" t="n"/>
    </row>
    <row r="302" ht="15.75" customHeight="1" s="60">
      <c r="A302" s="41" t="n"/>
      <c r="B302" s="41" t="n"/>
      <c r="C302" s="41" t="n"/>
      <c r="D302" s="41" t="n"/>
      <c r="E302" s="41" t="n"/>
      <c r="F302" s="41" t="n"/>
      <c r="G302" s="41" t="n"/>
      <c r="H302" s="41" t="n"/>
      <c r="I302" s="41" t="n"/>
    </row>
    <row r="303" ht="15.75" customHeight="1" s="60">
      <c r="A303" s="41" t="n"/>
      <c r="B303" s="41" t="n"/>
      <c r="C303" s="41" t="n"/>
      <c r="D303" s="41" t="n"/>
      <c r="E303" s="41" t="n"/>
      <c r="F303" s="41" t="n"/>
      <c r="G303" s="41" t="n"/>
      <c r="H303" s="41" t="n"/>
      <c r="I303" s="41" t="n"/>
    </row>
    <row r="304" ht="15.75" customHeight="1" s="60">
      <c r="A304" s="41" t="n"/>
      <c r="B304" s="41" t="n"/>
      <c r="C304" s="41" t="n"/>
      <c r="D304" s="41" t="n"/>
      <c r="E304" s="41" t="n"/>
      <c r="F304" s="41" t="n"/>
      <c r="G304" s="41" t="n"/>
      <c r="H304" s="41" t="n"/>
      <c r="I304" s="41" t="n"/>
    </row>
    <row r="305" ht="15.75" customHeight="1" s="60">
      <c r="A305" s="41" t="n"/>
      <c r="B305" s="41" t="n"/>
      <c r="C305" s="41" t="n"/>
      <c r="D305" s="41" t="n"/>
      <c r="E305" s="41" t="n"/>
      <c r="F305" s="41" t="n"/>
      <c r="G305" s="41" t="n"/>
      <c r="H305" s="41" t="n"/>
      <c r="I305" s="41" t="n"/>
    </row>
    <row r="306" ht="15.75" customHeight="1" s="60">
      <c r="A306" s="41" t="n"/>
      <c r="B306" s="41" t="n"/>
      <c r="C306" s="41" t="n"/>
      <c r="D306" s="41" t="n"/>
      <c r="E306" s="41" t="n"/>
      <c r="F306" s="41" t="n"/>
      <c r="G306" s="41" t="n"/>
      <c r="H306" s="41" t="n"/>
      <c r="I306" s="41" t="n"/>
    </row>
    <row r="307" ht="15.75" customHeight="1" s="60">
      <c r="A307" s="41" t="n"/>
      <c r="B307" s="41" t="n"/>
      <c r="C307" s="41" t="n"/>
      <c r="D307" s="41" t="n"/>
      <c r="E307" s="41" t="n"/>
      <c r="F307" s="41" t="n"/>
      <c r="G307" s="41" t="n"/>
      <c r="H307" s="41" t="n"/>
      <c r="I307" s="41" t="n"/>
    </row>
    <row r="308" ht="15.75" customHeight="1" s="60">
      <c r="A308" s="41" t="n"/>
      <c r="B308" s="41" t="n"/>
      <c r="C308" s="41" t="n"/>
      <c r="D308" s="41" t="n"/>
      <c r="E308" s="41" t="n"/>
      <c r="F308" s="41" t="n"/>
      <c r="G308" s="41" t="n"/>
      <c r="H308" s="41" t="n"/>
      <c r="I308" s="41" t="n"/>
    </row>
    <row r="309" ht="15.75" customHeight="1" s="60">
      <c r="A309" s="41" t="n"/>
      <c r="B309" s="41" t="n"/>
      <c r="C309" s="41" t="n"/>
      <c r="D309" s="41" t="n"/>
      <c r="E309" s="41" t="n"/>
      <c r="F309" s="41" t="n"/>
      <c r="G309" s="41" t="n"/>
      <c r="H309" s="41" t="n"/>
      <c r="I309" s="41" t="n"/>
    </row>
    <row r="310" ht="15.75" customHeight="1" s="60">
      <c r="A310" s="41" t="n"/>
      <c r="B310" s="41" t="n"/>
      <c r="C310" s="41" t="n"/>
      <c r="D310" s="41" t="n"/>
      <c r="E310" s="41" t="n"/>
      <c r="F310" s="41" t="n"/>
      <c r="G310" s="41" t="n"/>
      <c r="H310" s="41" t="n"/>
      <c r="I310" s="41" t="n"/>
    </row>
    <row r="311" ht="15.75" customHeight="1" s="60">
      <c r="A311" s="41" t="n"/>
      <c r="B311" s="41" t="n"/>
      <c r="C311" s="41" t="n"/>
      <c r="D311" s="41" t="n"/>
      <c r="E311" s="41" t="n"/>
      <c r="F311" s="41" t="n"/>
      <c r="G311" s="41" t="n"/>
      <c r="H311" s="41" t="n"/>
      <c r="I311" s="41" t="n"/>
    </row>
    <row r="312" ht="15.75" customHeight="1" s="60">
      <c r="A312" s="41" t="n"/>
      <c r="B312" s="41" t="n"/>
      <c r="C312" s="41" t="n"/>
      <c r="D312" s="41" t="n"/>
      <c r="E312" s="41" t="n"/>
      <c r="F312" s="41" t="n"/>
      <c r="G312" s="41" t="n"/>
      <c r="H312" s="41" t="n"/>
      <c r="I312" s="41" t="n"/>
    </row>
    <row r="313" ht="15.75" customHeight="1" s="60">
      <c r="A313" s="41" t="n"/>
      <c r="B313" s="41" t="n"/>
      <c r="C313" s="41" t="n"/>
      <c r="D313" s="41" t="n"/>
      <c r="E313" s="41" t="n"/>
      <c r="F313" s="41" t="n"/>
      <c r="G313" s="41" t="n"/>
      <c r="H313" s="41" t="n"/>
      <c r="I313" s="41" t="n"/>
    </row>
    <row r="314" ht="15.75" customHeight="1" s="60">
      <c r="A314" s="41" t="n"/>
      <c r="B314" s="41" t="n"/>
      <c r="C314" s="41" t="n"/>
      <c r="D314" s="41" t="n"/>
      <c r="E314" s="41" t="n"/>
      <c r="F314" s="41" t="n"/>
      <c r="G314" s="41" t="n"/>
      <c r="H314" s="41" t="n"/>
      <c r="I314" s="41" t="n"/>
    </row>
    <row r="315" ht="15.75" customHeight="1" s="60">
      <c r="A315" s="41" t="n"/>
      <c r="B315" s="41" t="n"/>
      <c r="C315" s="41" t="n"/>
      <c r="D315" s="41" t="n"/>
      <c r="E315" s="41" t="n"/>
      <c r="F315" s="41" t="n"/>
      <c r="G315" s="41" t="n"/>
      <c r="H315" s="41" t="n"/>
      <c r="I315" s="41" t="n"/>
    </row>
    <row r="316" ht="15.75" customHeight="1" s="60">
      <c r="A316" s="41" t="n"/>
      <c r="B316" s="41" t="n"/>
      <c r="C316" s="41" t="n"/>
      <c r="D316" s="41" t="n"/>
      <c r="E316" s="41" t="n"/>
      <c r="F316" s="41" t="n"/>
      <c r="G316" s="41" t="n"/>
      <c r="H316" s="41" t="n"/>
      <c r="I316" s="41" t="n"/>
    </row>
    <row r="317" ht="15.75" customHeight="1" s="60">
      <c r="A317" s="41" t="n"/>
      <c r="B317" s="41" t="n"/>
      <c r="C317" s="41" t="n"/>
      <c r="D317" s="41" t="n"/>
      <c r="E317" s="41" t="n"/>
      <c r="F317" s="41" t="n"/>
      <c r="G317" s="41" t="n"/>
      <c r="H317" s="41" t="n"/>
      <c r="I317" s="41" t="n"/>
    </row>
    <row r="318" ht="15.75" customHeight="1" s="60">
      <c r="A318" s="41" t="n"/>
      <c r="B318" s="41" t="n"/>
      <c r="C318" s="41" t="n"/>
      <c r="D318" s="41" t="n"/>
      <c r="E318" s="41" t="n"/>
      <c r="F318" s="41" t="n"/>
      <c r="G318" s="41" t="n"/>
      <c r="H318" s="41" t="n"/>
      <c r="I318" s="41" t="n"/>
    </row>
    <row r="319" ht="15.75" customHeight="1" s="60">
      <c r="A319" s="41" t="n"/>
      <c r="B319" s="41" t="n"/>
      <c r="C319" s="41" t="n"/>
      <c r="D319" s="41" t="n"/>
      <c r="E319" s="41" t="n"/>
      <c r="F319" s="41" t="n"/>
      <c r="G319" s="41" t="n"/>
      <c r="H319" s="41" t="n"/>
      <c r="I319" s="41" t="n"/>
    </row>
    <row r="320" ht="15.75" customHeight="1" s="60">
      <c r="A320" s="41" t="n"/>
      <c r="B320" s="41" t="n"/>
      <c r="C320" s="41" t="n"/>
      <c r="D320" s="41" t="n"/>
      <c r="E320" s="41" t="n"/>
      <c r="F320" s="41" t="n"/>
      <c r="G320" s="41" t="n"/>
      <c r="H320" s="41" t="n"/>
      <c r="I320" s="41" t="n"/>
    </row>
    <row r="321" ht="15.75" customHeight="1" s="60">
      <c r="A321" s="41" t="n"/>
      <c r="B321" s="41" t="n"/>
      <c r="C321" s="41" t="n"/>
      <c r="D321" s="41" t="n"/>
      <c r="E321" s="41" t="n"/>
      <c r="F321" s="41" t="n"/>
      <c r="G321" s="41" t="n"/>
      <c r="H321" s="41" t="n"/>
      <c r="I321" s="41" t="n"/>
    </row>
    <row r="322" ht="15.75" customHeight="1" s="60">
      <c r="A322" s="41" t="n"/>
      <c r="B322" s="41" t="n"/>
      <c r="C322" s="41" t="n"/>
      <c r="D322" s="41" t="n"/>
      <c r="E322" s="41" t="n"/>
      <c r="F322" s="41" t="n"/>
      <c r="G322" s="41" t="n"/>
      <c r="H322" s="41" t="n"/>
      <c r="I322" s="41" t="n"/>
    </row>
    <row r="323" ht="15.75" customHeight="1" s="60">
      <c r="A323" s="41" t="n"/>
      <c r="B323" s="41" t="n"/>
      <c r="C323" s="41" t="n"/>
      <c r="D323" s="41" t="n"/>
      <c r="E323" s="41" t="n"/>
      <c r="F323" s="41" t="n"/>
      <c r="G323" s="41" t="n"/>
      <c r="H323" s="41" t="n"/>
      <c r="I323" s="41" t="n"/>
    </row>
    <row r="324" ht="15.75" customHeight="1" s="60">
      <c r="A324" s="41" t="n"/>
      <c r="B324" s="41" t="n"/>
      <c r="C324" s="41" t="n"/>
      <c r="D324" s="41" t="n"/>
      <c r="E324" s="41" t="n"/>
      <c r="F324" s="41" t="n"/>
      <c r="G324" s="41" t="n"/>
      <c r="H324" s="41" t="n"/>
      <c r="I324" s="41" t="n"/>
    </row>
    <row r="325" ht="15.75" customHeight="1" s="60">
      <c r="A325" s="41" t="n"/>
      <c r="B325" s="41" t="n"/>
      <c r="C325" s="41" t="n"/>
      <c r="D325" s="41" t="n"/>
      <c r="E325" s="41" t="n"/>
      <c r="F325" s="41" t="n"/>
      <c r="G325" s="41" t="n"/>
      <c r="H325" s="41" t="n"/>
      <c r="I325" s="41" t="n"/>
    </row>
    <row r="326" ht="15.75" customHeight="1" s="60">
      <c r="A326" s="41" t="n"/>
      <c r="B326" s="41" t="n"/>
      <c r="C326" s="41" t="n"/>
      <c r="D326" s="41" t="n"/>
      <c r="E326" s="41" t="n"/>
      <c r="F326" s="41" t="n"/>
      <c r="G326" s="41" t="n"/>
      <c r="H326" s="41" t="n"/>
      <c r="I326" s="41" t="n"/>
    </row>
    <row r="327" ht="15.75" customHeight="1" s="60">
      <c r="A327" s="41" t="n"/>
      <c r="B327" s="41" t="n"/>
      <c r="C327" s="41" t="n"/>
      <c r="D327" s="41" t="n"/>
      <c r="E327" s="41" t="n"/>
      <c r="F327" s="41" t="n"/>
      <c r="G327" s="41" t="n"/>
      <c r="H327" s="41" t="n"/>
      <c r="I327" s="41" t="n"/>
    </row>
    <row r="328" ht="15.75" customHeight="1" s="60">
      <c r="A328" s="41" t="n"/>
      <c r="B328" s="41" t="n"/>
      <c r="C328" s="41" t="n"/>
      <c r="D328" s="41" t="n"/>
      <c r="E328" s="41" t="n"/>
      <c r="F328" s="41" t="n"/>
      <c r="G328" s="41" t="n"/>
      <c r="H328" s="41" t="n"/>
      <c r="I328" s="41" t="n"/>
    </row>
    <row r="329" ht="15.75" customHeight="1" s="60">
      <c r="A329" s="41" t="n"/>
      <c r="B329" s="41" t="n"/>
      <c r="C329" s="41" t="n"/>
      <c r="D329" s="41" t="n"/>
      <c r="E329" s="41" t="n"/>
      <c r="F329" s="41" t="n"/>
      <c r="G329" s="41" t="n"/>
      <c r="H329" s="41" t="n"/>
      <c r="I329" s="41" t="n"/>
    </row>
    <row r="330" ht="15.75" customHeight="1" s="60">
      <c r="A330" s="41" t="n"/>
      <c r="B330" s="41" t="n"/>
      <c r="C330" s="41" t="n"/>
      <c r="D330" s="41" t="n"/>
      <c r="E330" s="41" t="n"/>
      <c r="F330" s="41" t="n"/>
      <c r="G330" s="41" t="n"/>
      <c r="H330" s="41" t="n"/>
      <c r="I330" s="41" t="n"/>
    </row>
    <row r="331" ht="15.75" customHeight="1" s="60">
      <c r="A331" s="41" t="n"/>
      <c r="B331" s="41" t="n"/>
      <c r="C331" s="41" t="n"/>
      <c r="D331" s="41" t="n"/>
      <c r="E331" s="41" t="n"/>
      <c r="F331" s="41" t="n"/>
      <c r="G331" s="41" t="n"/>
      <c r="H331" s="41" t="n"/>
      <c r="I331" s="41" t="n"/>
    </row>
    <row r="332" ht="15.75" customHeight="1" s="60">
      <c r="A332" s="41" t="n"/>
      <c r="B332" s="41" t="n"/>
      <c r="C332" s="41" t="n"/>
      <c r="D332" s="41" t="n"/>
      <c r="E332" s="41" t="n"/>
      <c r="F332" s="41" t="n"/>
      <c r="G332" s="41" t="n"/>
      <c r="H332" s="41" t="n"/>
      <c r="I332" s="41" t="n"/>
    </row>
    <row r="333" ht="15.75" customHeight="1" s="60">
      <c r="A333" s="41" t="n"/>
      <c r="B333" s="41" t="n"/>
      <c r="C333" s="41" t="n"/>
      <c r="D333" s="41" t="n"/>
      <c r="E333" s="41" t="n"/>
      <c r="F333" s="41" t="n"/>
      <c r="G333" s="41" t="n"/>
      <c r="H333" s="41" t="n"/>
      <c r="I333" s="41" t="n"/>
    </row>
    <row r="334" ht="15.75" customHeight="1" s="60">
      <c r="A334" s="41" t="n"/>
      <c r="B334" s="41" t="n"/>
      <c r="C334" s="41" t="n"/>
      <c r="D334" s="41" t="n"/>
      <c r="E334" s="41" t="n"/>
      <c r="F334" s="41" t="n"/>
      <c r="G334" s="41" t="n"/>
      <c r="H334" s="41" t="n"/>
      <c r="I334" s="41" t="n"/>
    </row>
    <row r="335" ht="15.75" customHeight="1" s="60">
      <c r="A335" s="41" t="n"/>
      <c r="B335" s="41" t="n"/>
      <c r="C335" s="41" t="n"/>
      <c r="D335" s="41" t="n"/>
      <c r="E335" s="41" t="n"/>
      <c r="F335" s="41" t="n"/>
      <c r="G335" s="41" t="n"/>
      <c r="H335" s="41" t="n"/>
      <c r="I335" s="41" t="n"/>
    </row>
    <row r="336" ht="15.75" customHeight="1" s="60">
      <c r="A336" s="41" t="n"/>
      <c r="B336" s="41" t="n"/>
      <c r="C336" s="41" t="n"/>
      <c r="D336" s="41" t="n"/>
      <c r="E336" s="41" t="n"/>
      <c r="F336" s="41" t="n"/>
      <c r="G336" s="41" t="n"/>
      <c r="H336" s="41" t="n"/>
      <c r="I336" s="41" t="n"/>
    </row>
    <row r="337" ht="15.75" customHeight="1" s="60">
      <c r="A337" s="41" t="n"/>
      <c r="B337" s="41" t="n"/>
      <c r="C337" s="41" t="n"/>
      <c r="D337" s="41" t="n"/>
      <c r="E337" s="41" t="n"/>
      <c r="F337" s="41" t="n"/>
      <c r="G337" s="41" t="n"/>
      <c r="H337" s="41" t="n"/>
      <c r="I337" s="41" t="n"/>
    </row>
    <row r="338" ht="15.75" customHeight="1" s="60">
      <c r="A338" s="41" t="n"/>
      <c r="B338" s="41" t="n"/>
      <c r="C338" s="41" t="n"/>
      <c r="D338" s="41" t="n"/>
      <c r="E338" s="41" t="n"/>
      <c r="F338" s="41" t="n"/>
      <c r="G338" s="41" t="n"/>
      <c r="H338" s="41" t="n"/>
      <c r="I338" s="41" t="n"/>
    </row>
    <row r="339" ht="15.75" customHeight="1" s="60">
      <c r="A339" s="41" t="n"/>
      <c r="B339" s="41" t="n"/>
      <c r="C339" s="41" t="n"/>
      <c r="D339" s="41" t="n"/>
      <c r="E339" s="41" t="n"/>
      <c r="F339" s="41" t="n"/>
      <c r="G339" s="41" t="n"/>
      <c r="H339" s="41" t="n"/>
      <c r="I339" s="41" t="n"/>
    </row>
    <row r="340" ht="15.75" customHeight="1" s="60">
      <c r="A340" s="41" t="n"/>
      <c r="B340" s="41" t="n"/>
      <c r="C340" s="41" t="n"/>
      <c r="D340" s="41" t="n"/>
      <c r="E340" s="41" t="n"/>
      <c r="F340" s="41" t="n"/>
      <c r="G340" s="41" t="n"/>
      <c r="H340" s="41" t="n"/>
      <c r="I340" s="41" t="n"/>
    </row>
    <row r="341" ht="15.75" customHeight="1" s="60">
      <c r="A341" s="41" t="n"/>
      <c r="B341" s="41" t="n"/>
      <c r="C341" s="41" t="n"/>
      <c r="D341" s="41" t="n"/>
      <c r="E341" s="41" t="n"/>
      <c r="F341" s="41" t="n"/>
      <c r="G341" s="41" t="n"/>
      <c r="H341" s="41" t="n"/>
      <c r="I341" s="41" t="n"/>
    </row>
    <row r="342" ht="15.75" customHeight="1" s="60">
      <c r="A342" s="41" t="n"/>
      <c r="B342" s="41" t="n"/>
      <c r="C342" s="41" t="n"/>
      <c r="D342" s="41" t="n"/>
      <c r="E342" s="41" t="n"/>
      <c r="F342" s="41" t="n"/>
      <c r="G342" s="41" t="n"/>
      <c r="H342" s="41" t="n"/>
      <c r="I342" s="41" t="n"/>
    </row>
    <row r="343" ht="15.75" customHeight="1" s="60">
      <c r="A343" s="41" t="n"/>
      <c r="B343" s="41" t="n"/>
      <c r="C343" s="41" t="n"/>
      <c r="D343" s="41" t="n"/>
      <c r="E343" s="41" t="n"/>
      <c r="F343" s="41" t="n"/>
      <c r="G343" s="41" t="n"/>
      <c r="H343" s="41" t="n"/>
      <c r="I343" s="41" t="n"/>
    </row>
    <row r="344" ht="15.75" customHeight="1" s="60">
      <c r="A344" s="41" t="n"/>
      <c r="B344" s="41" t="n"/>
      <c r="C344" s="41" t="n"/>
      <c r="D344" s="41" t="n"/>
      <c r="E344" s="41" t="n"/>
      <c r="F344" s="41" t="n"/>
      <c r="G344" s="41" t="n"/>
      <c r="H344" s="41" t="n"/>
      <c r="I344" s="41" t="n"/>
    </row>
    <row r="345" ht="15.75" customHeight="1" s="60">
      <c r="A345" s="41" t="n"/>
      <c r="B345" s="41" t="n"/>
      <c r="C345" s="41" t="n"/>
      <c r="D345" s="41" t="n"/>
      <c r="E345" s="41" t="n"/>
      <c r="F345" s="41" t="n"/>
      <c r="G345" s="41" t="n"/>
      <c r="H345" s="41" t="n"/>
      <c r="I345" s="41" t="n"/>
    </row>
    <row r="346" ht="15.75" customHeight="1" s="60">
      <c r="A346" s="41" t="n"/>
      <c r="B346" s="41" t="n"/>
      <c r="C346" s="41" t="n"/>
      <c r="D346" s="41" t="n"/>
      <c r="E346" s="41" t="n"/>
      <c r="F346" s="41" t="n"/>
      <c r="G346" s="41" t="n"/>
      <c r="H346" s="41" t="n"/>
      <c r="I346" s="41" t="n"/>
    </row>
    <row r="347" ht="15.75" customHeight="1" s="60">
      <c r="A347" s="41" t="n"/>
      <c r="B347" s="41" t="n"/>
      <c r="C347" s="41" t="n"/>
      <c r="D347" s="41" t="n"/>
      <c r="E347" s="41" t="n"/>
      <c r="F347" s="41" t="n"/>
      <c r="G347" s="41" t="n"/>
      <c r="H347" s="41" t="n"/>
      <c r="I347" s="41" t="n"/>
    </row>
    <row r="348" ht="15.75" customHeight="1" s="60">
      <c r="A348" s="41" t="n"/>
      <c r="B348" s="41" t="n"/>
      <c r="C348" s="41" t="n"/>
      <c r="D348" s="41" t="n"/>
      <c r="E348" s="41" t="n"/>
      <c r="F348" s="41" t="n"/>
      <c r="G348" s="41" t="n"/>
      <c r="H348" s="41" t="n"/>
      <c r="I348" s="41" t="n"/>
    </row>
    <row r="349" ht="15.75" customHeight="1" s="60">
      <c r="A349" s="41" t="n"/>
      <c r="B349" s="41" t="n"/>
      <c r="C349" s="41" t="n"/>
      <c r="D349" s="41" t="n"/>
      <c r="E349" s="41" t="n"/>
      <c r="F349" s="41" t="n"/>
      <c r="G349" s="41" t="n"/>
      <c r="H349" s="41" t="n"/>
      <c r="I349" s="41" t="n"/>
    </row>
    <row r="350" ht="15.75" customHeight="1" s="60">
      <c r="A350" s="41" t="n"/>
      <c r="B350" s="41" t="n"/>
      <c r="C350" s="41" t="n"/>
      <c r="D350" s="41" t="n"/>
      <c r="E350" s="41" t="n"/>
      <c r="F350" s="41" t="n"/>
      <c r="G350" s="41" t="n"/>
      <c r="H350" s="41" t="n"/>
      <c r="I350" s="41" t="n"/>
    </row>
    <row r="351" ht="15.75" customHeight="1" s="60">
      <c r="A351" s="41" t="n"/>
      <c r="B351" s="41" t="n"/>
      <c r="C351" s="41" t="n"/>
      <c r="D351" s="41" t="n"/>
      <c r="E351" s="41" t="n"/>
      <c r="F351" s="41" t="n"/>
      <c r="G351" s="41" t="n"/>
      <c r="H351" s="41" t="n"/>
      <c r="I351" s="41" t="n"/>
    </row>
    <row r="352" ht="15.75" customHeight="1" s="60">
      <c r="A352" s="41" t="n"/>
      <c r="B352" s="41" t="n"/>
      <c r="C352" s="41" t="n"/>
      <c r="D352" s="41" t="n"/>
      <c r="E352" s="41" t="n"/>
      <c r="F352" s="41" t="n"/>
      <c r="G352" s="41" t="n"/>
      <c r="H352" s="41" t="n"/>
      <c r="I352" s="41" t="n"/>
    </row>
    <row r="353" ht="15.75" customHeight="1" s="60">
      <c r="A353" s="41" t="n"/>
      <c r="B353" s="41" t="n"/>
      <c r="C353" s="41" t="n"/>
      <c r="D353" s="41" t="n"/>
      <c r="E353" s="41" t="n"/>
      <c r="F353" s="41" t="n"/>
      <c r="G353" s="41" t="n"/>
      <c r="H353" s="41" t="n"/>
      <c r="I353" s="41" t="n"/>
    </row>
    <row r="354" ht="15.75" customHeight="1" s="60">
      <c r="A354" s="41" t="n"/>
      <c r="B354" s="41" t="n"/>
      <c r="C354" s="41" t="n"/>
      <c r="D354" s="41" t="n"/>
      <c r="E354" s="41" t="n"/>
      <c r="F354" s="41" t="n"/>
      <c r="G354" s="41" t="n"/>
      <c r="H354" s="41" t="n"/>
      <c r="I354" s="41" t="n"/>
    </row>
    <row r="355" ht="15.75" customHeight="1" s="60">
      <c r="A355" s="41" t="n"/>
      <c r="B355" s="41" t="n"/>
      <c r="C355" s="41" t="n"/>
      <c r="D355" s="41" t="n"/>
      <c r="E355" s="41" t="n"/>
      <c r="F355" s="41" t="n"/>
      <c r="G355" s="41" t="n"/>
      <c r="H355" s="41" t="n"/>
      <c r="I355" s="41" t="n"/>
    </row>
    <row r="356" ht="15.75" customHeight="1" s="60">
      <c r="A356" s="41" t="n"/>
      <c r="B356" s="41" t="n"/>
      <c r="C356" s="41" t="n"/>
      <c r="D356" s="41" t="n"/>
      <c r="E356" s="41" t="n"/>
      <c r="F356" s="41" t="n"/>
      <c r="G356" s="41" t="n"/>
      <c r="H356" s="41" t="n"/>
      <c r="I356" s="41" t="n"/>
    </row>
    <row r="357" ht="15.75" customHeight="1" s="60">
      <c r="A357" s="41" t="n"/>
      <c r="B357" s="41" t="n"/>
      <c r="C357" s="41" t="n"/>
      <c r="D357" s="41" t="n"/>
      <c r="E357" s="41" t="n"/>
      <c r="F357" s="41" t="n"/>
      <c r="G357" s="41" t="n"/>
      <c r="H357" s="41" t="n"/>
      <c r="I357" s="41" t="n"/>
    </row>
    <row r="358" ht="15.75" customHeight="1" s="60">
      <c r="A358" s="41" t="n"/>
      <c r="B358" s="41" t="n"/>
      <c r="C358" s="41" t="n"/>
      <c r="D358" s="41" t="n"/>
      <c r="E358" s="41" t="n"/>
      <c r="F358" s="41" t="n"/>
      <c r="G358" s="41" t="n"/>
      <c r="H358" s="41" t="n"/>
      <c r="I358" s="41" t="n"/>
    </row>
    <row r="359" ht="15.75" customHeight="1" s="60">
      <c r="A359" s="41" t="n"/>
      <c r="B359" s="41" t="n"/>
      <c r="C359" s="41" t="n"/>
      <c r="D359" s="41" t="n"/>
      <c r="E359" s="41" t="n"/>
      <c r="F359" s="41" t="n"/>
      <c r="G359" s="41" t="n"/>
      <c r="H359" s="41" t="n"/>
      <c r="I359" s="41" t="n"/>
    </row>
    <row r="360" ht="15.75" customHeight="1" s="60">
      <c r="A360" s="41" t="n"/>
      <c r="B360" s="41" t="n"/>
      <c r="C360" s="41" t="n"/>
      <c r="D360" s="41" t="n"/>
      <c r="E360" s="41" t="n"/>
      <c r="F360" s="41" t="n"/>
      <c r="G360" s="41" t="n"/>
      <c r="H360" s="41" t="n"/>
      <c r="I360" s="41" t="n"/>
    </row>
    <row r="361" ht="15.75" customHeight="1" s="60">
      <c r="A361" s="41" t="n"/>
      <c r="B361" s="41" t="n"/>
      <c r="C361" s="41" t="n"/>
      <c r="D361" s="41" t="n"/>
      <c r="E361" s="41" t="n"/>
      <c r="F361" s="41" t="n"/>
      <c r="G361" s="41" t="n"/>
      <c r="H361" s="41" t="n"/>
      <c r="I361" s="41" t="n"/>
    </row>
    <row r="362" ht="15.75" customHeight="1" s="60">
      <c r="A362" s="41" t="n"/>
      <c r="B362" s="41" t="n"/>
      <c r="C362" s="41" t="n"/>
      <c r="D362" s="41" t="n"/>
      <c r="E362" s="41" t="n"/>
      <c r="F362" s="41" t="n"/>
      <c r="G362" s="41" t="n"/>
      <c r="H362" s="41" t="n"/>
      <c r="I362" s="41" t="n"/>
    </row>
    <row r="363" ht="15.75" customHeight="1" s="60">
      <c r="A363" s="41" t="n"/>
      <c r="B363" s="41" t="n"/>
      <c r="C363" s="41" t="n"/>
      <c r="D363" s="41" t="n"/>
      <c r="E363" s="41" t="n"/>
      <c r="F363" s="41" t="n"/>
      <c r="G363" s="41" t="n"/>
      <c r="H363" s="41" t="n"/>
      <c r="I363" s="41" t="n"/>
    </row>
    <row r="364" ht="15.75" customHeight="1" s="60">
      <c r="A364" s="41" t="n"/>
      <c r="B364" s="41" t="n"/>
      <c r="C364" s="41" t="n"/>
      <c r="D364" s="41" t="n"/>
      <c r="E364" s="41" t="n"/>
      <c r="F364" s="41" t="n"/>
      <c r="G364" s="41" t="n"/>
      <c r="H364" s="41" t="n"/>
      <c r="I364" s="41" t="n"/>
    </row>
    <row r="365" ht="15.75" customHeight="1" s="60">
      <c r="A365" s="41" t="n"/>
      <c r="B365" s="41" t="n"/>
      <c r="C365" s="41" t="n"/>
      <c r="D365" s="41" t="n"/>
      <c r="E365" s="41" t="n"/>
      <c r="F365" s="41" t="n"/>
      <c r="G365" s="41" t="n"/>
      <c r="H365" s="41" t="n"/>
      <c r="I365" s="41" t="n"/>
    </row>
    <row r="366" ht="15.75" customHeight="1" s="60">
      <c r="A366" s="41" t="n"/>
      <c r="B366" s="41" t="n"/>
      <c r="C366" s="41" t="n"/>
      <c r="D366" s="41" t="n"/>
      <c r="E366" s="41" t="n"/>
      <c r="F366" s="41" t="n"/>
      <c r="G366" s="41" t="n"/>
      <c r="H366" s="41" t="n"/>
      <c r="I366" s="41" t="n"/>
    </row>
    <row r="367" ht="15.75" customHeight="1" s="60">
      <c r="A367" s="41" t="n"/>
      <c r="B367" s="41" t="n"/>
      <c r="C367" s="41" t="n"/>
      <c r="D367" s="41" t="n"/>
      <c r="E367" s="41" t="n"/>
      <c r="F367" s="41" t="n"/>
      <c r="G367" s="41" t="n"/>
      <c r="H367" s="41" t="n"/>
      <c r="I367" s="41" t="n"/>
    </row>
    <row r="368" ht="15.75" customHeight="1" s="60">
      <c r="A368" s="41" t="n"/>
      <c r="B368" s="41" t="n"/>
      <c r="C368" s="41" t="n"/>
      <c r="D368" s="41" t="n"/>
      <c r="E368" s="41" t="n"/>
      <c r="F368" s="41" t="n"/>
      <c r="G368" s="41" t="n"/>
      <c r="H368" s="41" t="n"/>
      <c r="I368" s="41" t="n"/>
    </row>
    <row r="369" ht="15.75" customHeight="1" s="60">
      <c r="A369" s="41" t="n"/>
      <c r="B369" s="41" t="n"/>
      <c r="C369" s="41" t="n"/>
      <c r="D369" s="41" t="n"/>
      <c r="E369" s="41" t="n"/>
      <c r="F369" s="41" t="n"/>
      <c r="G369" s="41" t="n"/>
      <c r="H369" s="41" t="n"/>
      <c r="I369" s="41" t="n"/>
    </row>
    <row r="370" ht="15.75" customHeight="1" s="60">
      <c r="A370" s="41" t="n"/>
      <c r="B370" s="41" t="n"/>
      <c r="C370" s="41" t="n"/>
      <c r="D370" s="41" t="n"/>
      <c r="E370" s="41" t="n"/>
      <c r="F370" s="41" t="n"/>
      <c r="G370" s="41" t="n"/>
      <c r="H370" s="41" t="n"/>
      <c r="I370" s="41" t="n"/>
    </row>
    <row r="371" ht="15.75" customHeight="1" s="60">
      <c r="A371" s="41" t="n"/>
      <c r="B371" s="41" t="n"/>
      <c r="C371" s="41" t="n"/>
      <c r="D371" s="41" t="n"/>
      <c r="E371" s="41" t="n"/>
      <c r="F371" s="41" t="n"/>
      <c r="G371" s="41" t="n"/>
      <c r="H371" s="41" t="n"/>
      <c r="I371" s="41" t="n"/>
    </row>
    <row r="372" ht="15.75" customHeight="1" s="60">
      <c r="A372" s="41" t="n"/>
      <c r="B372" s="41" t="n"/>
      <c r="C372" s="41" t="n"/>
      <c r="D372" s="41" t="n"/>
      <c r="E372" s="41" t="n"/>
      <c r="F372" s="41" t="n"/>
      <c r="G372" s="41" t="n"/>
      <c r="H372" s="41" t="n"/>
      <c r="I372" s="41" t="n"/>
    </row>
    <row r="373" ht="15.75" customHeight="1" s="60">
      <c r="A373" s="41" t="n"/>
      <c r="B373" s="41" t="n"/>
      <c r="C373" s="41" t="n"/>
      <c r="D373" s="41" t="n"/>
      <c r="E373" s="41" t="n"/>
      <c r="F373" s="41" t="n"/>
      <c r="G373" s="41" t="n"/>
      <c r="H373" s="41" t="n"/>
      <c r="I373" s="41" t="n"/>
    </row>
    <row r="374" ht="15.75" customHeight="1" s="60">
      <c r="A374" s="41" t="n"/>
      <c r="B374" s="41" t="n"/>
      <c r="C374" s="41" t="n"/>
      <c r="D374" s="41" t="n"/>
      <c r="E374" s="41" t="n"/>
      <c r="F374" s="41" t="n"/>
      <c r="G374" s="41" t="n"/>
      <c r="H374" s="41" t="n"/>
      <c r="I374" s="41" t="n"/>
    </row>
    <row r="375" ht="15.75" customHeight="1" s="60">
      <c r="A375" s="41" t="n"/>
      <c r="B375" s="41" t="n"/>
      <c r="C375" s="41" t="n"/>
      <c r="D375" s="41" t="n"/>
      <c r="E375" s="41" t="n"/>
      <c r="F375" s="41" t="n"/>
      <c r="G375" s="41" t="n"/>
      <c r="H375" s="41" t="n"/>
      <c r="I375" s="41" t="n"/>
    </row>
    <row r="376" ht="15.75" customHeight="1" s="60">
      <c r="A376" s="41" t="n"/>
      <c r="B376" s="41" t="n"/>
      <c r="C376" s="41" t="n"/>
      <c r="D376" s="41" t="n"/>
      <c r="E376" s="41" t="n"/>
      <c r="F376" s="41" t="n"/>
      <c r="G376" s="41" t="n"/>
      <c r="H376" s="41" t="n"/>
      <c r="I376" s="41" t="n"/>
    </row>
    <row r="377" ht="15.75" customHeight="1" s="60">
      <c r="A377" s="41" t="n"/>
      <c r="B377" s="41" t="n"/>
      <c r="C377" s="41" t="n"/>
      <c r="D377" s="41" t="n"/>
      <c r="E377" s="41" t="n"/>
      <c r="F377" s="41" t="n"/>
      <c r="G377" s="41" t="n"/>
      <c r="H377" s="41" t="n"/>
      <c r="I377" s="41" t="n"/>
    </row>
    <row r="378" ht="15.75" customHeight="1" s="60">
      <c r="A378" s="41" t="n"/>
      <c r="B378" s="41" t="n"/>
      <c r="C378" s="41" t="n"/>
      <c r="D378" s="41" t="n"/>
      <c r="E378" s="41" t="n"/>
      <c r="F378" s="41" t="n"/>
      <c r="G378" s="41" t="n"/>
      <c r="H378" s="41" t="n"/>
      <c r="I378" s="41" t="n"/>
    </row>
    <row r="379" ht="15.75" customHeight="1" s="60">
      <c r="A379" s="41" t="n"/>
      <c r="B379" s="41" t="n"/>
      <c r="C379" s="41" t="n"/>
      <c r="D379" s="41" t="n"/>
      <c r="E379" s="41" t="n"/>
      <c r="F379" s="41" t="n"/>
      <c r="G379" s="41" t="n"/>
      <c r="H379" s="41" t="n"/>
      <c r="I379" s="41" t="n"/>
    </row>
    <row r="380" ht="15.75" customHeight="1" s="60">
      <c r="A380" s="41" t="n"/>
      <c r="B380" s="41" t="n"/>
      <c r="C380" s="41" t="n"/>
      <c r="D380" s="41" t="n"/>
      <c r="E380" s="41" t="n"/>
      <c r="F380" s="41" t="n"/>
      <c r="G380" s="41" t="n"/>
      <c r="H380" s="41" t="n"/>
      <c r="I380" s="41" t="n"/>
    </row>
    <row r="381" ht="15.75" customHeight="1" s="60">
      <c r="A381" s="41" t="n"/>
      <c r="B381" s="41" t="n"/>
      <c r="C381" s="41" t="n"/>
      <c r="D381" s="41" t="n"/>
      <c r="E381" s="41" t="n"/>
      <c r="F381" s="41" t="n"/>
      <c r="G381" s="41" t="n"/>
      <c r="H381" s="41" t="n"/>
      <c r="I381" s="41" t="n"/>
    </row>
    <row r="382" ht="15.75" customHeight="1" s="60">
      <c r="A382" s="41" t="n"/>
      <c r="B382" s="41" t="n"/>
      <c r="C382" s="41" t="n"/>
      <c r="D382" s="41" t="n"/>
      <c r="E382" s="41" t="n"/>
      <c r="F382" s="41" t="n"/>
      <c r="G382" s="41" t="n"/>
      <c r="H382" s="41" t="n"/>
      <c r="I382" s="41" t="n"/>
    </row>
    <row r="383" ht="15.75" customHeight="1" s="60">
      <c r="A383" s="41" t="n"/>
      <c r="B383" s="41" t="n"/>
      <c r="C383" s="41" t="n"/>
      <c r="D383" s="41" t="n"/>
      <c r="E383" s="41" t="n"/>
      <c r="F383" s="41" t="n"/>
      <c r="G383" s="41" t="n"/>
      <c r="H383" s="41" t="n"/>
      <c r="I383" s="41" t="n"/>
    </row>
    <row r="384" ht="15.75" customHeight="1" s="60">
      <c r="A384" s="41" t="n"/>
      <c r="B384" s="41" t="n"/>
      <c r="C384" s="41" t="n"/>
      <c r="D384" s="41" t="n"/>
      <c r="E384" s="41" t="n"/>
      <c r="F384" s="41" t="n"/>
      <c r="G384" s="41" t="n"/>
      <c r="H384" s="41" t="n"/>
      <c r="I384" s="41" t="n"/>
    </row>
    <row r="385" ht="15.75" customHeight="1" s="60">
      <c r="A385" s="41" t="n"/>
      <c r="B385" s="41" t="n"/>
      <c r="C385" s="41" t="n"/>
      <c r="D385" s="41" t="n"/>
      <c r="E385" s="41" t="n"/>
      <c r="F385" s="41" t="n"/>
      <c r="G385" s="41" t="n"/>
      <c r="H385" s="41" t="n"/>
      <c r="I385" s="41" t="n"/>
    </row>
    <row r="386" ht="15.75" customHeight="1" s="60">
      <c r="A386" s="41" t="n"/>
      <c r="B386" s="41" t="n"/>
      <c r="C386" s="41" t="n"/>
      <c r="D386" s="41" t="n"/>
      <c r="E386" s="41" t="n"/>
      <c r="F386" s="41" t="n"/>
      <c r="G386" s="41" t="n"/>
      <c r="H386" s="41" t="n"/>
      <c r="I386" s="41" t="n"/>
    </row>
    <row r="387" ht="15.75" customHeight="1" s="60">
      <c r="A387" s="41" t="n"/>
      <c r="B387" s="41" t="n"/>
      <c r="C387" s="41" t="n"/>
      <c r="D387" s="41" t="n"/>
      <c r="E387" s="41" t="n"/>
      <c r="F387" s="41" t="n"/>
      <c r="G387" s="41" t="n"/>
      <c r="H387" s="41" t="n"/>
      <c r="I387" s="41" t="n"/>
    </row>
    <row r="388" ht="15.75" customHeight="1" s="60">
      <c r="A388" s="41" t="n"/>
      <c r="B388" s="41" t="n"/>
      <c r="C388" s="41" t="n"/>
      <c r="D388" s="41" t="n"/>
      <c r="E388" s="41" t="n"/>
      <c r="F388" s="41" t="n"/>
      <c r="G388" s="41" t="n"/>
      <c r="H388" s="41" t="n"/>
      <c r="I388" s="41" t="n"/>
    </row>
    <row r="389" ht="15.75" customHeight="1" s="60">
      <c r="A389" s="41" t="n"/>
      <c r="B389" s="41" t="n"/>
      <c r="C389" s="41" t="n"/>
      <c r="D389" s="41" t="n"/>
      <c r="E389" s="41" t="n"/>
      <c r="F389" s="41" t="n"/>
      <c r="G389" s="41" t="n"/>
      <c r="H389" s="41" t="n"/>
      <c r="I389" s="41" t="n"/>
    </row>
    <row r="390" ht="15.75" customHeight="1" s="60">
      <c r="A390" s="41" t="n"/>
      <c r="B390" s="41" t="n"/>
      <c r="C390" s="41" t="n"/>
      <c r="D390" s="41" t="n"/>
      <c r="E390" s="41" t="n"/>
      <c r="F390" s="41" t="n"/>
      <c r="G390" s="41" t="n"/>
      <c r="H390" s="41" t="n"/>
      <c r="I390" s="41" t="n"/>
    </row>
    <row r="391" ht="15.75" customHeight="1" s="60">
      <c r="A391" s="41" t="n"/>
      <c r="B391" s="41" t="n"/>
      <c r="C391" s="41" t="n"/>
      <c r="D391" s="41" t="n"/>
      <c r="E391" s="41" t="n"/>
      <c r="F391" s="41" t="n"/>
      <c r="G391" s="41" t="n"/>
      <c r="H391" s="41" t="n"/>
      <c r="I391" s="41" t="n"/>
    </row>
    <row r="392" ht="15.75" customHeight="1" s="60">
      <c r="A392" s="41" t="n"/>
      <c r="B392" s="41" t="n"/>
      <c r="C392" s="41" t="n"/>
      <c r="D392" s="41" t="n"/>
      <c r="E392" s="41" t="n"/>
      <c r="F392" s="41" t="n"/>
      <c r="G392" s="41" t="n"/>
      <c r="H392" s="41" t="n"/>
      <c r="I392" s="41" t="n"/>
    </row>
    <row r="393" ht="15.75" customHeight="1" s="60">
      <c r="A393" s="41" t="n"/>
      <c r="B393" s="41" t="n"/>
      <c r="C393" s="41" t="n"/>
      <c r="D393" s="41" t="n"/>
      <c r="E393" s="41" t="n"/>
      <c r="F393" s="41" t="n"/>
      <c r="G393" s="41" t="n"/>
      <c r="H393" s="41" t="n"/>
      <c r="I393" s="41" t="n"/>
    </row>
    <row r="394" ht="15.75" customHeight="1" s="60">
      <c r="A394" s="41" t="n"/>
      <c r="B394" s="41" t="n"/>
      <c r="C394" s="41" t="n"/>
      <c r="D394" s="41" t="n"/>
      <c r="E394" s="41" t="n"/>
      <c r="F394" s="41" t="n"/>
      <c r="G394" s="41" t="n"/>
      <c r="H394" s="41" t="n"/>
      <c r="I394" s="41" t="n"/>
    </row>
    <row r="395" ht="15.75" customHeight="1" s="60">
      <c r="A395" s="41" t="n"/>
      <c r="B395" s="41" t="n"/>
      <c r="C395" s="41" t="n"/>
      <c r="D395" s="41" t="n"/>
      <c r="E395" s="41" t="n"/>
      <c r="F395" s="41" t="n"/>
      <c r="G395" s="41" t="n"/>
      <c r="H395" s="41" t="n"/>
      <c r="I395" s="41" t="n"/>
    </row>
    <row r="396" ht="15.75" customHeight="1" s="60">
      <c r="A396" s="41" t="n"/>
      <c r="B396" s="41" t="n"/>
      <c r="C396" s="41" t="n"/>
      <c r="D396" s="41" t="n"/>
      <c r="E396" s="41" t="n"/>
      <c r="F396" s="41" t="n"/>
      <c r="G396" s="41" t="n"/>
      <c r="H396" s="41" t="n"/>
      <c r="I396" s="41" t="n"/>
    </row>
    <row r="397" ht="15.75" customHeight="1" s="60">
      <c r="A397" s="41" t="n"/>
      <c r="B397" s="41" t="n"/>
      <c r="C397" s="41" t="n"/>
      <c r="D397" s="41" t="n"/>
      <c r="E397" s="41" t="n"/>
      <c r="F397" s="41" t="n"/>
      <c r="G397" s="41" t="n"/>
      <c r="H397" s="41" t="n"/>
      <c r="I397" s="41" t="n"/>
    </row>
    <row r="398" ht="15.75" customHeight="1" s="60">
      <c r="A398" s="41" t="n"/>
      <c r="B398" s="41" t="n"/>
      <c r="C398" s="41" t="n"/>
      <c r="D398" s="41" t="n"/>
      <c r="E398" s="41" t="n"/>
      <c r="F398" s="41" t="n"/>
      <c r="G398" s="41" t="n"/>
      <c r="H398" s="41" t="n"/>
      <c r="I398" s="41" t="n"/>
    </row>
    <row r="399" ht="15.75" customHeight="1" s="60">
      <c r="A399" s="41" t="n"/>
      <c r="B399" s="41" t="n"/>
      <c r="C399" s="41" t="n"/>
      <c r="D399" s="41" t="n"/>
      <c r="E399" s="41" t="n"/>
      <c r="F399" s="41" t="n"/>
      <c r="G399" s="41" t="n"/>
      <c r="H399" s="41" t="n"/>
      <c r="I399" s="41" t="n"/>
    </row>
    <row r="400" ht="15.75" customHeight="1" s="60">
      <c r="A400" s="41" t="n"/>
      <c r="B400" s="41" t="n"/>
      <c r="C400" s="41" t="n"/>
      <c r="D400" s="41" t="n"/>
      <c r="E400" s="41" t="n"/>
      <c r="F400" s="41" t="n"/>
      <c r="G400" s="41" t="n"/>
      <c r="H400" s="41" t="n"/>
      <c r="I400" s="41" t="n"/>
    </row>
    <row r="401" ht="15.75" customHeight="1" s="60">
      <c r="A401" s="41" t="n"/>
      <c r="B401" s="41" t="n"/>
      <c r="C401" s="41" t="n"/>
      <c r="D401" s="41" t="n"/>
      <c r="E401" s="41" t="n"/>
      <c r="F401" s="41" t="n"/>
      <c r="G401" s="41" t="n"/>
      <c r="H401" s="41" t="n"/>
      <c r="I401" s="41" t="n"/>
    </row>
    <row r="402" ht="15.75" customHeight="1" s="60">
      <c r="A402" s="41" t="n"/>
      <c r="B402" s="41" t="n"/>
      <c r="C402" s="41" t="n"/>
      <c r="D402" s="41" t="n"/>
      <c r="E402" s="41" t="n"/>
      <c r="F402" s="41" t="n"/>
      <c r="G402" s="41" t="n"/>
      <c r="H402" s="41" t="n"/>
      <c r="I402" s="41" t="n"/>
    </row>
    <row r="403" ht="15.75" customHeight="1" s="60">
      <c r="A403" s="41" t="n"/>
      <c r="B403" s="41" t="n"/>
      <c r="C403" s="41" t="n"/>
      <c r="D403" s="41" t="n"/>
      <c r="E403" s="41" t="n"/>
      <c r="F403" s="41" t="n"/>
      <c r="G403" s="41" t="n"/>
      <c r="H403" s="41" t="n"/>
      <c r="I403" s="41" t="n"/>
    </row>
    <row r="404" ht="15.75" customHeight="1" s="60">
      <c r="A404" s="41" t="n"/>
      <c r="B404" s="41" t="n"/>
      <c r="C404" s="41" t="n"/>
      <c r="D404" s="41" t="n"/>
      <c r="E404" s="41" t="n"/>
      <c r="F404" s="41" t="n"/>
      <c r="G404" s="41" t="n"/>
      <c r="H404" s="41" t="n"/>
      <c r="I404" s="41" t="n"/>
    </row>
    <row r="405" ht="15.75" customHeight="1" s="60">
      <c r="A405" s="41" t="n"/>
      <c r="B405" s="41" t="n"/>
      <c r="C405" s="41" t="n"/>
      <c r="D405" s="41" t="n"/>
      <c r="E405" s="41" t="n"/>
      <c r="F405" s="41" t="n"/>
      <c r="G405" s="41" t="n"/>
      <c r="H405" s="41" t="n"/>
      <c r="I405" s="41" t="n"/>
    </row>
    <row r="406" ht="15.75" customHeight="1" s="60">
      <c r="A406" s="41" t="n"/>
      <c r="B406" s="41" t="n"/>
      <c r="C406" s="41" t="n"/>
      <c r="D406" s="41" t="n"/>
      <c r="E406" s="41" t="n"/>
      <c r="F406" s="41" t="n"/>
      <c r="G406" s="41" t="n"/>
      <c r="H406" s="41" t="n"/>
      <c r="I406" s="41" t="n"/>
    </row>
    <row r="407" ht="15.75" customHeight="1" s="60">
      <c r="A407" s="41" t="n"/>
      <c r="B407" s="41" t="n"/>
      <c r="C407" s="41" t="n"/>
      <c r="D407" s="41" t="n"/>
      <c r="E407" s="41" t="n"/>
      <c r="F407" s="41" t="n"/>
      <c r="G407" s="41" t="n"/>
      <c r="H407" s="41" t="n"/>
      <c r="I407" s="41" t="n"/>
    </row>
    <row r="408" ht="15.75" customHeight="1" s="60">
      <c r="A408" s="41" t="n"/>
      <c r="B408" s="41" t="n"/>
      <c r="C408" s="41" t="n"/>
      <c r="D408" s="41" t="n"/>
      <c r="E408" s="41" t="n"/>
      <c r="F408" s="41" t="n"/>
      <c r="G408" s="41" t="n"/>
      <c r="H408" s="41" t="n"/>
      <c r="I408" s="41" t="n"/>
    </row>
    <row r="409" ht="15.75" customHeight="1" s="60">
      <c r="A409" s="41" t="n"/>
      <c r="B409" s="41" t="n"/>
      <c r="C409" s="41" t="n"/>
      <c r="D409" s="41" t="n"/>
      <c r="E409" s="41" t="n"/>
      <c r="F409" s="41" t="n"/>
      <c r="G409" s="41" t="n"/>
      <c r="H409" s="41" t="n"/>
      <c r="I409" s="41" t="n"/>
    </row>
    <row r="410" ht="15.75" customHeight="1" s="60">
      <c r="A410" s="41" t="n"/>
      <c r="B410" s="41" t="n"/>
      <c r="C410" s="41" t="n"/>
      <c r="D410" s="41" t="n"/>
      <c r="E410" s="41" t="n"/>
      <c r="F410" s="41" t="n"/>
      <c r="G410" s="41" t="n"/>
      <c r="H410" s="41" t="n"/>
      <c r="I410" s="41" t="n"/>
    </row>
    <row r="411" ht="15.75" customHeight="1" s="60">
      <c r="A411" s="41" t="n"/>
      <c r="B411" s="41" t="n"/>
      <c r="C411" s="41" t="n"/>
      <c r="D411" s="41" t="n"/>
      <c r="E411" s="41" t="n"/>
      <c r="F411" s="41" t="n"/>
      <c r="G411" s="41" t="n"/>
      <c r="H411" s="41" t="n"/>
      <c r="I411" s="41" t="n"/>
    </row>
    <row r="412" ht="15.75" customHeight="1" s="60">
      <c r="A412" s="41" t="n"/>
      <c r="B412" s="41" t="n"/>
      <c r="C412" s="41" t="n"/>
      <c r="D412" s="41" t="n"/>
      <c r="E412" s="41" t="n"/>
      <c r="F412" s="41" t="n"/>
      <c r="G412" s="41" t="n"/>
      <c r="H412" s="41" t="n"/>
      <c r="I412" s="41" t="n"/>
    </row>
    <row r="413" ht="15.75" customHeight="1" s="60">
      <c r="A413" s="41" t="n"/>
      <c r="B413" s="41" t="n"/>
      <c r="C413" s="41" t="n"/>
      <c r="D413" s="41" t="n"/>
      <c r="E413" s="41" t="n"/>
      <c r="F413" s="41" t="n"/>
      <c r="G413" s="41" t="n"/>
      <c r="H413" s="41" t="n"/>
      <c r="I413" s="41" t="n"/>
    </row>
    <row r="414" ht="15.75" customHeight="1" s="60">
      <c r="A414" s="41" t="n"/>
      <c r="B414" s="41" t="n"/>
      <c r="C414" s="41" t="n"/>
      <c r="D414" s="41" t="n"/>
      <c r="E414" s="41" t="n"/>
      <c r="F414" s="41" t="n"/>
      <c r="G414" s="41" t="n"/>
      <c r="H414" s="41" t="n"/>
      <c r="I414" s="41" t="n"/>
    </row>
    <row r="415" ht="15.75" customHeight="1" s="60">
      <c r="A415" s="41" t="n"/>
      <c r="B415" s="41" t="n"/>
      <c r="C415" s="41" t="n"/>
      <c r="D415" s="41" t="n"/>
      <c r="E415" s="41" t="n"/>
      <c r="F415" s="41" t="n"/>
      <c r="G415" s="41" t="n"/>
      <c r="H415" s="41" t="n"/>
      <c r="I415" s="41" t="n"/>
    </row>
    <row r="416" ht="15.75" customHeight="1" s="60">
      <c r="A416" s="41" t="n"/>
      <c r="B416" s="41" t="n"/>
      <c r="C416" s="41" t="n"/>
      <c r="D416" s="41" t="n"/>
      <c r="E416" s="41" t="n"/>
      <c r="F416" s="41" t="n"/>
      <c r="G416" s="41" t="n"/>
      <c r="H416" s="41" t="n"/>
      <c r="I416" s="41" t="n"/>
    </row>
    <row r="417" ht="15.75" customHeight="1" s="60">
      <c r="A417" s="41" t="n"/>
      <c r="B417" s="41" t="n"/>
      <c r="C417" s="41" t="n"/>
      <c r="D417" s="41" t="n"/>
      <c r="E417" s="41" t="n"/>
      <c r="F417" s="41" t="n"/>
      <c r="G417" s="41" t="n"/>
      <c r="H417" s="41" t="n"/>
      <c r="I417" s="41" t="n"/>
    </row>
    <row r="418" ht="15.75" customHeight="1" s="60">
      <c r="A418" s="41" t="n"/>
      <c r="B418" s="41" t="n"/>
      <c r="C418" s="41" t="n"/>
      <c r="D418" s="41" t="n"/>
      <c r="E418" s="41" t="n"/>
      <c r="F418" s="41" t="n"/>
      <c r="G418" s="41" t="n"/>
      <c r="H418" s="41" t="n"/>
      <c r="I418" s="41" t="n"/>
    </row>
    <row r="419" ht="15.75" customHeight="1" s="60">
      <c r="A419" s="41" t="n"/>
      <c r="B419" s="41" t="n"/>
      <c r="C419" s="41" t="n"/>
      <c r="D419" s="41" t="n"/>
      <c r="E419" s="41" t="n"/>
      <c r="F419" s="41" t="n"/>
      <c r="G419" s="41" t="n"/>
      <c r="H419" s="41" t="n"/>
      <c r="I419" s="41" t="n"/>
    </row>
    <row r="420" ht="15.75" customHeight="1" s="60">
      <c r="A420" s="41" t="n"/>
      <c r="B420" s="41" t="n"/>
      <c r="C420" s="41" t="n"/>
      <c r="D420" s="41" t="n"/>
      <c r="E420" s="41" t="n"/>
      <c r="F420" s="41" t="n"/>
      <c r="G420" s="41" t="n"/>
      <c r="H420" s="41" t="n"/>
      <c r="I420" s="41" t="n"/>
    </row>
    <row r="421" ht="15.75" customHeight="1" s="60">
      <c r="A421" s="41" t="n"/>
      <c r="B421" s="41" t="n"/>
      <c r="C421" s="41" t="n"/>
      <c r="D421" s="41" t="n"/>
      <c r="E421" s="41" t="n"/>
      <c r="F421" s="41" t="n"/>
      <c r="G421" s="41" t="n"/>
      <c r="H421" s="41" t="n"/>
      <c r="I421" s="41" t="n"/>
    </row>
    <row r="422" ht="15.75" customHeight="1" s="60">
      <c r="A422" s="41" t="n"/>
      <c r="B422" s="41" t="n"/>
      <c r="C422" s="41" t="n"/>
      <c r="D422" s="41" t="n"/>
      <c r="E422" s="41" t="n"/>
      <c r="F422" s="41" t="n"/>
      <c r="G422" s="41" t="n"/>
      <c r="H422" s="41" t="n"/>
      <c r="I422" s="41" t="n"/>
    </row>
    <row r="423" ht="15.75" customHeight="1" s="60">
      <c r="A423" s="41" t="n"/>
      <c r="B423" s="41" t="n"/>
      <c r="C423" s="41" t="n"/>
      <c r="D423" s="41" t="n"/>
      <c r="E423" s="41" t="n"/>
      <c r="F423" s="41" t="n"/>
      <c r="G423" s="41" t="n"/>
      <c r="H423" s="41" t="n"/>
      <c r="I423" s="41" t="n"/>
    </row>
    <row r="424" ht="15.75" customHeight="1" s="60">
      <c r="A424" s="41" t="n"/>
      <c r="B424" s="41" t="n"/>
      <c r="C424" s="41" t="n"/>
      <c r="D424" s="41" t="n"/>
      <c r="E424" s="41" t="n"/>
      <c r="F424" s="41" t="n"/>
      <c r="G424" s="41" t="n"/>
      <c r="H424" s="41" t="n"/>
      <c r="I424" s="41" t="n"/>
    </row>
    <row r="425" ht="15.75" customHeight="1" s="60">
      <c r="A425" s="41" t="n"/>
      <c r="B425" s="41" t="n"/>
      <c r="C425" s="41" t="n"/>
      <c r="D425" s="41" t="n"/>
      <c r="E425" s="41" t="n"/>
      <c r="F425" s="41" t="n"/>
      <c r="G425" s="41" t="n"/>
      <c r="H425" s="41" t="n"/>
      <c r="I425" s="41" t="n"/>
    </row>
    <row r="426" ht="15.75" customHeight="1" s="60">
      <c r="A426" s="41" t="n"/>
      <c r="B426" s="41" t="n"/>
      <c r="C426" s="41" t="n"/>
      <c r="D426" s="41" t="n"/>
      <c r="E426" s="41" t="n"/>
      <c r="F426" s="41" t="n"/>
      <c r="G426" s="41" t="n"/>
      <c r="H426" s="41" t="n"/>
      <c r="I426" s="41" t="n"/>
    </row>
    <row r="427" ht="15.75" customHeight="1" s="60">
      <c r="A427" s="41" t="n"/>
      <c r="B427" s="41" t="n"/>
      <c r="C427" s="41" t="n"/>
      <c r="D427" s="41" t="n"/>
      <c r="E427" s="41" t="n"/>
      <c r="F427" s="41" t="n"/>
      <c r="G427" s="41" t="n"/>
      <c r="H427" s="41" t="n"/>
      <c r="I427" s="41" t="n"/>
    </row>
    <row r="428" ht="15.75" customHeight="1" s="60">
      <c r="A428" s="41" t="n"/>
      <c r="B428" s="41" t="n"/>
      <c r="C428" s="41" t="n"/>
      <c r="D428" s="41" t="n"/>
      <c r="E428" s="41" t="n"/>
      <c r="F428" s="41" t="n"/>
      <c r="G428" s="41" t="n"/>
      <c r="H428" s="41" t="n"/>
      <c r="I428" s="41" t="n"/>
    </row>
    <row r="429" ht="15.75" customHeight="1" s="60">
      <c r="A429" s="41" t="n"/>
      <c r="B429" s="41" t="n"/>
      <c r="C429" s="41" t="n"/>
      <c r="D429" s="41" t="n"/>
      <c r="E429" s="41" t="n"/>
      <c r="F429" s="41" t="n"/>
      <c r="G429" s="41" t="n"/>
      <c r="H429" s="41" t="n"/>
      <c r="I429" s="41" t="n"/>
    </row>
    <row r="430" ht="15.75" customHeight="1" s="60">
      <c r="A430" s="41" t="n"/>
      <c r="B430" s="41" t="n"/>
      <c r="C430" s="41" t="n"/>
      <c r="D430" s="41" t="n"/>
      <c r="E430" s="41" t="n"/>
      <c r="F430" s="41" t="n"/>
      <c r="G430" s="41" t="n"/>
      <c r="H430" s="41" t="n"/>
      <c r="I430" s="41" t="n"/>
    </row>
    <row r="431" ht="15.75" customHeight="1" s="60">
      <c r="A431" s="41" t="n"/>
      <c r="B431" s="41" t="n"/>
      <c r="C431" s="41" t="n"/>
      <c r="D431" s="41" t="n"/>
      <c r="E431" s="41" t="n"/>
      <c r="F431" s="41" t="n"/>
      <c r="G431" s="41" t="n"/>
      <c r="H431" s="41" t="n"/>
      <c r="I431" s="41" t="n"/>
    </row>
    <row r="432" ht="15.75" customHeight="1" s="60">
      <c r="A432" s="41" t="n"/>
      <c r="B432" s="41" t="n"/>
      <c r="C432" s="41" t="n"/>
      <c r="D432" s="41" t="n"/>
      <c r="E432" s="41" t="n"/>
      <c r="F432" s="41" t="n"/>
      <c r="G432" s="41" t="n"/>
      <c r="H432" s="41" t="n"/>
      <c r="I432" s="41" t="n"/>
    </row>
    <row r="433" ht="15.75" customHeight="1" s="60">
      <c r="A433" s="41" t="n"/>
      <c r="B433" s="41" t="n"/>
      <c r="C433" s="41" t="n"/>
      <c r="D433" s="41" t="n"/>
      <c r="E433" s="41" t="n"/>
      <c r="F433" s="41" t="n"/>
      <c r="G433" s="41" t="n"/>
      <c r="H433" s="41" t="n"/>
      <c r="I433" s="41" t="n"/>
    </row>
    <row r="434" ht="15.75" customHeight="1" s="60">
      <c r="A434" s="41" t="n"/>
      <c r="B434" s="41" t="n"/>
      <c r="C434" s="41" t="n"/>
      <c r="D434" s="41" t="n"/>
      <c r="E434" s="41" t="n"/>
      <c r="F434" s="41" t="n"/>
      <c r="G434" s="41" t="n"/>
      <c r="H434" s="41" t="n"/>
      <c r="I434" s="41" t="n"/>
    </row>
    <row r="435" ht="15.75" customHeight="1" s="60">
      <c r="A435" s="41" t="n"/>
      <c r="B435" s="41" t="n"/>
      <c r="C435" s="41" t="n"/>
      <c r="D435" s="41" t="n"/>
      <c r="E435" s="41" t="n"/>
      <c r="F435" s="41" t="n"/>
      <c r="G435" s="41" t="n"/>
      <c r="H435" s="41" t="n"/>
      <c r="I435" s="41" t="n"/>
    </row>
    <row r="436" ht="15.75" customHeight="1" s="60">
      <c r="A436" s="41" t="n"/>
      <c r="B436" s="41" t="n"/>
      <c r="C436" s="41" t="n"/>
      <c r="D436" s="41" t="n"/>
      <c r="E436" s="41" t="n"/>
      <c r="F436" s="41" t="n"/>
      <c r="G436" s="41" t="n"/>
      <c r="H436" s="41" t="n"/>
      <c r="I436" s="41" t="n"/>
    </row>
    <row r="437" ht="15.75" customHeight="1" s="60">
      <c r="A437" s="41" t="n"/>
      <c r="B437" s="41" t="n"/>
      <c r="C437" s="41" t="n"/>
      <c r="D437" s="41" t="n"/>
      <c r="E437" s="41" t="n"/>
      <c r="F437" s="41" t="n"/>
      <c r="G437" s="41" t="n"/>
      <c r="H437" s="41" t="n"/>
      <c r="I437" s="41" t="n"/>
    </row>
    <row r="438" ht="15.75" customHeight="1" s="60">
      <c r="A438" s="41" t="n"/>
      <c r="B438" s="41" t="n"/>
      <c r="C438" s="41" t="n"/>
      <c r="D438" s="41" t="n"/>
      <c r="E438" s="41" t="n"/>
      <c r="F438" s="41" t="n"/>
      <c r="G438" s="41" t="n"/>
      <c r="H438" s="41" t="n"/>
      <c r="I438" s="41" t="n"/>
    </row>
    <row r="439" ht="15.75" customHeight="1" s="60">
      <c r="A439" s="41" t="n"/>
      <c r="B439" s="41" t="n"/>
      <c r="C439" s="41" t="n"/>
      <c r="D439" s="41" t="n"/>
      <c r="E439" s="41" t="n"/>
      <c r="F439" s="41" t="n"/>
      <c r="G439" s="41" t="n"/>
      <c r="H439" s="41" t="n"/>
      <c r="I439" s="41" t="n"/>
    </row>
    <row r="440" ht="15.75" customHeight="1" s="60">
      <c r="A440" s="41" t="n"/>
      <c r="B440" s="41" t="n"/>
      <c r="C440" s="41" t="n"/>
      <c r="D440" s="41" t="n"/>
      <c r="E440" s="41" t="n"/>
      <c r="F440" s="41" t="n"/>
      <c r="G440" s="41" t="n"/>
      <c r="H440" s="41" t="n"/>
      <c r="I440" s="41" t="n"/>
    </row>
    <row r="441" ht="15.75" customHeight="1" s="60">
      <c r="A441" s="41" t="n"/>
      <c r="B441" s="41" t="n"/>
      <c r="C441" s="41" t="n"/>
      <c r="D441" s="41" t="n"/>
      <c r="E441" s="41" t="n"/>
      <c r="F441" s="41" t="n"/>
      <c r="G441" s="41" t="n"/>
      <c r="H441" s="41" t="n"/>
      <c r="I441" s="41" t="n"/>
    </row>
    <row r="442" ht="15.75" customHeight="1" s="60">
      <c r="A442" s="41" t="n"/>
      <c r="B442" s="41" t="n"/>
      <c r="C442" s="41" t="n"/>
      <c r="D442" s="41" t="n"/>
      <c r="E442" s="41" t="n"/>
      <c r="F442" s="41" t="n"/>
      <c r="G442" s="41" t="n"/>
      <c r="H442" s="41" t="n"/>
      <c r="I442" s="41" t="n"/>
    </row>
    <row r="443" ht="15.75" customHeight="1" s="60">
      <c r="A443" s="41" t="n"/>
      <c r="B443" s="41" t="n"/>
      <c r="C443" s="41" t="n"/>
      <c r="D443" s="41" t="n"/>
      <c r="E443" s="41" t="n"/>
      <c r="F443" s="41" t="n"/>
      <c r="G443" s="41" t="n"/>
      <c r="H443" s="41" t="n"/>
      <c r="I443" s="41" t="n"/>
    </row>
    <row r="444" ht="15.75" customHeight="1" s="60">
      <c r="A444" s="41" t="n"/>
      <c r="B444" s="41" t="n"/>
      <c r="C444" s="41" t="n"/>
      <c r="D444" s="41" t="n"/>
      <c r="E444" s="41" t="n"/>
      <c r="F444" s="41" t="n"/>
      <c r="G444" s="41" t="n"/>
      <c r="H444" s="41" t="n"/>
      <c r="I444" s="41" t="n"/>
    </row>
    <row r="445" ht="15.75" customHeight="1" s="60">
      <c r="A445" s="41" t="n"/>
      <c r="B445" s="41" t="n"/>
      <c r="C445" s="41" t="n"/>
      <c r="D445" s="41" t="n"/>
      <c r="E445" s="41" t="n"/>
      <c r="F445" s="41" t="n"/>
      <c r="G445" s="41" t="n"/>
      <c r="H445" s="41" t="n"/>
      <c r="I445" s="41" t="n"/>
    </row>
    <row r="446" ht="15.75" customHeight="1" s="60">
      <c r="A446" s="41" t="n"/>
      <c r="B446" s="41" t="n"/>
      <c r="C446" s="41" t="n"/>
      <c r="D446" s="41" t="n"/>
      <c r="E446" s="41" t="n"/>
      <c r="F446" s="41" t="n"/>
      <c r="G446" s="41" t="n"/>
      <c r="H446" s="41" t="n"/>
      <c r="I446" s="41" t="n"/>
    </row>
    <row r="447" ht="15.75" customHeight="1" s="60">
      <c r="A447" s="41" t="n"/>
      <c r="B447" s="41" t="n"/>
      <c r="C447" s="41" t="n"/>
      <c r="D447" s="41" t="n"/>
      <c r="E447" s="41" t="n"/>
      <c r="F447" s="41" t="n"/>
      <c r="G447" s="41" t="n"/>
      <c r="H447" s="41" t="n"/>
      <c r="I447" s="41" t="n"/>
    </row>
    <row r="448" ht="15.75" customHeight="1" s="60">
      <c r="A448" s="41" t="n"/>
      <c r="B448" s="41" t="n"/>
      <c r="C448" s="41" t="n"/>
      <c r="D448" s="41" t="n"/>
      <c r="E448" s="41" t="n"/>
      <c r="F448" s="41" t="n"/>
      <c r="G448" s="41" t="n"/>
      <c r="H448" s="41" t="n"/>
      <c r="I448" s="41" t="n"/>
    </row>
    <row r="449" ht="15.75" customHeight="1" s="60">
      <c r="A449" s="41" t="n"/>
      <c r="B449" s="41" t="n"/>
      <c r="C449" s="41" t="n"/>
      <c r="D449" s="41" t="n"/>
      <c r="E449" s="41" t="n"/>
      <c r="F449" s="41" t="n"/>
      <c r="G449" s="41" t="n"/>
      <c r="H449" s="41" t="n"/>
      <c r="I449" s="41" t="n"/>
    </row>
    <row r="450" ht="15.75" customHeight="1" s="60">
      <c r="A450" s="41" t="n"/>
      <c r="B450" s="41" t="n"/>
      <c r="C450" s="41" t="n"/>
      <c r="D450" s="41" t="n"/>
      <c r="E450" s="41" t="n"/>
      <c r="F450" s="41" t="n"/>
      <c r="G450" s="41" t="n"/>
      <c r="H450" s="41" t="n"/>
      <c r="I450" s="41" t="n"/>
    </row>
    <row r="451" ht="15.75" customHeight="1" s="60">
      <c r="A451" s="41" t="n"/>
      <c r="B451" s="41" t="n"/>
      <c r="C451" s="41" t="n"/>
      <c r="D451" s="41" t="n"/>
      <c r="E451" s="41" t="n"/>
      <c r="F451" s="41" t="n"/>
      <c r="G451" s="41" t="n"/>
      <c r="H451" s="41" t="n"/>
      <c r="I451" s="41" t="n"/>
    </row>
    <row r="452" ht="15.75" customHeight="1" s="60">
      <c r="A452" s="41" t="n"/>
      <c r="B452" s="41" t="n"/>
      <c r="C452" s="41" t="n"/>
      <c r="D452" s="41" t="n"/>
      <c r="E452" s="41" t="n"/>
      <c r="F452" s="41" t="n"/>
      <c r="G452" s="41" t="n"/>
      <c r="H452" s="41" t="n"/>
      <c r="I452" s="41" t="n"/>
    </row>
    <row r="453" ht="15.75" customHeight="1" s="60">
      <c r="A453" s="41" t="n"/>
      <c r="B453" s="41" t="n"/>
      <c r="C453" s="41" t="n"/>
      <c r="D453" s="41" t="n"/>
      <c r="E453" s="41" t="n"/>
      <c r="F453" s="41" t="n"/>
      <c r="G453" s="41" t="n"/>
      <c r="H453" s="41" t="n"/>
      <c r="I453" s="41" t="n"/>
    </row>
    <row r="454" ht="15.75" customHeight="1" s="60">
      <c r="A454" s="41" t="n"/>
      <c r="B454" s="41" t="n"/>
      <c r="C454" s="41" t="n"/>
      <c r="D454" s="41" t="n"/>
      <c r="E454" s="41" t="n"/>
      <c r="F454" s="41" t="n"/>
      <c r="G454" s="41" t="n"/>
      <c r="H454" s="41" t="n"/>
      <c r="I454" s="41" t="n"/>
    </row>
    <row r="455" ht="15.75" customHeight="1" s="60">
      <c r="A455" s="41" t="n"/>
      <c r="B455" s="41" t="n"/>
      <c r="C455" s="41" t="n"/>
      <c r="D455" s="41" t="n"/>
      <c r="E455" s="41" t="n"/>
      <c r="F455" s="41" t="n"/>
      <c r="G455" s="41" t="n"/>
      <c r="H455" s="41" t="n"/>
      <c r="I455" s="41" t="n"/>
    </row>
    <row r="456" ht="15.75" customHeight="1" s="60">
      <c r="A456" s="41" t="n"/>
      <c r="B456" s="41" t="n"/>
      <c r="C456" s="41" t="n"/>
      <c r="D456" s="41" t="n"/>
      <c r="E456" s="41" t="n"/>
      <c r="F456" s="41" t="n"/>
      <c r="G456" s="41" t="n"/>
      <c r="H456" s="41" t="n"/>
      <c r="I456" s="41" t="n"/>
    </row>
    <row r="457" ht="15.75" customHeight="1" s="60">
      <c r="A457" s="41" t="n"/>
      <c r="B457" s="41" t="n"/>
      <c r="C457" s="41" t="n"/>
      <c r="D457" s="41" t="n"/>
      <c r="E457" s="41" t="n"/>
      <c r="F457" s="41" t="n"/>
      <c r="G457" s="41" t="n"/>
      <c r="H457" s="41" t="n"/>
      <c r="I457" s="41" t="n"/>
    </row>
    <row r="458" ht="15.75" customHeight="1" s="60">
      <c r="A458" s="41" t="n"/>
      <c r="B458" s="41" t="n"/>
      <c r="C458" s="41" t="n"/>
      <c r="D458" s="41" t="n"/>
      <c r="E458" s="41" t="n"/>
      <c r="F458" s="41" t="n"/>
      <c r="G458" s="41" t="n"/>
      <c r="H458" s="41" t="n"/>
      <c r="I458" s="41" t="n"/>
    </row>
    <row r="459" ht="15.75" customHeight="1" s="60">
      <c r="A459" s="41" t="n"/>
      <c r="B459" s="41" t="n"/>
      <c r="C459" s="41" t="n"/>
      <c r="D459" s="41" t="n"/>
      <c r="E459" s="41" t="n"/>
      <c r="F459" s="41" t="n"/>
      <c r="G459" s="41" t="n"/>
      <c r="H459" s="41" t="n"/>
      <c r="I459" s="41" t="n"/>
    </row>
    <row r="460" ht="15.75" customHeight="1" s="60">
      <c r="A460" s="41" t="n"/>
      <c r="B460" s="41" t="n"/>
      <c r="C460" s="41" t="n"/>
      <c r="D460" s="41" t="n"/>
      <c r="E460" s="41" t="n"/>
      <c r="F460" s="41" t="n"/>
      <c r="G460" s="41" t="n"/>
      <c r="H460" s="41" t="n"/>
      <c r="I460" s="41" t="n"/>
    </row>
    <row r="461" ht="15.75" customHeight="1" s="60">
      <c r="A461" s="41" t="n"/>
      <c r="B461" s="41" t="n"/>
      <c r="C461" s="41" t="n"/>
      <c r="D461" s="41" t="n"/>
      <c r="E461" s="41" t="n"/>
      <c r="F461" s="41" t="n"/>
      <c r="G461" s="41" t="n"/>
      <c r="H461" s="41" t="n"/>
      <c r="I461" s="41" t="n"/>
    </row>
    <row r="462" ht="15.75" customHeight="1" s="60">
      <c r="A462" s="41" t="n"/>
      <c r="B462" s="41" t="n"/>
      <c r="C462" s="41" t="n"/>
      <c r="D462" s="41" t="n"/>
      <c r="E462" s="41" t="n"/>
      <c r="F462" s="41" t="n"/>
      <c r="G462" s="41" t="n"/>
      <c r="H462" s="41" t="n"/>
      <c r="I462" s="41" t="n"/>
    </row>
    <row r="463" ht="15.75" customHeight="1" s="60">
      <c r="A463" s="41" t="n"/>
      <c r="B463" s="41" t="n"/>
      <c r="C463" s="41" t="n"/>
      <c r="D463" s="41" t="n"/>
      <c r="E463" s="41" t="n"/>
      <c r="F463" s="41" t="n"/>
      <c r="G463" s="41" t="n"/>
      <c r="H463" s="41" t="n"/>
      <c r="I463" s="41" t="n"/>
    </row>
    <row r="464" ht="15.75" customHeight="1" s="60">
      <c r="A464" s="41" t="n"/>
      <c r="B464" s="41" t="n"/>
      <c r="C464" s="41" t="n"/>
      <c r="D464" s="41" t="n"/>
      <c r="E464" s="41" t="n"/>
      <c r="F464" s="41" t="n"/>
      <c r="G464" s="41" t="n"/>
      <c r="H464" s="41" t="n"/>
      <c r="I464" s="41" t="n"/>
    </row>
    <row r="465" ht="15.75" customHeight="1" s="60">
      <c r="A465" s="41" t="n"/>
      <c r="B465" s="41" t="n"/>
      <c r="C465" s="41" t="n"/>
      <c r="D465" s="41" t="n"/>
      <c r="E465" s="41" t="n"/>
      <c r="F465" s="41" t="n"/>
      <c r="G465" s="41" t="n"/>
      <c r="H465" s="41" t="n"/>
      <c r="I465" s="41" t="n"/>
    </row>
    <row r="466" ht="15.75" customHeight="1" s="60">
      <c r="A466" s="41" t="n"/>
      <c r="B466" s="41" t="n"/>
      <c r="C466" s="41" t="n"/>
      <c r="D466" s="41" t="n"/>
      <c r="E466" s="41" t="n"/>
      <c r="F466" s="41" t="n"/>
      <c r="G466" s="41" t="n"/>
      <c r="H466" s="41" t="n"/>
      <c r="I466" s="41" t="n"/>
    </row>
    <row r="467" ht="15.75" customHeight="1" s="60">
      <c r="A467" s="41" t="n"/>
      <c r="B467" s="41" t="n"/>
      <c r="C467" s="41" t="n"/>
      <c r="D467" s="41" t="n"/>
      <c r="E467" s="41" t="n"/>
      <c r="F467" s="41" t="n"/>
      <c r="G467" s="41" t="n"/>
      <c r="H467" s="41" t="n"/>
      <c r="I467" s="41" t="n"/>
    </row>
    <row r="468" ht="15.75" customHeight="1" s="60">
      <c r="A468" s="41" t="n"/>
      <c r="B468" s="41" t="n"/>
      <c r="C468" s="41" t="n"/>
      <c r="D468" s="41" t="n"/>
      <c r="E468" s="41" t="n"/>
      <c r="F468" s="41" t="n"/>
      <c r="G468" s="41" t="n"/>
      <c r="H468" s="41" t="n"/>
      <c r="I468" s="41" t="n"/>
    </row>
    <row r="469" ht="15.75" customHeight="1" s="60">
      <c r="A469" s="41" t="n"/>
      <c r="B469" s="41" t="n"/>
      <c r="C469" s="41" t="n"/>
      <c r="D469" s="41" t="n"/>
      <c r="E469" s="41" t="n"/>
      <c r="F469" s="41" t="n"/>
      <c r="G469" s="41" t="n"/>
      <c r="H469" s="41" t="n"/>
      <c r="I469" s="41" t="n"/>
    </row>
    <row r="470" ht="15.75" customHeight="1" s="60">
      <c r="A470" s="41" t="n"/>
      <c r="B470" s="41" t="n"/>
      <c r="C470" s="41" t="n"/>
      <c r="D470" s="41" t="n"/>
      <c r="E470" s="41" t="n"/>
      <c r="F470" s="41" t="n"/>
      <c r="G470" s="41" t="n"/>
      <c r="H470" s="41" t="n"/>
      <c r="I470" s="41" t="n"/>
    </row>
    <row r="471" ht="15.75" customHeight="1" s="60">
      <c r="A471" s="41" t="n"/>
      <c r="B471" s="41" t="n"/>
      <c r="C471" s="41" t="n"/>
      <c r="D471" s="41" t="n"/>
      <c r="E471" s="41" t="n"/>
      <c r="F471" s="41" t="n"/>
      <c r="G471" s="41" t="n"/>
      <c r="H471" s="41" t="n"/>
      <c r="I471" s="41" t="n"/>
    </row>
    <row r="472" ht="15.75" customHeight="1" s="60">
      <c r="A472" s="41" t="n"/>
      <c r="B472" s="41" t="n"/>
      <c r="C472" s="41" t="n"/>
      <c r="D472" s="41" t="n"/>
      <c r="E472" s="41" t="n"/>
      <c r="F472" s="41" t="n"/>
      <c r="G472" s="41" t="n"/>
      <c r="H472" s="41" t="n"/>
      <c r="I472" s="41" t="n"/>
    </row>
    <row r="473" ht="15.75" customHeight="1" s="60">
      <c r="A473" s="41" t="n"/>
      <c r="B473" s="41" t="n"/>
      <c r="C473" s="41" t="n"/>
      <c r="D473" s="41" t="n"/>
      <c r="E473" s="41" t="n"/>
      <c r="F473" s="41" t="n"/>
      <c r="G473" s="41" t="n"/>
      <c r="H473" s="41" t="n"/>
      <c r="I473" s="41" t="n"/>
    </row>
    <row r="474" ht="15.75" customHeight="1" s="60">
      <c r="A474" s="41" t="n"/>
      <c r="B474" s="41" t="n"/>
      <c r="C474" s="41" t="n"/>
      <c r="D474" s="41" t="n"/>
      <c r="E474" s="41" t="n"/>
      <c r="F474" s="41" t="n"/>
      <c r="G474" s="41" t="n"/>
      <c r="H474" s="41" t="n"/>
      <c r="I474" s="41" t="n"/>
    </row>
    <row r="475" ht="15.75" customHeight="1" s="60">
      <c r="A475" s="41" t="n"/>
      <c r="B475" s="41" t="n"/>
      <c r="C475" s="41" t="n"/>
      <c r="D475" s="41" t="n"/>
      <c r="E475" s="41" t="n"/>
      <c r="F475" s="41" t="n"/>
      <c r="G475" s="41" t="n"/>
      <c r="H475" s="41" t="n"/>
      <c r="I475" s="41" t="n"/>
    </row>
    <row r="476" ht="15.75" customHeight="1" s="60">
      <c r="A476" s="41" t="n"/>
      <c r="B476" s="41" t="n"/>
      <c r="C476" s="41" t="n"/>
      <c r="D476" s="41" t="n"/>
      <c r="E476" s="41" t="n"/>
      <c r="F476" s="41" t="n"/>
      <c r="G476" s="41" t="n"/>
      <c r="H476" s="41" t="n"/>
      <c r="I476" s="41" t="n"/>
    </row>
    <row r="477" ht="15.75" customHeight="1" s="60">
      <c r="A477" s="41" t="n"/>
      <c r="B477" s="41" t="n"/>
      <c r="C477" s="41" t="n"/>
      <c r="D477" s="41" t="n"/>
      <c r="E477" s="41" t="n"/>
      <c r="F477" s="41" t="n"/>
      <c r="G477" s="41" t="n"/>
      <c r="H477" s="41" t="n"/>
      <c r="I477" s="41" t="n"/>
    </row>
    <row r="478" ht="15.75" customHeight="1" s="60">
      <c r="A478" s="41" t="n"/>
      <c r="B478" s="41" t="n"/>
      <c r="C478" s="41" t="n"/>
      <c r="D478" s="41" t="n"/>
      <c r="E478" s="41" t="n"/>
      <c r="F478" s="41" t="n"/>
      <c r="G478" s="41" t="n"/>
      <c r="H478" s="41" t="n"/>
      <c r="I478" s="41" t="n"/>
    </row>
    <row r="479" ht="15.75" customHeight="1" s="60">
      <c r="A479" s="41" t="n"/>
      <c r="B479" s="41" t="n"/>
      <c r="C479" s="41" t="n"/>
      <c r="D479" s="41" t="n"/>
      <c r="E479" s="41" t="n"/>
      <c r="F479" s="41" t="n"/>
      <c r="G479" s="41" t="n"/>
      <c r="H479" s="41" t="n"/>
      <c r="I479" s="41" t="n"/>
    </row>
    <row r="480" ht="15.75" customHeight="1" s="60">
      <c r="A480" s="41" t="n"/>
      <c r="B480" s="41" t="n"/>
      <c r="C480" s="41" t="n"/>
      <c r="D480" s="41" t="n"/>
      <c r="E480" s="41" t="n"/>
      <c r="F480" s="41" t="n"/>
      <c r="G480" s="41" t="n"/>
      <c r="H480" s="41" t="n"/>
      <c r="I480" s="41" t="n"/>
    </row>
    <row r="481" ht="15.75" customHeight="1" s="60">
      <c r="A481" s="41" t="n"/>
      <c r="B481" s="41" t="n"/>
      <c r="C481" s="41" t="n"/>
      <c r="D481" s="41" t="n"/>
      <c r="E481" s="41" t="n"/>
      <c r="F481" s="41" t="n"/>
      <c r="G481" s="41" t="n"/>
      <c r="H481" s="41" t="n"/>
      <c r="I481" s="41" t="n"/>
    </row>
    <row r="482" ht="15.75" customHeight="1" s="60">
      <c r="A482" s="41" t="n"/>
      <c r="B482" s="41" t="n"/>
      <c r="C482" s="41" t="n"/>
      <c r="D482" s="41" t="n"/>
      <c r="E482" s="41" t="n"/>
      <c r="F482" s="41" t="n"/>
      <c r="G482" s="41" t="n"/>
      <c r="H482" s="41" t="n"/>
      <c r="I482" s="41" t="n"/>
    </row>
    <row r="483" ht="15.75" customHeight="1" s="60">
      <c r="A483" s="41" t="n"/>
      <c r="B483" s="41" t="n"/>
      <c r="C483" s="41" t="n"/>
      <c r="D483" s="41" t="n"/>
      <c r="E483" s="41" t="n"/>
      <c r="F483" s="41" t="n"/>
      <c r="G483" s="41" t="n"/>
      <c r="H483" s="41" t="n"/>
      <c r="I483" s="41" t="n"/>
    </row>
    <row r="484" ht="15.75" customHeight="1" s="60">
      <c r="A484" s="41" t="n"/>
      <c r="B484" s="41" t="n"/>
      <c r="C484" s="41" t="n"/>
      <c r="D484" s="41" t="n"/>
      <c r="E484" s="41" t="n"/>
      <c r="F484" s="41" t="n"/>
      <c r="G484" s="41" t="n"/>
      <c r="H484" s="41" t="n"/>
      <c r="I484" s="41" t="n"/>
    </row>
    <row r="485" ht="15.75" customHeight="1" s="60">
      <c r="A485" s="41" t="n"/>
      <c r="B485" s="41" t="n"/>
      <c r="C485" s="41" t="n"/>
      <c r="D485" s="41" t="n"/>
      <c r="E485" s="41" t="n"/>
      <c r="F485" s="41" t="n"/>
      <c r="G485" s="41" t="n"/>
      <c r="H485" s="41" t="n"/>
      <c r="I485" s="41" t="n"/>
    </row>
    <row r="486" ht="15.75" customHeight="1" s="60">
      <c r="A486" s="41" t="n"/>
      <c r="B486" s="41" t="n"/>
      <c r="C486" s="41" t="n"/>
      <c r="D486" s="41" t="n"/>
      <c r="E486" s="41" t="n"/>
      <c r="F486" s="41" t="n"/>
      <c r="G486" s="41" t="n"/>
      <c r="H486" s="41" t="n"/>
      <c r="I486" s="41" t="n"/>
    </row>
    <row r="487" ht="15.75" customHeight="1" s="60">
      <c r="A487" s="41" t="n"/>
      <c r="B487" s="41" t="n"/>
      <c r="C487" s="41" t="n"/>
      <c r="D487" s="41" t="n"/>
      <c r="E487" s="41" t="n"/>
      <c r="F487" s="41" t="n"/>
      <c r="G487" s="41" t="n"/>
      <c r="H487" s="41" t="n"/>
      <c r="I487" s="41" t="n"/>
    </row>
    <row r="488" ht="15.75" customHeight="1" s="60">
      <c r="A488" s="41" t="n"/>
      <c r="B488" s="41" t="n"/>
      <c r="C488" s="41" t="n"/>
      <c r="D488" s="41" t="n"/>
      <c r="E488" s="41" t="n"/>
      <c r="F488" s="41" t="n"/>
      <c r="G488" s="41" t="n"/>
      <c r="H488" s="41" t="n"/>
      <c r="I488" s="41" t="n"/>
    </row>
    <row r="489" ht="15.75" customHeight="1" s="60">
      <c r="A489" s="41" t="n"/>
      <c r="B489" s="41" t="n"/>
      <c r="C489" s="41" t="n"/>
      <c r="D489" s="41" t="n"/>
      <c r="E489" s="41" t="n"/>
      <c r="F489" s="41" t="n"/>
      <c r="G489" s="41" t="n"/>
      <c r="H489" s="41" t="n"/>
      <c r="I489" s="41" t="n"/>
    </row>
    <row r="490" ht="15.75" customHeight="1" s="60">
      <c r="A490" s="41" t="n"/>
      <c r="B490" s="41" t="n"/>
      <c r="C490" s="41" t="n"/>
      <c r="D490" s="41" t="n"/>
      <c r="E490" s="41" t="n"/>
      <c r="F490" s="41" t="n"/>
      <c r="G490" s="41" t="n"/>
      <c r="H490" s="41" t="n"/>
      <c r="I490" s="41" t="n"/>
    </row>
    <row r="491" ht="15.75" customHeight="1" s="60">
      <c r="A491" s="41" t="n"/>
      <c r="B491" s="41" t="n"/>
      <c r="C491" s="41" t="n"/>
      <c r="D491" s="41" t="n"/>
      <c r="E491" s="41" t="n"/>
      <c r="F491" s="41" t="n"/>
      <c r="G491" s="41" t="n"/>
      <c r="H491" s="41" t="n"/>
      <c r="I491" s="41" t="n"/>
    </row>
    <row r="492" ht="15.75" customHeight="1" s="60">
      <c r="A492" s="41" t="n"/>
      <c r="B492" s="41" t="n"/>
      <c r="C492" s="41" t="n"/>
      <c r="D492" s="41" t="n"/>
      <c r="E492" s="41" t="n"/>
      <c r="F492" s="41" t="n"/>
      <c r="G492" s="41" t="n"/>
      <c r="H492" s="41" t="n"/>
      <c r="I492" s="41" t="n"/>
    </row>
    <row r="493" ht="15.75" customHeight="1" s="60">
      <c r="A493" s="41" t="n"/>
      <c r="B493" s="41" t="n"/>
      <c r="C493" s="41" t="n"/>
      <c r="D493" s="41" t="n"/>
      <c r="E493" s="41" t="n"/>
      <c r="F493" s="41" t="n"/>
      <c r="G493" s="41" t="n"/>
      <c r="H493" s="41" t="n"/>
      <c r="I493" s="41" t="n"/>
    </row>
    <row r="494" ht="15.75" customHeight="1" s="60">
      <c r="A494" s="41" t="n"/>
      <c r="B494" s="41" t="n"/>
      <c r="C494" s="41" t="n"/>
      <c r="D494" s="41" t="n"/>
      <c r="E494" s="41" t="n"/>
      <c r="F494" s="41" t="n"/>
      <c r="G494" s="41" t="n"/>
      <c r="H494" s="41" t="n"/>
      <c r="I494" s="41" t="n"/>
    </row>
    <row r="495" ht="15.75" customHeight="1" s="60">
      <c r="A495" s="41" t="n"/>
      <c r="B495" s="41" t="n"/>
      <c r="C495" s="41" t="n"/>
      <c r="D495" s="41" t="n"/>
      <c r="E495" s="41" t="n"/>
      <c r="F495" s="41" t="n"/>
      <c r="G495" s="41" t="n"/>
      <c r="H495" s="41" t="n"/>
      <c r="I495" s="41" t="n"/>
    </row>
    <row r="496" ht="15.75" customHeight="1" s="60">
      <c r="A496" s="41" t="n"/>
      <c r="B496" s="41" t="n"/>
      <c r="C496" s="41" t="n"/>
      <c r="D496" s="41" t="n"/>
      <c r="E496" s="41" t="n"/>
      <c r="F496" s="41" t="n"/>
      <c r="G496" s="41" t="n"/>
      <c r="H496" s="41" t="n"/>
      <c r="I496" s="41" t="n"/>
    </row>
    <row r="497" ht="15.75" customHeight="1" s="60">
      <c r="A497" s="41" t="n"/>
      <c r="B497" s="41" t="n"/>
      <c r="C497" s="41" t="n"/>
      <c r="D497" s="41" t="n"/>
      <c r="E497" s="41" t="n"/>
      <c r="F497" s="41" t="n"/>
      <c r="G497" s="41" t="n"/>
      <c r="H497" s="41" t="n"/>
      <c r="I497" s="41" t="n"/>
    </row>
    <row r="498" ht="15.75" customHeight="1" s="60">
      <c r="A498" s="41" t="n"/>
      <c r="B498" s="41" t="n"/>
      <c r="C498" s="41" t="n"/>
      <c r="D498" s="41" t="n"/>
      <c r="E498" s="41" t="n"/>
      <c r="F498" s="41" t="n"/>
      <c r="G498" s="41" t="n"/>
      <c r="H498" s="41" t="n"/>
      <c r="I498" s="41" t="n"/>
    </row>
    <row r="499" ht="15.75" customHeight="1" s="60">
      <c r="A499" s="41" t="n"/>
      <c r="B499" s="41" t="n"/>
      <c r="C499" s="41" t="n"/>
      <c r="D499" s="41" t="n"/>
      <c r="E499" s="41" t="n"/>
      <c r="F499" s="41" t="n"/>
      <c r="G499" s="41" t="n"/>
      <c r="H499" s="41" t="n"/>
      <c r="I499" s="41" t="n"/>
    </row>
    <row r="500" ht="15.75" customHeight="1" s="60">
      <c r="A500" s="41" t="n"/>
      <c r="B500" s="41" t="n"/>
      <c r="C500" s="41" t="n"/>
      <c r="D500" s="41" t="n"/>
      <c r="E500" s="41" t="n"/>
      <c r="F500" s="41" t="n"/>
      <c r="G500" s="41" t="n"/>
      <c r="H500" s="41" t="n"/>
      <c r="I500" s="41" t="n"/>
    </row>
    <row r="501" ht="15.75" customHeight="1" s="60">
      <c r="A501" s="41" t="n"/>
      <c r="B501" s="41" t="n"/>
      <c r="C501" s="41" t="n"/>
      <c r="D501" s="41" t="n"/>
      <c r="E501" s="41" t="n"/>
      <c r="F501" s="41" t="n"/>
      <c r="G501" s="41" t="n"/>
      <c r="H501" s="41" t="n"/>
      <c r="I501" s="41" t="n"/>
    </row>
    <row r="502" ht="15.75" customHeight="1" s="60">
      <c r="A502" s="41" t="n"/>
      <c r="B502" s="41" t="n"/>
      <c r="C502" s="41" t="n"/>
      <c r="D502" s="41" t="n"/>
      <c r="E502" s="41" t="n"/>
      <c r="F502" s="41" t="n"/>
      <c r="G502" s="41" t="n"/>
      <c r="H502" s="41" t="n"/>
      <c r="I502" s="41" t="n"/>
    </row>
    <row r="503" ht="15.75" customHeight="1" s="60">
      <c r="A503" s="41" t="n"/>
      <c r="B503" s="41" t="n"/>
      <c r="C503" s="41" t="n"/>
      <c r="D503" s="41" t="n"/>
      <c r="E503" s="41" t="n"/>
      <c r="F503" s="41" t="n"/>
      <c r="G503" s="41" t="n"/>
      <c r="H503" s="41" t="n"/>
      <c r="I503" s="41" t="n"/>
    </row>
    <row r="504" ht="15.75" customHeight="1" s="60">
      <c r="A504" s="41" t="n"/>
      <c r="B504" s="41" t="n"/>
      <c r="C504" s="41" t="n"/>
      <c r="D504" s="41" t="n"/>
      <c r="E504" s="41" t="n"/>
      <c r="F504" s="41" t="n"/>
      <c r="G504" s="41" t="n"/>
      <c r="H504" s="41" t="n"/>
      <c r="I504" s="41" t="n"/>
    </row>
    <row r="505" ht="15.75" customHeight="1" s="60">
      <c r="A505" s="41" t="n"/>
      <c r="B505" s="41" t="n"/>
      <c r="C505" s="41" t="n"/>
      <c r="D505" s="41" t="n"/>
      <c r="E505" s="41" t="n"/>
      <c r="F505" s="41" t="n"/>
      <c r="G505" s="41" t="n"/>
      <c r="H505" s="41" t="n"/>
      <c r="I505" s="41" t="n"/>
    </row>
    <row r="506" ht="15.75" customHeight="1" s="60">
      <c r="A506" s="41" t="n"/>
      <c r="B506" s="41" t="n"/>
      <c r="C506" s="41" t="n"/>
      <c r="D506" s="41" t="n"/>
      <c r="E506" s="41" t="n"/>
      <c r="F506" s="41" t="n"/>
      <c r="G506" s="41" t="n"/>
      <c r="H506" s="41" t="n"/>
      <c r="I506" s="41" t="n"/>
    </row>
    <row r="507" ht="15.75" customHeight="1" s="60">
      <c r="A507" s="41" t="n"/>
      <c r="B507" s="41" t="n"/>
      <c r="C507" s="41" t="n"/>
      <c r="D507" s="41" t="n"/>
      <c r="E507" s="41" t="n"/>
      <c r="F507" s="41" t="n"/>
      <c r="G507" s="41" t="n"/>
      <c r="H507" s="41" t="n"/>
      <c r="I507" s="41" t="n"/>
    </row>
    <row r="508" ht="15.75" customHeight="1" s="60">
      <c r="A508" s="41" t="n"/>
      <c r="B508" s="41" t="n"/>
      <c r="C508" s="41" t="n"/>
      <c r="D508" s="41" t="n"/>
      <c r="E508" s="41" t="n"/>
      <c r="F508" s="41" t="n"/>
      <c r="G508" s="41" t="n"/>
      <c r="H508" s="41" t="n"/>
      <c r="I508" s="41" t="n"/>
    </row>
    <row r="509" ht="15.75" customHeight="1" s="60">
      <c r="A509" s="41" t="n"/>
      <c r="B509" s="41" t="n"/>
      <c r="C509" s="41" t="n"/>
      <c r="D509" s="41" t="n"/>
      <c r="E509" s="41" t="n"/>
      <c r="F509" s="41" t="n"/>
      <c r="G509" s="41" t="n"/>
      <c r="H509" s="41" t="n"/>
      <c r="I509" s="41" t="n"/>
    </row>
    <row r="510" ht="15.75" customHeight="1" s="60">
      <c r="A510" s="41" t="n"/>
      <c r="B510" s="41" t="n"/>
      <c r="C510" s="41" t="n"/>
      <c r="D510" s="41" t="n"/>
      <c r="E510" s="41" t="n"/>
      <c r="F510" s="41" t="n"/>
      <c r="G510" s="41" t="n"/>
      <c r="H510" s="41" t="n"/>
      <c r="I510" s="41" t="n"/>
    </row>
    <row r="511" ht="15.75" customHeight="1" s="60">
      <c r="A511" s="41" t="n"/>
      <c r="B511" s="41" t="n"/>
      <c r="C511" s="41" t="n"/>
      <c r="D511" s="41" t="n"/>
      <c r="E511" s="41" t="n"/>
      <c r="F511" s="41" t="n"/>
      <c r="G511" s="41" t="n"/>
      <c r="H511" s="41" t="n"/>
      <c r="I511" s="41" t="n"/>
    </row>
    <row r="512" ht="15.75" customHeight="1" s="60">
      <c r="A512" s="41" t="n"/>
      <c r="B512" s="41" t="n"/>
      <c r="C512" s="41" t="n"/>
      <c r="D512" s="41" t="n"/>
      <c r="E512" s="41" t="n"/>
      <c r="F512" s="41" t="n"/>
      <c r="G512" s="41" t="n"/>
      <c r="H512" s="41" t="n"/>
      <c r="I512" s="41" t="n"/>
    </row>
    <row r="513" ht="15.75" customHeight="1" s="60">
      <c r="A513" s="41" t="n"/>
      <c r="B513" s="41" t="n"/>
      <c r="C513" s="41" t="n"/>
      <c r="D513" s="41" t="n"/>
      <c r="E513" s="41" t="n"/>
      <c r="F513" s="41" t="n"/>
      <c r="G513" s="41" t="n"/>
      <c r="H513" s="41" t="n"/>
      <c r="I513" s="41" t="n"/>
    </row>
    <row r="514" ht="15.75" customHeight="1" s="60">
      <c r="A514" s="41" t="n"/>
      <c r="B514" s="41" t="n"/>
      <c r="C514" s="41" t="n"/>
      <c r="D514" s="41" t="n"/>
      <c r="E514" s="41" t="n"/>
      <c r="F514" s="41" t="n"/>
      <c r="G514" s="41" t="n"/>
      <c r="H514" s="41" t="n"/>
      <c r="I514" s="41" t="n"/>
    </row>
    <row r="515" ht="15.75" customHeight="1" s="60">
      <c r="A515" s="41" t="n"/>
      <c r="B515" s="41" t="n"/>
      <c r="C515" s="41" t="n"/>
      <c r="D515" s="41" t="n"/>
      <c r="E515" s="41" t="n"/>
      <c r="F515" s="41" t="n"/>
      <c r="G515" s="41" t="n"/>
      <c r="H515" s="41" t="n"/>
      <c r="I515" s="41" t="n"/>
    </row>
    <row r="516" ht="15.75" customHeight="1" s="60">
      <c r="A516" s="41" t="n"/>
      <c r="B516" s="41" t="n"/>
      <c r="C516" s="41" t="n"/>
      <c r="D516" s="41" t="n"/>
      <c r="E516" s="41" t="n"/>
      <c r="F516" s="41" t="n"/>
      <c r="G516" s="41" t="n"/>
      <c r="H516" s="41" t="n"/>
      <c r="I516" s="41" t="n"/>
    </row>
    <row r="517" ht="15.75" customHeight="1" s="60">
      <c r="A517" s="41" t="n"/>
      <c r="B517" s="41" t="n"/>
      <c r="C517" s="41" t="n"/>
      <c r="D517" s="41" t="n"/>
      <c r="E517" s="41" t="n"/>
      <c r="F517" s="41" t="n"/>
      <c r="G517" s="41" t="n"/>
      <c r="H517" s="41" t="n"/>
      <c r="I517" s="41" t="n"/>
    </row>
    <row r="518" ht="15.75" customHeight="1" s="60">
      <c r="A518" s="41" t="n"/>
      <c r="B518" s="41" t="n"/>
      <c r="C518" s="41" t="n"/>
      <c r="D518" s="41" t="n"/>
      <c r="E518" s="41" t="n"/>
      <c r="F518" s="41" t="n"/>
      <c r="G518" s="41" t="n"/>
      <c r="H518" s="41" t="n"/>
      <c r="I518" s="41" t="n"/>
    </row>
    <row r="519" ht="15.75" customHeight="1" s="60">
      <c r="A519" s="41" t="n"/>
      <c r="B519" s="41" t="n"/>
      <c r="C519" s="41" t="n"/>
      <c r="D519" s="41" t="n"/>
      <c r="E519" s="41" t="n"/>
      <c r="F519" s="41" t="n"/>
      <c r="G519" s="41" t="n"/>
      <c r="H519" s="41" t="n"/>
      <c r="I519" s="41" t="n"/>
    </row>
    <row r="520" ht="15.75" customHeight="1" s="60">
      <c r="A520" s="41" t="n"/>
      <c r="B520" s="41" t="n"/>
      <c r="C520" s="41" t="n"/>
      <c r="D520" s="41" t="n"/>
      <c r="E520" s="41" t="n"/>
      <c r="F520" s="41" t="n"/>
      <c r="G520" s="41" t="n"/>
      <c r="H520" s="41" t="n"/>
      <c r="I520" s="41" t="n"/>
    </row>
    <row r="521" ht="15.75" customHeight="1" s="60">
      <c r="A521" s="41" t="n"/>
      <c r="B521" s="41" t="n"/>
      <c r="C521" s="41" t="n"/>
      <c r="D521" s="41" t="n"/>
      <c r="E521" s="41" t="n"/>
      <c r="F521" s="41" t="n"/>
      <c r="G521" s="41" t="n"/>
      <c r="H521" s="41" t="n"/>
      <c r="I521" s="41" t="n"/>
    </row>
    <row r="522" ht="15.75" customHeight="1" s="60">
      <c r="A522" s="41" t="n"/>
      <c r="B522" s="41" t="n"/>
      <c r="C522" s="41" t="n"/>
      <c r="D522" s="41" t="n"/>
      <c r="E522" s="41" t="n"/>
      <c r="F522" s="41" t="n"/>
      <c r="G522" s="41" t="n"/>
      <c r="H522" s="41" t="n"/>
      <c r="I522" s="41" t="n"/>
    </row>
    <row r="523" ht="15.75" customHeight="1" s="60">
      <c r="A523" s="41" t="n"/>
      <c r="B523" s="41" t="n"/>
      <c r="C523" s="41" t="n"/>
      <c r="D523" s="41" t="n"/>
      <c r="E523" s="41" t="n"/>
      <c r="F523" s="41" t="n"/>
      <c r="G523" s="41" t="n"/>
      <c r="H523" s="41" t="n"/>
      <c r="I523" s="41" t="n"/>
    </row>
    <row r="524" ht="15.75" customHeight="1" s="60">
      <c r="A524" s="41" t="n"/>
      <c r="B524" s="41" t="n"/>
      <c r="C524" s="41" t="n"/>
      <c r="D524" s="41" t="n"/>
      <c r="E524" s="41" t="n"/>
      <c r="F524" s="41" t="n"/>
      <c r="G524" s="41" t="n"/>
      <c r="H524" s="41" t="n"/>
      <c r="I524" s="41" t="n"/>
    </row>
    <row r="525" ht="15.75" customHeight="1" s="60">
      <c r="A525" s="41" t="n"/>
      <c r="B525" s="41" t="n"/>
      <c r="C525" s="41" t="n"/>
      <c r="D525" s="41" t="n"/>
      <c r="E525" s="41" t="n"/>
      <c r="F525" s="41" t="n"/>
      <c r="G525" s="41" t="n"/>
      <c r="H525" s="41" t="n"/>
      <c r="I525" s="41" t="n"/>
    </row>
    <row r="526" ht="15.75" customHeight="1" s="60">
      <c r="A526" s="41" t="n"/>
      <c r="B526" s="41" t="n"/>
      <c r="C526" s="41" t="n"/>
      <c r="D526" s="41" t="n"/>
      <c r="E526" s="41" t="n"/>
      <c r="F526" s="41" t="n"/>
      <c r="G526" s="41" t="n"/>
      <c r="H526" s="41" t="n"/>
      <c r="I526" s="41" t="n"/>
    </row>
    <row r="527" ht="15.75" customHeight="1" s="60">
      <c r="A527" s="41" t="n"/>
      <c r="B527" s="41" t="n"/>
      <c r="C527" s="41" t="n"/>
      <c r="D527" s="41" t="n"/>
      <c r="E527" s="41" t="n"/>
      <c r="F527" s="41" t="n"/>
      <c r="G527" s="41" t="n"/>
      <c r="H527" s="41" t="n"/>
      <c r="I527" s="41" t="n"/>
    </row>
    <row r="528" ht="15.75" customHeight="1" s="60">
      <c r="A528" s="41" t="n"/>
      <c r="B528" s="41" t="n"/>
      <c r="C528" s="41" t="n"/>
      <c r="D528" s="41" t="n"/>
      <c r="E528" s="41" t="n"/>
      <c r="F528" s="41" t="n"/>
      <c r="G528" s="41" t="n"/>
      <c r="H528" s="41" t="n"/>
      <c r="I528" s="41" t="n"/>
    </row>
    <row r="529" ht="15.75" customHeight="1" s="60">
      <c r="A529" s="41" t="n"/>
      <c r="B529" s="41" t="n"/>
      <c r="C529" s="41" t="n"/>
      <c r="D529" s="41" t="n"/>
      <c r="E529" s="41" t="n"/>
      <c r="F529" s="41" t="n"/>
      <c r="G529" s="41" t="n"/>
      <c r="H529" s="41" t="n"/>
      <c r="I529" s="41" t="n"/>
    </row>
    <row r="530" ht="15.75" customHeight="1" s="60">
      <c r="A530" s="41" t="n"/>
      <c r="B530" s="41" t="n"/>
      <c r="C530" s="41" t="n"/>
      <c r="D530" s="41" t="n"/>
      <c r="E530" s="41" t="n"/>
      <c r="F530" s="41" t="n"/>
      <c r="G530" s="41" t="n"/>
      <c r="H530" s="41" t="n"/>
      <c r="I530" s="41" t="n"/>
    </row>
    <row r="531" ht="15.75" customHeight="1" s="60">
      <c r="A531" s="41" t="n"/>
      <c r="B531" s="41" t="n"/>
      <c r="C531" s="41" t="n"/>
      <c r="D531" s="41" t="n"/>
      <c r="E531" s="41" t="n"/>
      <c r="F531" s="41" t="n"/>
      <c r="G531" s="41" t="n"/>
      <c r="H531" s="41" t="n"/>
      <c r="I531" s="41" t="n"/>
    </row>
    <row r="532" ht="15.75" customHeight="1" s="60">
      <c r="A532" s="41" t="n"/>
      <c r="B532" s="41" t="n"/>
      <c r="C532" s="41" t="n"/>
      <c r="D532" s="41" t="n"/>
      <c r="E532" s="41" t="n"/>
      <c r="F532" s="41" t="n"/>
      <c r="G532" s="41" t="n"/>
      <c r="H532" s="41" t="n"/>
      <c r="I532" s="41" t="n"/>
    </row>
    <row r="533" ht="15.75" customHeight="1" s="60">
      <c r="A533" s="41" t="n"/>
      <c r="B533" s="41" t="n"/>
      <c r="C533" s="41" t="n"/>
      <c r="D533" s="41" t="n"/>
      <c r="E533" s="41" t="n"/>
      <c r="F533" s="41" t="n"/>
      <c r="G533" s="41" t="n"/>
      <c r="H533" s="41" t="n"/>
      <c r="I533" s="41" t="n"/>
    </row>
    <row r="534" ht="15.75" customHeight="1" s="60">
      <c r="A534" s="41" t="n"/>
      <c r="B534" s="41" t="n"/>
      <c r="C534" s="41" t="n"/>
      <c r="D534" s="41" t="n"/>
      <c r="E534" s="41" t="n"/>
      <c r="F534" s="41" t="n"/>
      <c r="G534" s="41" t="n"/>
      <c r="H534" s="41" t="n"/>
      <c r="I534" s="41" t="n"/>
    </row>
    <row r="535" ht="15.75" customHeight="1" s="60">
      <c r="A535" s="41" t="n"/>
      <c r="B535" s="41" t="n"/>
      <c r="C535" s="41" t="n"/>
      <c r="D535" s="41" t="n"/>
      <c r="E535" s="41" t="n"/>
      <c r="F535" s="41" t="n"/>
      <c r="G535" s="41" t="n"/>
      <c r="H535" s="41" t="n"/>
      <c r="I535" s="41" t="n"/>
    </row>
    <row r="536" ht="15.75" customHeight="1" s="60">
      <c r="A536" s="41" t="n"/>
      <c r="B536" s="41" t="n"/>
      <c r="C536" s="41" t="n"/>
      <c r="D536" s="41" t="n"/>
      <c r="E536" s="41" t="n"/>
      <c r="F536" s="41" t="n"/>
      <c r="G536" s="41" t="n"/>
      <c r="H536" s="41" t="n"/>
      <c r="I536" s="41" t="n"/>
    </row>
    <row r="537" ht="15.75" customHeight="1" s="60">
      <c r="A537" s="41" t="n"/>
      <c r="B537" s="41" t="n"/>
      <c r="C537" s="41" t="n"/>
      <c r="D537" s="41" t="n"/>
      <c r="E537" s="41" t="n"/>
      <c r="F537" s="41" t="n"/>
      <c r="G537" s="41" t="n"/>
      <c r="H537" s="41" t="n"/>
      <c r="I537" s="41" t="n"/>
    </row>
    <row r="538" ht="15.75" customHeight="1" s="60">
      <c r="A538" s="41" t="n"/>
      <c r="B538" s="41" t="n"/>
      <c r="C538" s="41" t="n"/>
      <c r="D538" s="41" t="n"/>
      <c r="E538" s="41" t="n"/>
      <c r="F538" s="41" t="n"/>
      <c r="G538" s="41" t="n"/>
      <c r="H538" s="41" t="n"/>
      <c r="I538" s="41" t="n"/>
    </row>
    <row r="539" ht="15.75" customHeight="1" s="60">
      <c r="A539" s="41" t="n"/>
      <c r="B539" s="41" t="n"/>
      <c r="C539" s="41" t="n"/>
      <c r="D539" s="41" t="n"/>
      <c r="E539" s="41" t="n"/>
      <c r="F539" s="41" t="n"/>
      <c r="G539" s="41" t="n"/>
      <c r="H539" s="41" t="n"/>
      <c r="I539" s="41" t="n"/>
    </row>
    <row r="540" ht="15.75" customHeight="1" s="60">
      <c r="A540" s="41" t="n"/>
      <c r="B540" s="41" t="n"/>
      <c r="C540" s="41" t="n"/>
      <c r="D540" s="41" t="n"/>
      <c r="E540" s="41" t="n"/>
      <c r="F540" s="41" t="n"/>
      <c r="G540" s="41" t="n"/>
      <c r="H540" s="41" t="n"/>
      <c r="I540" s="41" t="n"/>
    </row>
    <row r="541" ht="15.75" customHeight="1" s="60">
      <c r="A541" s="41" t="n"/>
      <c r="B541" s="41" t="n"/>
      <c r="C541" s="41" t="n"/>
      <c r="D541" s="41" t="n"/>
      <c r="E541" s="41" t="n"/>
      <c r="F541" s="41" t="n"/>
      <c r="G541" s="41" t="n"/>
      <c r="H541" s="41" t="n"/>
      <c r="I541" s="41" t="n"/>
    </row>
    <row r="542" ht="15.75" customHeight="1" s="60">
      <c r="A542" s="41" t="n"/>
      <c r="B542" s="41" t="n"/>
      <c r="C542" s="41" t="n"/>
      <c r="D542" s="41" t="n"/>
      <c r="E542" s="41" t="n"/>
      <c r="F542" s="41" t="n"/>
      <c r="G542" s="41" t="n"/>
      <c r="H542" s="41" t="n"/>
      <c r="I542" s="41" t="n"/>
    </row>
    <row r="543" ht="15.75" customHeight="1" s="60">
      <c r="A543" s="41" t="n"/>
      <c r="B543" s="41" t="n"/>
      <c r="C543" s="41" t="n"/>
      <c r="D543" s="41" t="n"/>
      <c r="E543" s="41" t="n"/>
      <c r="F543" s="41" t="n"/>
      <c r="G543" s="41" t="n"/>
      <c r="H543" s="41" t="n"/>
      <c r="I543" s="41" t="n"/>
    </row>
    <row r="544" ht="15.75" customHeight="1" s="60">
      <c r="A544" s="41" t="n"/>
      <c r="B544" s="41" t="n"/>
      <c r="C544" s="41" t="n"/>
      <c r="D544" s="41" t="n"/>
      <c r="E544" s="41" t="n"/>
      <c r="F544" s="41" t="n"/>
      <c r="G544" s="41" t="n"/>
      <c r="H544" s="41" t="n"/>
      <c r="I544" s="41" t="n"/>
    </row>
    <row r="545" ht="15.75" customHeight="1" s="60">
      <c r="A545" s="41" t="n"/>
      <c r="B545" s="41" t="n"/>
      <c r="C545" s="41" t="n"/>
      <c r="D545" s="41" t="n"/>
      <c r="E545" s="41" t="n"/>
      <c r="F545" s="41" t="n"/>
      <c r="G545" s="41" t="n"/>
      <c r="H545" s="41" t="n"/>
      <c r="I545" s="41" t="n"/>
    </row>
    <row r="546" ht="15.75" customHeight="1" s="60">
      <c r="A546" s="41" t="n"/>
      <c r="B546" s="41" t="n"/>
      <c r="C546" s="41" t="n"/>
      <c r="D546" s="41" t="n"/>
      <c r="E546" s="41" t="n"/>
      <c r="F546" s="41" t="n"/>
      <c r="G546" s="41" t="n"/>
      <c r="H546" s="41" t="n"/>
      <c r="I546" s="41" t="n"/>
    </row>
    <row r="547" ht="15.75" customHeight="1" s="60">
      <c r="A547" s="41" t="n"/>
      <c r="B547" s="41" t="n"/>
      <c r="C547" s="41" t="n"/>
      <c r="D547" s="41" t="n"/>
      <c r="E547" s="41" t="n"/>
      <c r="F547" s="41" t="n"/>
      <c r="G547" s="41" t="n"/>
      <c r="H547" s="41" t="n"/>
      <c r="I547" s="41" t="n"/>
    </row>
    <row r="548" ht="15.75" customHeight="1" s="60">
      <c r="A548" s="41" t="n"/>
      <c r="B548" s="41" t="n"/>
      <c r="C548" s="41" t="n"/>
      <c r="D548" s="41" t="n"/>
      <c r="E548" s="41" t="n"/>
      <c r="F548" s="41" t="n"/>
      <c r="G548" s="41" t="n"/>
      <c r="H548" s="41" t="n"/>
      <c r="I548" s="41" t="n"/>
    </row>
    <row r="549" ht="15.75" customHeight="1" s="60">
      <c r="A549" s="41" t="n"/>
      <c r="B549" s="41" t="n"/>
      <c r="C549" s="41" t="n"/>
      <c r="D549" s="41" t="n"/>
      <c r="E549" s="41" t="n"/>
      <c r="F549" s="41" t="n"/>
      <c r="G549" s="41" t="n"/>
      <c r="H549" s="41" t="n"/>
      <c r="I549" s="41" t="n"/>
    </row>
    <row r="550" ht="15.75" customHeight="1" s="60">
      <c r="A550" s="41" t="n"/>
      <c r="B550" s="41" t="n"/>
      <c r="C550" s="41" t="n"/>
      <c r="D550" s="41" t="n"/>
      <c r="E550" s="41" t="n"/>
      <c r="F550" s="41" t="n"/>
      <c r="G550" s="41" t="n"/>
      <c r="H550" s="41" t="n"/>
      <c r="I550" s="41" t="n"/>
    </row>
    <row r="551" ht="15.75" customHeight="1" s="60">
      <c r="A551" s="41" t="n"/>
      <c r="B551" s="41" t="n"/>
      <c r="C551" s="41" t="n"/>
      <c r="D551" s="41" t="n"/>
      <c r="E551" s="41" t="n"/>
      <c r="F551" s="41" t="n"/>
      <c r="G551" s="41" t="n"/>
      <c r="H551" s="41" t="n"/>
      <c r="I551" s="41" t="n"/>
    </row>
    <row r="552" ht="15.75" customHeight="1" s="60">
      <c r="A552" s="41" t="n"/>
      <c r="B552" s="41" t="n"/>
      <c r="C552" s="41" t="n"/>
      <c r="D552" s="41" t="n"/>
      <c r="E552" s="41" t="n"/>
      <c r="F552" s="41" t="n"/>
      <c r="G552" s="41" t="n"/>
      <c r="H552" s="41" t="n"/>
      <c r="I552" s="41" t="n"/>
    </row>
    <row r="553" ht="15.75" customHeight="1" s="60">
      <c r="A553" s="41" t="n"/>
      <c r="B553" s="41" t="n"/>
      <c r="C553" s="41" t="n"/>
      <c r="D553" s="41" t="n"/>
      <c r="E553" s="41" t="n"/>
      <c r="F553" s="41" t="n"/>
      <c r="G553" s="41" t="n"/>
      <c r="H553" s="41" t="n"/>
      <c r="I553" s="41" t="n"/>
    </row>
    <row r="554" ht="15.75" customHeight="1" s="60">
      <c r="A554" s="41" t="n"/>
      <c r="B554" s="41" t="n"/>
      <c r="C554" s="41" t="n"/>
      <c r="D554" s="41" t="n"/>
      <c r="E554" s="41" t="n"/>
      <c r="F554" s="41" t="n"/>
      <c r="G554" s="41" t="n"/>
      <c r="H554" s="41" t="n"/>
      <c r="I554" s="41" t="n"/>
    </row>
    <row r="555" ht="15.75" customHeight="1" s="60">
      <c r="A555" s="41" t="n"/>
      <c r="B555" s="41" t="n"/>
      <c r="C555" s="41" t="n"/>
      <c r="D555" s="41" t="n"/>
      <c r="E555" s="41" t="n"/>
      <c r="F555" s="41" t="n"/>
      <c r="G555" s="41" t="n"/>
      <c r="H555" s="41" t="n"/>
      <c r="I555" s="41" t="n"/>
    </row>
    <row r="556" ht="15.75" customHeight="1" s="60">
      <c r="A556" s="41" t="n"/>
      <c r="B556" s="41" t="n"/>
      <c r="C556" s="41" t="n"/>
      <c r="D556" s="41" t="n"/>
      <c r="E556" s="41" t="n"/>
      <c r="F556" s="41" t="n"/>
      <c r="G556" s="41" t="n"/>
      <c r="H556" s="41" t="n"/>
      <c r="I556" s="41" t="n"/>
    </row>
    <row r="557" ht="15.75" customHeight="1" s="60">
      <c r="A557" s="41" t="n"/>
      <c r="B557" s="41" t="n"/>
      <c r="C557" s="41" t="n"/>
      <c r="D557" s="41" t="n"/>
      <c r="E557" s="41" t="n"/>
      <c r="F557" s="41" t="n"/>
      <c r="G557" s="41" t="n"/>
      <c r="H557" s="41" t="n"/>
      <c r="I557" s="41" t="n"/>
    </row>
    <row r="558" ht="15.75" customHeight="1" s="60">
      <c r="A558" s="41" t="n"/>
      <c r="B558" s="41" t="n"/>
      <c r="C558" s="41" t="n"/>
      <c r="D558" s="41" t="n"/>
      <c r="E558" s="41" t="n"/>
      <c r="F558" s="41" t="n"/>
      <c r="G558" s="41" t="n"/>
      <c r="H558" s="41" t="n"/>
      <c r="I558" s="41" t="n"/>
    </row>
    <row r="559" ht="15.75" customHeight="1" s="60">
      <c r="A559" s="41" t="n"/>
      <c r="B559" s="41" t="n"/>
      <c r="C559" s="41" t="n"/>
      <c r="D559" s="41" t="n"/>
      <c r="E559" s="41" t="n"/>
      <c r="F559" s="41" t="n"/>
      <c r="G559" s="41" t="n"/>
      <c r="H559" s="41" t="n"/>
      <c r="I559" s="41" t="n"/>
    </row>
    <row r="560" ht="15.75" customHeight="1" s="60">
      <c r="A560" s="41" t="n"/>
      <c r="B560" s="41" t="n"/>
      <c r="C560" s="41" t="n"/>
      <c r="D560" s="41" t="n"/>
      <c r="E560" s="41" t="n"/>
      <c r="F560" s="41" t="n"/>
      <c r="G560" s="41" t="n"/>
      <c r="H560" s="41" t="n"/>
      <c r="I560" s="41" t="n"/>
    </row>
    <row r="561" ht="15.75" customHeight="1" s="60">
      <c r="A561" s="41" t="n"/>
      <c r="B561" s="41" t="n"/>
      <c r="C561" s="41" t="n"/>
      <c r="D561" s="41" t="n"/>
      <c r="E561" s="41" t="n"/>
      <c r="F561" s="41" t="n"/>
      <c r="G561" s="41" t="n"/>
      <c r="H561" s="41" t="n"/>
      <c r="I561" s="41" t="n"/>
    </row>
    <row r="562" ht="15.75" customHeight="1" s="60">
      <c r="A562" s="41" t="n"/>
      <c r="B562" s="41" t="n"/>
      <c r="C562" s="41" t="n"/>
      <c r="D562" s="41" t="n"/>
      <c r="E562" s="41" t="n"/>
      <c r="F562" s="41" t="n"/>
      <c r="G562" s="41" t="n"/>
      <c r="H562" s="41" t="n"/>
      <c r="I562" s="41" t="n"/>
    </row>
    <row r="563" ht="15.75" customHeight="1" s="60">
      <c r="A563" s="41" t="n"/>
      <c r="B563" s="41" t="n"/>
      <c r="C563" s="41" t="n"/>
      <c r="D563" s="41" t="n"/>
      <c r="E563" s="41" t="n"/>
      <c r="F563" s="41" t="n"/>
      <c r="G563" s="41" t="n"/>
      <c r="H563" s="41" t="n"/>
      <c r="I563" s="41" t="n"/>
    </row>
    <row r="564" ht="15.75" customHeight="1" s="60">
      <c r="A564" s="41" t="n"/>
      <c r="B564" s="41" t="n"/>
      <c r="C564" s="41" t="n"/>
      <c r="D564" s="41" t="n"/>
      <c r="E564" s="41" t="n"/>
      <c r="F564" s="41" t="n"/>
      <c r="G564" s="41" t="n"/>
      <c r="H564" s="41" t="n"/>
      <c r="I564" s="41" t="n"/>
    </row>
    <row r="565" ht="15.75" customHeight="1" s="60">
      <c r="A565" s="41" t="n"/>
      <c r="B565" s="41" t="n"/>
      <c r="C565" s="41" t="n"/>
      <c r="D565" s="41" t="n"/>
      <c r="E565" s="41" t="n"/>
      <c r="F565" s="41" t="n"/>
      <c r="G565" s="41" t="n"/>
      <c r="H565" s="41" t="n"/>
      <c r="I565" s="41" t="n"/>
    </row>
    <row r="566" ht="15.75" customHeight="1" s="60">
      <c r="A566" s="41" t="n"/>
      <c r="B566" s="41" t="n"/>
      <c r="C566" s="41" t="n"/>
      <c r="D566" s="41" t="n"/>
      <c r="E566" s="41" t="n"/>
      <c r="F566" s="41" t="n"/>
      <c r="G566" s="41" t="n"/>
      <c r="H566" s="41" t="n"/>
      <c r="I566" s="41" t="n"/>
    </row>
    <row r="567" ht="15.75" customHeight="1" s="60">
      <c r="A567" s="41" t="n"/>
      <c r="B567" s="41" t="n"/>
      <c r="C567" s="41" t="n"/>
      <c r="D567" s="41" t="n"/>
      <c r="E567" s="41" t="n"/>
      <c r="F567" s="41" t="n"/>
      <c r="G567" s="41" t="n"/>
      <c r="H567" s="41" t="n"/>
      <c r="I567" s="41" t="n"/>
    </row>
    <row r="568" ht="15.75" customHeight="1" s="60">
      <c r="A568" s="41" t="n"/>
      <c r="B568" s="41" t="n"/>
      <c r="C568" s="41" t="n"/>
      <c r="D568" s="41" t="n"/>
      <c r="E568" s="41" t="n"/>
      <c r="F568" s="41" t="n"/>
      <c r="G568" s="41" t="n"/>
      <c r="H568" s="41" t="n"/>
      <c r="I568" s="41" t="n"/>
    </row>
    <row r="569" ht="15.75" customHeight="1" s="60">
      <c r="A569" s="41" t="n"/>
      <c r="B569" s="41" t="n"/>
      <c r="C569" s="41" t="n"/>
      <c r="D569" s="41" t="n"/>
      <c r="E569" s="41" t="n"/>
      <c r="F569" s="41" t="n"/>
      <c r="G569" s="41" t="n"/>
      <c r="H569" s="41" t="n"/>
      <c r="I569" s="41" t="n"/>
    </row>
    <row r="570" ht="15.75" customHeight="1" s="60">
      <c r="A570" s="41" t="n"/>
      <c r="B570" s="41" t="n"/>
      <c r="C570" s="41" t="n"/>
      <c r="D570" s="41" t="n"/>
      <c r="E570" s="41" t="n"/>
      <c r="F570" s="41" t="n"/>
      <c r="G570" s="41" t="n"/>
      <c r="H570" s="41" t="n"/>
      <c r="I570" s="41" t="n"/>
    </row>
    <row r="571" ht="15.75" customHeight="1" s="60">
      <c r="A571" s="41" t="n"/>
      <c r="B571" s="41" t="n"/>
      <c r="C571" s="41" t="n"/>
      <c r="D571" s="41" t="n"/>
      <c r="E571" s="41" t="n"/>
      <c r="F571" s="41" t="n"/>
      <c r="G571" s="41" t="n"/>
      <c r="H571" s="41" t="n"/>
      <c r="I571" s="41" t="n"/>
    </row>
    <row r="572" ht="15.75" customHeight="1" s="60">
      <c r="A572" s="41" t="n"/>
      <c r="B572" s="41" t="n"/>
      <c r="C572" s="41" t="n"/>
      <c r="D572" s="41" t="n"/>
      <c r="E572" s="41" t="n"/>
      <c r="F572" s="41" t="n"/>
      <c r="G572" s="41" t="n"/>
      <c r="H572" s="41" t="n"/>
      <c r="I572" s="41" t="n"/>
    </row>
    <row r="573" ht="15.75" customHeight="1" s="60">
      <c r="A573" s="41" t="n"/>
      <c r="B573" s="41" t="n"/>
      <c r="C573" s="41" t="n"/>
      <c r="D573" s="41" t="n"/>
      <c r="E573" s="41" t="n"/>
      <c r="F573" s="41" t="n"/>
      <c r="G573" s="41" t="n"/>
      <c r="H573" s="41" t="n"/>
      <c r="I573" s="41" t="n"/>
    </row>
    <row r="574" ht="15.75" customHeight="1" s="60">
      <c r="A574" s="41" t="n"/>
      <c r="B574" s="41" t="n"/>
      <c r="C574" s="41" t="n"/>
      <c r="D574" s="41" t="n"/>
      <c r="E574" s="41" t="n"/>
      <c r="F574" s="41" t="n"/>
      <c r="G574" s="41" t="n"/>
      <c r="H574" s="41" t="n"/>
      <c r="I574" s="41" t="n"/>
    </row>
    <row r="575" ht="15.75" customHeight="1" s="60">
      <c r="A575" s="41" t="n"/>
      <c r="B575" s="41" t="n"/>
      <c r="C575" s="41" t="n"/>
      <c r="D575" s="41" t="n"/>
      <c r="E575" s="41" t="n"/>
      <c r="F575" s="41" t="n"/>
      <c r="G575" s="41" t="n"/>
      <c r="H575" s="41" t="n"/>
      <c r="I575" s="41" t="n"/>
    </row>
    <row r="576" ht="15.75" customHeight="1" s="60">
      <c r="A576" s="41" t="n"/>
      <c r="B576" s="41" t="n"/>
      <c r="C576" s="41" t="n"/>
      <c r="D576" s="41" t="n"/>
      <c r="E576" s="41" t="n"/>
      <c r="F576" s="41" t="n"/>
      <c r="G576" s="41" t="n"/>
      <c r="H576" s="41" t="n"/>
      <c r="I576" s="41" t="n"/>
    </row>
    <row r="577" ht="15.75" customHeight="1" s="60">
      <c r="A577" s="41" t="n"/>
      <c r="B577" s="41" t="n"/>
      <c r="C577" s="41" t="n"/>
      <c r="D577" s="41" t="n"/>
      <c r="E577" s="41" t="n"/>
      <c r="F577" s="41" t="n"/>
      <c r="G577" s="41" t="n"/>
      <c r="H577" s="41" t="n"/>
      <c r="I577" s="41" t="n"/>
    </row>
    <row r="578" ht="15.75" customHeight="1" s="60">
      <c r="A578" s="41" t="n"/>
      <c r="B578" s="41" t="n"/>
      <c r="C578" s="41" t="n"/>
      <c r="D578" s="41" t="n"/>
      <c r="E578" s="41" t="n"/>
      <c r="F578" s="41" t="n"/>
      <c r="G578" s="41" t="n"/>
      <c r="H578" s="41" t="n"/>
      <c r="I578" s="41" t="n"/>
    </row>
    <row r="579" ht="15.75" customHeight="1" s="60">
      <c r="A579" s="41" t="n"/>
      <c r="B579" s="41" t="n"/>
      <c r="C579" s="41" t="n"/>
      <c r="D579" s="41" t="n"/>
      <c r="E579" s="41" t="n"/>
      <c r="F579" s="41" t="n"/>
      <c r="G579" s="41" t="n"/>
      <c r="H579" s="41" t="n"/>
      <c r="I579" s="41" t="n"/>
    </row>
    <row r="580" ht="15.75" customHeight="1" s="60">
      <c r="A580" s="41" t="n"/>
      <c r="B580" s="41" t="n"/>
      <c r="C580" s="41" t="n"/>
      <c r="D580" s="41" t="n"/>
      <c r="E580" s="41" t="n"/>
      <c r="F580" s="41" t="n"/>
      <c r="G580" s="41" t="n"/>
      <c r="H580" s="41" t="n"/>
      <c r="I580" s="41" t="n"/>
    </row>
    <row r="581" ht="15.75" customHeight="1" s="60">
      <c r="A581" s="41" t="n"/>
      <c r="B581" s="41" t="n"/>
      <c r="C581" s="41" t="n"/>
      <c r="D581" s="41" t="n"/>
      <c r="E581" s="41" t="n"/>
      <c r="F581" s="41" t="n"/>
      <c r="G581" s="41" t="n"/>
      <c r="H581" s="41" t="n"/>
      <c r="I581" s="41" t="n"/>
    </row>
    <row r="582" ht="15.75" customHeight="1" s="60">
      <c r="A582" s="41" t="n"/>
      <c r="B582" s="41" t="n"/>
      <c r="C582" s="41" t="n"/>
      <c r="D582" s="41" t="n"/>
      <c r="E582" s="41" t="n"/>
      <c r="F582" s="41" t="n"/>
      <c r="G582" s="41" t="n"/>
      <c r="H582" s="41" t="n"/>
      <c r="I582" s="41" t="n"/>
    </row>
    <row r="583" ht="15.75" customHeight="1" s="60">
      <c r="A583" s="41" t="n"/>
      <c r="B583" s="41" t="n"/>
      <c r="C583" s="41" t="n"/>
      <c r="D583" s="41" t="n"/>
      <c r="E583" s="41" t="n"/>
      <c r="F583" s="41" t="n"/>
      <c r="G583" s="41" t="n"/>
      <c r="H583" s="41" t="n"/>
      <c r="I583" s="41" t="n"/>
    </row>
    <row r="584" ht="15.75" customHeight="1" s="60">
      <c r="A584" s="41" t="n"/>
      <c r="B584" s="41" t="n"/>
      <c r="C584" s="41" t="n"/>
      <c r="D584" s="41" t="n"/>
      <c r="E584" s="41" t="n"/>
      <c r="F584" s="41" t="n"/>
      <c r="G584" s="41" t="n"/>
      <c r="H584" s="41" t="n"/>
      <c r="I584" s="41" t="n"/>
    </row>
    <row r="585" ht="15.75" customHeight="1" s="60">
      <c r="A585" s="41" t="n"/>
      <c r="B585" s="41" t="n"/>
      <c r="C585" s="41" t="n"/>
      <c r="D585" s="41" t="n"/>
      <c r="E585" s="41" t="n"/>
      <c r="F585" s="41" t="n"/>
      <c r="G585" s="41" t="n"/>
      <c r="H585" s="41" t="n"/>
      <c r="I585" s="41" t="n"/>
    </row>
    <row r="586" ht="15.75" customHeight="1" s="60">
      <c r="A586" s="41" t="n"/>
      <c r="B586" s="41" t="n"/>
      <c r="C586" s="41" t="n"/>
      <c r="D586" s="41" t="n"/>
      <c r="E586" s="41" t="n"/>
      <c r="F586" s="41" t="n"/>
      <c r="G586" s="41" t="n"/>
      <c r="H586" s="41" t="n"/>
      <c r="I586" s="41" t="n"/>
    </row>
    <row r="587" ht="15.75" customHeight="1" s="60">
      <c r="A587" s="41" t="n"/>
      <c r="B587" s="41" t="n"/>
      <c r="C587" s="41" t="n"/>
      <c r="D587" s="41" t="n"/>
      <c r="E587" s="41" t="n"/>
      <c r="F587" s="41" t="n"/>
      <c r="G587" s="41" t="n"/>
      <c r="H587" s="41" t="n"/>
      <c r="I587" s="41" t="n"/>
    </row>
    <row r="588" ht="15.75" customHeight="1" s="60">
      <c r="A588" s="41" t="n"/>
      <c r="B588" s="41" t="n"/>
      <c r="C588" s="41" t="n"/>
      <c r="D588" s="41" t="n"/>
      <c r="E588" s="41" t="n"/>
      <c r="F588" s="41" t="n"/>
      <c r="G588" s="41" t="n"/>
      <c r="H588" s="41" t="n"/>
      <c r="I588" s="41" t="n"/>
    </row>
    <row r="589" ht="15.75" customHeight="1" s="60">
      <c r="A589" s="41" t="n"/>
      <c r="B589" s="41" t="n"/>
      <c r="C589" s="41" t="n"/>
      <c r="D589" s="41" t="n"/>
      <c r="E589" s="41" t="n"/>
      <c r="F589" s="41" t="n"/>
      <c r="G589" s="41" t="n"/>
      <c r="H589" s="41" t="n"/>
      <c r="I589" s="41" t="n"/>
    </row>
    <row r="590" ht="15.75" customHeight="1" s="60">
      <c r="A590" s="41" t="n"/>
      <c r="B590" s="41" t="n"/>
      <c r="C590" s="41" t="n"/>
      <c r="D590" s="41" t="n"/>
      <c r="E590" s="41" t="n"/>
      <c r="F590" s="41" t="n"/>
      <c r="G590" s="41" t="n"/>
      <c r="H590" s="41" t="n"/>
      <c r="I590" s="41" t="n"/>
    </row>
    <row r="591" ht="15.75" customHeight="1" s="60">
      <c r="A591" s="41" t="n"/>
      <c r="B591" s="41" t="n"/>
      <c r="C591" s="41" t="n"/>
      <c r="D591" s="41" t="n"/>
      <c r="E591" s="41" t="n"/>
      <c r="F591" s="41" t="n"/>
      <c r="G591" s="41" t="n"/>
      <c r="H591" s="41" t="n"/>
      <c r="I591" s="41" t="n"/>
    </row>
    <row r="592" ht="15.75" customHeight="1" s="60">
      <c r="A592" s="41" t="n"/>
      <c r="B592" s="41" t="n"/>
      <c r="C592" s="41" t="n"/>
      <c r="D592" s="41" t="n"/>
      <c r="E592" s="41" t="n"/>
      <c r="F592" s="41" t="n"/>
      <c r="G592" s="41" t="n"/>
      <c r="H592" s="41" t="n"/>
      <c r="I592" s="41" t="n"/>
    </row>
    <row r="593" ht="15.75" customHeight="1" s="60">
      <c r="A593" s="41" t="n"/>
      <c r="B593" s="41" t="n"/>
      <c r="C593" s="41" t="n"/>
      <c r="D593" s="41" t="n"/>
      <c r="E593" s="41" t="n"/>
      <c r="F593" s="41" t="n"/>
      <c r="G593" s="41" t="n"/>
      <c r="H593" s="41" t="n"/>
      <c r="I593" s="41" t="n"/>
    </row>
    <row r="594" ht="15.75" customHeight="1" s="60">
      <c r="A594" s="41" t="n"/>
      <c r="B594" s="41" t="n"/>
      <c r="C594" s="41" t="n"/>
      <c r="D594" s="41" t="n"/>
      <c r="E594" s="41" t="n"/>
      <c r="F594" s="41" t="n"/>
      <c r="G594" s="41" t="n"/>
      <c r="H594" s="41" t="n"/>
      <c r="I594" s="41" t="n"/>
    </row>
    <row r="595" ht="15.75" customHeight="1" s="60">
      <c r="A595" s="41" t="n"/>
      <c r="B595" s="41" t="n"/>
      <c r="C595" s="41" t="n"/>
      <c r="D595" s="41" t="n"/>
      <c r="E595" s="41" t="n"/>
      <c r="F595" s="41" t="n"/>
      <c r="G595" s="41" t="n"/>
      <c r="H595" s="41" t="n"/>
      <c r="I595" s="41" t="n"/>
    </row>
    <row r="596" ht="15.75" customHeight="1" s="60">
      <c r="A596" s="41" t="n"/>
      <c r="B596" s="41" t="n"/>
      <c r="C596" s="41" t="n"/>
      <c r="D596" s="41" t="n"/>
      <c r="E596" s="41" t="n"/>
      <c r="F596" s="41" t="n"/>
      <c r="G596" s="41" t="n"/>
      <c r="H596" s="41" t="n"/>
      <c r="I596" s="41" t="n"/>
    </row>
    <row r="597" ht="15.75" customHeight="1" s="60">
      <c r="A597" s="41" t="n"/>
      <c r="B597" s="41" t="n"/>
      <c r="C597" s="41" t="n"/>
      <c r="D597" s="41" t="n"/>
      <c r="E597" s="41" t="n"/>
      <c r="F597" s="41" t="n"/>
      <c r="G597" s="41" t="n"/>
      <c r="H597" s="41" t="n"/>
      <c r="I597" s="41" t="n"/>
    </row>
    <row r="598" ht="15.75" customHeight="1" s="60">
      <c r="A598" s="41" t="n"/>
      <c r="B598" s="41" t="n"/>
      <c r="C598" s="41" t="n"/>
      <c r="D598" s="41" t="n"/>
      <c r="E598" s="41" t="n"/>
      <c r="F598" s="41" t="n"/>
      <c r="G598" s="41" t="n"/>
      <c r="H598" s="41" t="n"/>
      <c r="I598" s="41" t="n"/>
    </row>
    <row r="599" ht="15.75" customHeight="1" s="60">
      <c r="A599" s="41" t="n"/>
      <c r="B599" s="41" t="n"/>
      <c r="C599" s="41" t="n"/>
      <c r="D599" s="41" t="n"/>
      <c r="E599" s="41" t="n"/>
      <c r="F599" s="41" t="n"/>
      <c r="G599" s="41" t="n"/>
      <c r="H599" s="41" t="n"/>
      <c r="I599" s="41" t="n"/>
    </row>
    <row r="600" ht="15.75" customHeight="1" s="60">
      <c r="A600" s="41" t="n"/>
      <c r="B600" s="41" t="n"/>
      <c r="C600" s="41" t="n"/>
      <c r="D600" s="41" t="n"/>
      <c r="E600" s="41" t="n"/>
      <c r="F600" s="41" t="n"/>
      <c r="G600" s="41" t="n"/>
      <c r="H600" s="41" t="n"/>
      <c r="I600" s="41" t="n"/>
    </row>
    <row r="601" ht="15.75" customHeight="1" s="60">
      <c r="A601" s="41" t="n"/>
      <c r="B601" s="41" t="n"/>
      <c r="C601" s="41" t="n"/>
      <c r="D601" s="41" t="n"/>
      <c r="E601" s="41" t="n"/>
      <c r="F601" s="41" t="n"/>
      <c r="G601" s="41" t="n"/>
      <c r="H601" s="41" t="n"/>
      <c r="I601" s="41" t="n"/>
    </row>
    <row r="602" ht="15.75" customHeight="1" s="60">
      <c r="A602" s="41" t="n"/>
      <c r="B602" s="41" t="n"/>
      <c r="C602" s="41" t="n"/>
      <c r="D602" s="41" t="n"/>
      <c r="E602" s="41" t="n"/>
      <c r="F602" s="41" t="n"/>
      <c r="G602" s="41" t="n"/>
      <c r="H602" s="41" t="n"/>
      <c r="I602" s="41" t="n"/>
    </row>
    <row r="603" ht="15.75" customHeight="1" s="60">
      <c r="A603" s="41" t="n"/>
      <c r="B603" s="41" t="n"/>
      <c r="C603" s="41" t="n"/>
      <c r="D603" s="41" t="n"/>
      <c r="E603" s="41" t="n"/>
      <c r="F603" s="41" t="n"/>
      <c r="G603" s="41" t="n"/>
      <c r="H603" s="41" t="n"/>
      <c r="I603" s="41" t="n"/>
    </row>
    <row r="604" ht="15.75" customHeight="1" s="60">
      <c r="A604" s="41" t="n"/>
      <c r="B604" s="41" t="n"/>
      <c r="C604" s="41" t="n"/>
      <c r="D604" s="41" t="n"/>
      <c r="E604" s="41" t="n"/>
      <c r="F604" s="41" t="n"/>
      <c r="G604" s="41" t="n"/>
      <c r="H604" s="41" t="n"/>
      <c r="I604" s="41" t="n"/>
    </row>
    <row r="605" ht="15.75" customHeight="1" s="60">
      <c r="A605" s="41" t="n"/>
      <c r="B605" s="41" t="n"/>
      <c r="C605" s="41" t="n"/>
      <c r="D605" s="41" t="n"/>
      <c r="E605" s="41" t="n"/>
      <c r="F605" s="41" t="n"/>
      <c r="G605" s="41" t="n"/>
      <c r="H605" s="41" t="n"/>
      <c r="I605" s="41" t="n"/>
    </row>
    <row r="606" ht="15.75" customHeight="1" s="60">
      <c r="A606" s="41" t="n"/>
      <c r="B606" s="41" t="n"/>
      <c r="C606" s="41" t="n"/>
      <c r="D606" s="41" t="n"/>
      <c r="E606" s="41" t="n"/>
      <c r="F606" s="41" t="n"/>
      <c r="G606" s="41" t="n"/>
      <c r="H606" s="41" t="n"/>
      <c r="I606" s="41" t="n"/>
    </row>
    <row r="607" ht="15.75" customHeight="1" s="60">
      <c r="A607" s="41" t="n"/>
      <c r="B607" s="41" t="n"/>
      <c r="C607" s="41" t="n"/>
      <c r="D607" s="41" t="n"/>
      <c r="E607" s="41" t="n"/>
      <c r="F607" s="41" t="n"/>
      <c r="G607" s="41" t="n"/>
      <c r="H607" s="41" t="n"/>
      <c r="I607" s="41" t="n"/>
    </row>
    <row r="608" ht="15.75" customHeight="1" s="60">
      <c r="A608" s="41" t="n"/>
      <c r="B608" s="41" t="n"/>
      <c r="C608" s="41" t="n"/>
      <c r="D608" s="41" t="n"/>
      <c r="E608" s="41" t="n"/>
      <c r="F608" s="41" t="n"/>
      <c r="G608" s="41" t="n"/>
      <c r="H608" s="41" t="n"/>
      <c r="I608" s="41" t="n"/>
    </row>
    <row r="609" ht="15.75" customHeight="1" s="60">
      <c r="A609" s="41" t="n"/>
      <c r="B609" s="41" t="n"/>
      <c r="C609" s="41" t="n"/>
      <c r="D609" s="41" t="n"/>
      <c r="E609" s="41" t="n"/>
      <c r="F609" s="41" t="n"/>
      <c r="G609" s="41" t="n"/>
      <c r="H609" s="41" t="n"/>
      <c r="I609" s="41" t="n"/>
    </row>
    <row r="610" ht="15.75" customHeight="1" s="60">
      <c r="A610" s="41" t="n"/>
      <c r="B610" s="41" t="n"/>
      <c r="C610" s="41" t="n"/>
      <c r="D610" s="41" t="n"/>
      <c r="E610" s="41" t="n"/>
      <c r="F610" s="41" t="n"/>
      <c r="G610" s="41" t="n"/>
      <c r="H610" s="41" t="n"/>
      <c r="I610" s="41" t="n"/>
    </row>
    <row r="611" ht="15.75" customHeight="1" s="60">
      <c r="A611" s="41" t="n"/>
      <c r="B611" s="41" t="n"/>
      <c r="C611" s="41" t="n"/>
      <c r="D611" s="41" t="n"/>
      <c r="E611" s="41" t="n"/>
      <c r="F611" s="41" t="n"/>
      <c r="G611" s="41" t="n"/>
      <c r="H611" s="41" t="n"/>
      <c r="I611" s="41" t="n"/>
    </row>
    <row r="612" ht="15.75" customHeight="1" s="60">
      <c r="A612" s="41" t="n"/>
      <c r="B612" s="41" t="n"/>
      <c r="C612" s="41" t="n"/>
      <c r="D612" s="41" t="n"/>
      <c r="E612" s="41" t="n"/>
      <c r="F612" s="41" t="n"/>
      <c r="G612" s="41" t="n"/>
      <c r="H612" s="41" t="n"/>
      <c r="I612" s="41" t="n"/>
    </row>
    <row r="613" ht="15.75" customHeight="1" s="60">
      <c r="A613" s="41" t="n"/>
      <c r="B613" s="41" t="n"/>
      <c r="C613" s="41" t="n"/>
      <c r="D613" s="41" t="n"/>
      <c r="E613" s="41" t="n"/>
      <c r="F613" s="41" t="n"/>
      <c r="G613" s="41" t="n"/>
      <c r="H613" s="41" t="n"/>
      <c r="I613" s="41" t="n"/>
    </row>
    <row r="614" ht="15.75" customHeight="1" s="60">
      <c r="A614" s="41" t="n"/>
      <c r="B614" s="41" t="n"/>
      <c r="C614" s="41" t="n"/>
      <c r="D614" s="41" t="n"/>
      <c r="E614" s="41" t="n"/>
      <c r="F614" s="41" t="n"/>
      <c r="G614" s="41" t="n"/>
      <c r="H614" s="41" t="n"/>
      <c r="I614" s="41" t="n"/>
    </row>
    <row r="615" ht="15.75" customHeight="1" s="60">
      <c r="A615" s="41" t="n"/>
      <c r="B615" s="41" t="n"/>
      <c r="C615" s="41" t="n"/>
      <c r="D615" s="41" t="n"/>
      <c r="E615" s="41" t="n"/>
      <c r="F615" s="41" t="n"/>
      <c r="G615" s="41" t="n"/>
      <c r="H615" s="41" t="n"/>
      <c r="I615" s="41" t="n"/>
    </row>
    <row r="616" ht="15.75" customHeight="1" s="60">
      <c r="A616" s="41" t="n"/>
      <c r="B616" s="41" t="n"/>
      <c r="C616" s="41" t="n"/>
      <c r="D616" s="41" t="n"/>
      <c r="E616" s="41" t="n"/>
      <c r="F616" s="41" t="n"/>
      <c r="G616" s="41" t="n"/>
      <c r="H616" s="41" t="n"/>
      <c r="I616" s="41" t="n"/>
    </row>
    <row r="617" ht="15.75" customHeight="1" s="60">
      <c r="A617" s="41" t="n"/>
      <c r="B617" s="41" t="n"/>
      <c r="C617" s="41" t="n"/>
      <c r="D617" s="41" t="n"/>
      <c r="E617" s="41" t="n"/>
      <c r="F617" s="41" t="n"/>
      <c r="G617" s="41" t="n"/>
      <c r="H617" s="41" t="n"/>
      <c r="I617" s="41" t="n"/>
    </row>
    <row r="618" ht="15.75" customHeight="1" s="60">
      <c r="A618" s="41" t="n"/>
      <c r="B618" s="41" t="n"/>
      <c r="C618" s="41" t="n"/>
      <c r="D618" s="41" t="n"/>
      <c r="E618" s="41" t="n"/>
      <c r="F618" s="41" t="n"/>
      <c r="G618" s="41" t="n"/>
      <c r="H618" s="41" t="n"/>
      <c r="I618" s="41" t="n"/>
    </row>
    <row r="619" ht="15.75" customHeight="1" s="60">
      <c r="A619" s="41" t="n"/>
      <c r="B619" s="41" t="n"/>
      <c r="C619" s="41" t="n"/>
      <c r="D619" s="41" t="n"/>
      <c r="E619" s="41" t="n"/>
      <c r="F619" s="41" t="n"/>
      <c r="G619" s="41" t="n"/>
      <c r="H619" s="41" t="n"/>
      <c r="I619" s="41" t="n"/>
    </row>
    <row r="620" ht="15.75" customHeight="1" s="60">
      <c r="A620" s="41" t="n"/>
      <c r="B620" s="41" t="n"/>
      <c r="C620" s="41" t="n"/>
      <c r="D620" s="41" t="n"/>
      <c r="E620" s="41" t="n"/>
      <c r="F620" s="41" t="n"/>
      <c r="G620" s="41" t="n"/>
      <c r="H620" s="41" t="n"/>
      <c r="I620" s="41" t="n"/>
    </row>
    <row r="621" ht="15.75" customHeight="1" s="60">
      <c r="A621" s="41" t="n"/>
      <c r="B621" s="41" t="n"/>
      <c r="C621" s="41" t="n"/>
      <c r="D621" s="41" t="n"/>
      <c r="E621" s="41" t="n"/>
      <c r="F621" s="41" t="n"/>
      <c r="G621" s="41" t="n"/>
      <c r="H621" s="41" t="n"/>
      <c r="I621" s="41" t="n"/>
    </row>
    <row r="622" ht="15.75" customHeight="1" s="60">
      <c r="A622" s="41" t="n"/>
      <c r="B622" s="41" t="n"/>
      <c r="C622" s="41" t="n"/>
      <c r="D622" s="41" t="n"/>
      <c r="E622" s="41" t="n"/>
      <c r="F622" s="41" t="n"/>
      <c r="G622" s="41" t="n"/>
      <c r="H622" s="41" t="n"/>
      <c r="I622" s="41" t="n"/>
    </row>
    <row r="623" ht="15.75" customHeight="1" s="60">
      <c r="A623" s="41" t="n"/>
      <c r="B623" s="41" t="n"/>
      <c r="C623" s="41" t="n"/>
      <c r="D623" s="41" t="n"/>
      <c r="E623" s="41" t="n"/>
      <c r="F623" s="41" t="n"/>
      <c r="G623" s="41" t="n"/>
      <c r="H623" s="41" t="n"/>
      <c r="I623" s="41" t="n"/>
    </row>
    <row r="624" ht="15.75" customHeight="1" s="60">
      <c r="A624" s="41" t="n"/>
      <c r="B624" s="41" t="n"/>
      <c r="C624" s="41" t="n"/>
      <c r="D624" s="41" t="n"/>
      <c r="E624" s="41" t="n"/>
      <c r="F624" s="41" t="n"/>
      <c r="G624" s="41" t="n"/>
      <c r="H624" s="41" t="n"/>
      <c r="I624" s="41" t="n"/>
    </row>
    <row r="625" ht="15.75" customHeight="1" s="60">
      <c r="A625" s="41" t="n"/>
      <c r="B625" s="41" t="n"/>
      <c r="C625" s="41" t="n"/>
      <c r="D625" s="41" t="n"/>
      <c r="E625" s="41" t="n"/>
      <c r="F625" s="41" t="n"/>
      <c r="G625" s="41" t="n"/>
      <c r="H625" s="41" t="n"/>
      <c r="I625" s="41" t="n"/>
    </row>
    <row r="626" ht="15.75" customHeight="1" s="60">
      <c r="A626" s="41" t="n"/>
      <c r="B626" s="41" t="n"/>
      <c r="C626" s="41" t="n"/>
      <c r="D626" s="41" t="n"/>
      <c r="E626" s="41" t="n"/>
      <c r="F626" s="41" t="n"/>
      <c r="G626" s="41" t="n"/>
      <c r="H626" s="41" t="n"/>
      <c r="I626" s="41" t="n"/>
    </row>
    <row r="627" ht="15.75" customHeight="1" s="60">
      <c r="A627" s="41" t="n"/>
      <c r="B627" s="41" t="n"/>
      <c r="C627" s="41" t="n"/>
      <c r="D627" s="41" t="n"/>
      <c r="E627" s="41" t="n"/>
      <c r="F627" s="41" t="n"/>
      <c r="G627" s="41" t="n"/>
      <c r="H627" s="41" t="n"/>
      <c r="I627" s="41" t="n"/>
    </row>
    <row r="628" ht="15.75" customHeight="1" s="60">
      <c r="A628" s="41" t="n"/>
      <c r="B628" s="41" t="n"/>
      <c r="C628" s="41" t="n"/>
      <c r="D628" s="41" t="n"/>
      <c r="E628" s="41" t="n"/>
      <c r="F628" s="41" t="n"/>
      <c r="G628" s="41" t="n"/>
      <c r="H628" s="41" t="n"/>
      <c r="I628" s="41" t="n"/>
    </row>
    <row r="629" ht="15.75" customHeight="1" s="60">
      <c r="A629" s="41" t="n"/>
      <c r="B629" s="41" t="n"/>
      <c r="C629" s="41" t="n"/>
      <c r="D629" s="41" t="n"/>
      <c r="E629" s="41" t="n"/>
      <c r="F629" s="41" t="n"/>
      <c r="G629" s="41" t="n"/>
      <c r="H629" s="41" t="n"/>
      <c r="I629" s="41" t="n"/>
    </row>
    <row r="630" ht="15.75" customHeight="1" s="60">
      <c r="A630" s="41" t="n"/>
      <c r="B630" s="41" t="n"/>
      <c r="C630" s="41" t="n"/>
      <c r="D630" s="41" t="n"/>
      <c r="E630" s="41" t="n"/>
      <c r="F630" s="41" t="n"/>
      <c r="G630" s="41" t="n"/>
      <c r="H630" s="41" t="n"/>
      <c r="I630" s="41" t="n"/>
    </row>
    <row r="631" ht="15.75" customHeight="1" s="60">
      <c r="A631" s="41" t="n"/>
      <c r="B631" s="41" t="n"/>
      <c r="C631" s="41" t="n"/>
      <c r="D631" s="41" t="n"/>
      <c r="E631" s="41" t="n"/>
      <c r="F631" s="41" t="n"/>
      <c r="G631" s="41" t="n"/>
      <c r="H631" s="41" t="n"/>
      <c r="I631" s="41" t="n"/>
    </row>
    <row r="632" ht="15.75" customHeight="1" s="60">
      <c r="A632" s="41" t="n"/>
      <c r="B632" s="41" t="n"/>
      <c r="C632" s="41" t="n"/>
      <c r="D632" s="41" t="n"/>
      <c r="E632" s="41" t="n"/>
      <c r="F632" s="41" t="n"/>
      <c r="G632" s="41" t="n"/>
      <c r="H632" s="41" t="n"/>
      <c r="I632" s="41" t="n"/>
    </row>
    <row r="633" ht="15.75" customHeight="1" s="60">
      <c r="A633" s="41" t="n"/>
      <c r="B633" s="41" t="n"/>
      <c r="C633" s="41" t="n"/>
      <c r="D633" s="41" t="n"/>
      <c r="E633" s="41" t="n"/>
      <c r="F633" s="41" t="n"/>
      <c r="G633" s="41" t="n"/>
      <c r="H633" s="41" t="n"/>
      <c r="I633" s="41" t="n"/>
    </row>
    <row r="634" ht="15.75" customHeight="1" s="60">
      <c r="A634" s="41" t="n"/>
      <c r="B634" s="41" t="n"/>
      <c r="C634" s="41" t="n"/>
      <c r="D634" s="41" t="n"/>
      <c r="E634" s="41" t="n"/>
      <c r="F634" s="41" t="n"/>
      <c r="G634" s="41" t="n"/>
      <c r="H634" s="41" t="n"/>
      <c r="I634" s="41" t="n"/>
    </row>
    <row r="635" ht="15.75" customHeight="1" s="60">
      <c r="A635" s="41" t="n"/>
      <c r="B635" s="41" t="n"/>
      <c r="C635" s="41" t="n"/>
      <c r="D635" s="41" t="n"/>
      <c r="E635" s="41" t="n"/>
      <c r="F635" s="41" t="n"/>
      <c r="G635" s="41" t="n"/>
      <c r="H635" s="41" t="n"/>
      <c r="I635" s="41" t="n"/>
    </row>
    <row r="636" ht="15.75" customHeight="1" s="60">
      <c r="A636" s="41" t="n"/>
      <c r="B636" s="41" t="n"/>
      <c r="C636" s="41" t="n"/>
      <c r="D636" s="41" t="n"/>
      <c r="E636" s="41" t="n"/>
      <c r="F636" s="41" t="n"/>
      <c r="G636" s="41" t="n"/>
      <c r="H636" s="41" t="n"/>
      <c r="I636" s="41" t="n"/>
    </row>
    <row r="637" ht="15.75" customHeight="1" s="60">
      <c r="A637" s="41" t="n"/>
      <c r="B637" s="41" t="n"/>
      <c r="C637" s="41" t="n"/>
      <c r="D637" s="41" t="n"/>
      <c r="E637" s="41" t="n"/>
      <c r="F637" s="41" t="n"/>
      <c r="G637" s="41" t="n"/>
      <c r="H637" s="41" t="n"/>
      <c r="I637" s="41" t="n"/>
    </row>
    <row r="638" ht="15.75" customHeight="1" s="60">
      <c r="A638" s="41" t="n"/>
      <c r="B638" s="41" t="n"/>
      <c r="C638" s="41" t="n"/>
      <c r="D638" s="41" t="n"/>
      <c r="E638" s="41" t="n"/>
      <c r="F638" s="41" t="n"/>
      <c r="G638" s="41" t="n"/>
      <c r="H638" s="41" t="n"/>
      <c r="I638" s="41" t="n"/>
    </row>
    <row r="639" ht="15.75" customHeight="1" s="60">
      <c r="A639" s="41" t="n"/>
      <c r="B639" s="41" t="n"/>
      <c r="C639" s="41" t="n"/>
      <c r="D639" s="41" t="n"/>
      <c r="E639" s="41" t="n"/>
      <c r="F639" s="41" t="n"/>
      <c r="G639" s="41" t="n"/>
      <c r="H639" s="41" t="n"/>
      <c r="I639" s="41" t="n"/>
    </row>
    <row r="640" ht="15.75" customHeight="1" s="60">
      <c r="A640" s="41" t="n"/>
      <c r="B640" s="41" t="n"/>
      <c r="C640" s="41" t="n"/>
      <c r="D640" s="41" t="n"/>
      <c r="E640" s="41" t="n"/>
      <c r="F640" s="41" t="n"/>
      <c r="G640" s="41" t="n"/>
      <c r="H640" s="41" t="n"/>
      <c r="I640" s="41" t="n"/>
    </row>
    <row r="641" ht="15.75" customHeight="1" s="60">
      <c r="A641" s="41" t="n"/>
      <c r="B641" s="41" t="n"/>
      <c r="C641" s="41" t="n"/>
      <c r="D641" s="41" t="n"/>
      <c r="E641" s="41" t="n"/>
      <c r="F641" s="41" t="n"/>
      <c r="G641" s="41" t="n"/>
      <c r="H641" s="41" t="n"/>
      <c r="I641" s="41" t="n"/>
    </row>
    <row r="642" ht="15.75" customHeight="1" s="60">
      <c r="A642" s="41" t="n"/>
      <c r="B642" s="41" t="n"/>
      <c r="C642" s="41" t="n"/>
      <c r="D642" s="41" t="n"/>
      <c r="E642" s="41" t="n"/>
      <c r="F642" s="41" t="n"/>
      <c r="G642" s="41" t="n"/>
      <c r="H642" s="41" t="n"/>
      <c r="I642" s="41" t="n"/>
    </row>
    <row r="643" ht="15.75" customHeight="1" s="60">
      <c r="A643" s="41" t="n"/>
      <c r="B643" s="41" t="n"/>
      <c r="C643" s="41" t="n"/>
      <c r="D643" s="41" t="n"/>
      <c r="E643" s="41" t="n"/>
      <c r="F643" s="41" t="n"/>
      <c r="G643" s="41" t="n"/>
      <c r="H643" s="41" t="n"/>
      <c r="I643" s="41" t="n"/>
    </row>
    <row r="644" ht="15.75" customHeight="1" s="60">
      <c r="A644" s="41" t="n"/>
      <c r="B644" s="41" t="n"/>
      <c r="C644" s="41" t="n"/>
      <c r="D644" s="41" t="n"/>
      <c r="E644" s="41" t="n"/>
      <c r="F644" s="41" t="n"/>
      <c r="G644" s="41" t="n"/>
      <c r="H644" s="41" t="n"/>
      <c r="I644" s="41" t="n"/>
    </row>
    <row r="645" ht="15.75" customHeight="1" s="60">
      <c r="A645" s="41" t="n"/>
      <c r="B645" s="41" t="n"/>
      <c r="C645" s="41" t="n"/>
      <c r="D645" s="41" t="n"/>
      <c r="E645" s="41" t="n"/>
      <c r="F645" s="41" t="n"/>
      <c r="G645" s="41" t="n"/>
      <c r="H645" s="41" t="n"/>
      <c r="I645" s="41" t="n"/>
    </row>
    <row r="646" ht="15.75" customHeight="1" s="60">
      <c r="A646" s="41" t="n"/>
      <c r="B646" s="41" t="n"/>
      <c r="C646" s="41" t="n"/>
      <c r="D646" s="41" t="n"/>
      <c r="E646" s="41" t="n"/>
      <c r="F646" s="41" t="n"/>
      <c r="G646" s="41" t="n"/>
      <c r="H646" s="41" t="n"/>
      <c r="I646" s="41" t="n"/>
    </row>
    <row r="647" ht="15.75" customHeight="1" s="60">
      <c r="A647" s="41" t="n"/>
      <c r="B647" s="41" t="n"/>
      <c r="C647" s="41" t="n"/>
      <c r="D647" s="41" t="n"/>
      <c r="E647" s="41" t="n"/>
      <c r="F647" s="41" t="n"/>
      <c r="G647" s="41" t="n"/>
      <c r="H647" s="41" t="n"/>
      <c r="I647" s="41" t="n"/>
    </row>
    <row r="648" ht="15.75" customHeight="1" s="60">
      <c r="A648" s="41" t="n"/>
      <c r="B648" s="41" t="n"/>
      <c r="C648" s="41" t="n"/>
      <c r="D648" s="41" t="n"/>
      <c r="E648" s="41" t="n"/>
      <c r="F648" s="41" t="n"/>
      <c r="G648" s="41" t="n"/>
      <c r="H648" s="41" t="n"/>
      <c r="I648" s="41" t="n"/>
    </row>
    <row r="649" ht="15.75" customHeight="1" s="60">
      <c r="A649" s="41" t="n"/>
      <c r="B649" s="41" t="n"/>
      <c r="C649" s="41" t="n"/>
      <c r="D649" s="41" t="n"/>
      <c r="E649" s="41" t="n"/>
      <c r="F649" s="41" t="n"/>
      <c r="G649" s="41" t="n"/>
      <c r="H649" s="41" t="n"/>
      <c r="I649" s="41" t="n"/>
    </row>
    <row r="650" ht="15.75" customHeight="1" s="60">
      <c r="A650" s="41" t="n"/>
      <c r="B650" s="41" t="n"/>
      <c r="C650" s="41" t="n"/>
      <c r="D650" s="41" t="n"/>
      <c r="E650" s="41" t="n"/>
      <c r="F650" s="41" t="n"/>
      <c r="G650" s="41" t="n"/>
      <c r="H650" s="41" t="n"/>
      <c r="I650" s="41" t="n"/>
    </row>
    <row r="651" ht="15.75" customHeight="1" s="60">
      <c r="A651" s="41" t="n"/>
      <c r="B651" s="41" t="n"/>
      <c r="C651" s="41" t="n"/>
      <c r="D651" s="41" t="n"/>
      <c r="E651" s="41" t="n"/>
      <c r="F651" s="41" t="n"/>
      <c r="G651" s="41" t="n"/>
      <c r="H651" s="41" t="n"/>
      <c r="I651" s="41" t="n"/>
    </row>
    <row r="652" ht="15.75" customHeight="1" s="60">
      <c r="A652" s="41" t="n"/>
      <c r="B652" s="41" t="n"/>
      <c r="C652" s="41" t="n"/>
      <c r="D652" s="41" t="n"/>
      <c r="E652" s="41" t="n"/>
      <c r="F652" s="41" t="n"/>
      <c r="G652" s="41" t="n"/>
      <c r="H652" s="41" t="n"/>
      <c r="I652" s="41" t="n"/>
    </row>
    <row r="653" ht="15.75" customHeight="1" s="60">
      <c r="A653" s="41" t="n"/>
      <c r="B653" s="41" t="n"/>
      <c r="C653" s="41" t="n"/>
      <c r="D653" s="41" t="n"/>
      <c r="E653" s="41" t="n"/>
      <c r="F653" s="41" t="n"/>
      <c r="G653" s="41" t="n"/>
      <c r="H653" s="41" t="n"/>
      <c r="I653" s="41" t="n"/>
    </row>
    <row r="654" ht="15.75" customHeight="1" s="60">
      <c r="A654" s="41" t="n"/>
      <c r="B654" s="41" t="n"/>
      <c r="C654" s="41" t="n"/>
      <c r="D654" s="41" t="n"/>
      <c r="E654" s="41" t="n"/>
      <c r="F654" s="41" t="n"/>
      <c r="G654" s="41" t="n"/>
      <c r="H654" s="41" t="n"/>
      <c r="I654" s="41" t="n"/>
    </row>
    <row r="655" ht="15.75" customHeight="1" s="60">
      <c r="A655" s="41" t="n"/>
      <c r="B655" s="41" t="n"/>
      <c r="C655" s="41" t="n"/>
      <c r="D655" s="41" t="n"/>
      <c r="E655" s="41" t="n"/>
      <c r="F655" s="41" t="n"/>
      <c r="G655" s="41" t="n"/>
      <c r="H655" s="41" t="n"/>
      <c r="I655" s="41" t="n"/>
    </row>
    <row r="656" ht="15.75" customHeight="1" s="60">
      <c r="A656" s="41" t="n"/>
      <c r="B656" s="41" t="n"/>
      <c r="C656" s="41" t="n"/>
      <c r="D656" s="41" t="n"/>
      <c r="E656" s="41" t="n"/>
      <c r="F656" s="41" t="n"/>
      <c r="G656" s="41" t="n"/>
      <c r="H656" s="41" t="n"/>
      <c r="I656" s="41" t="n"/>
    </row>
    <row r="657" ht="15.75" customHeight="1" s="60">
      <c r="A657" s="41" t="n"/>
      <c r="B657" s="41" t="n"/>
      <c r="C657" s="41" t="n"/>
      <c r="D657" s="41" t="n"/>
      <c r="E657" s="41" t="n"/>
      <c r="F657" s="41" t="n"/>
      <c r="G657" s="41" t="n"/>
      <c r="H657" s="41" t="n"/>
      <c r="I657" s="41" t="n"/>
    </row>
    <row r="658" ht="15.75" customHeight="1" s="60">
      <c r="A658" s="41" t="n"/>
      <c r="B658" s="41" t="n"/>
      <c r="C658" s="41" t="n"/>
      <c r="D658" s="41" t="n"/>
      <c r="E658" s="41" t="n"/>
      <c r="F658" s="41" t="n"/>
      <c r="G658" s="41" t="n"/>
      <c r="H658" s="41" t="n"/>
      <c r="I658" s="41" t="n"/>
    </row>
    <row r="659" ht="15.75" customHeight="1" s="60">
      <c r="A659" s="41" t="n"/>
      <c r="B659" s="41" t="n"/>
      <c r="C659" s="41" t="n"/>
      <c r="D659" s="41" t="n"/>
      <c r="E659" s="41" t="n"/>
      <c r="F659" s="41" t="n"/>
      <c r="G659" s="41" t="n"/>
      <c r="H659" s="41" t="n"/>
      <c r="I659" s="41" t="n"/>
    </row>
    <row r="660" ht="15.75" customHeight="1" s="60">
      <c r="A660" s="41" t="n"/>
      <c r="B660" s="41" t="n"/>
      <c r="C660" s="41" t="n"/>
      <c r="D660" s="41" t="n"/>
      <c r="E660" s="41" t="n"/>
      <c r="F660" s="41" t="n"/>
      <c r="G660" s="41" t="n"/>
      <c r="H660" s="41" t="n"/>
      <c r="I660" s="41" t="n"/>
    </row>
    <row r="661" ht="15.75" customHeight="1" s="60">
      <c r="A661" s="41" t="n"/>
      <c r="B661" s="41" t="n"/>
      <c r="C661" s="41" t="n"/>
      <c r="D661" s="41" t="n"/>
      <c r="E661" s="41" t="n"/>
      <c r="F661" s="41" t="n"/>
      <c r="G661" s="41" t="n"/>
      <c r="H661" s="41" t="n"/>
      <c r="I661" s="41" t="n"/>
    </row>
    <row r="662" ht="15.75" customHeight="1" s="60">
      <c r="A662" s="41" t="n"/>
      <c r="B662" s="41" t="n"/>
      <c r="C662" s="41" t="n"/>
      <c r="D662" s="41" t="n"/>
      <c r="E662" s="41" t="n"/>
      <c r="F662" s="41" t="n"/>
      <c r="G662" s="41" t="n"/>
      <c r="H662" s="41" t="n"/>
      <c r="I662" s="41" t="n"/>
    </row>
    <row r="663" ht="15.75" customHeight="1" s="60">
      <c r="A663" s="41" t="n"/>
      <c r="B663" s="41" t="n"/>
      <c r="C663" s="41" t="n"/>
      <c r="D663" s="41" t="n"/>
      <c r="E663" s="41" t="n"/>
      <c r="F663" s="41" t="n"/>
      <c r="G663" s="41" t="n"/>
      <c r="H663" s="41" t="n"/>
      <c r="I663" s="41" t="n"/>
    </row>
    <row r="664" ht="15.75" customHeight="1" s="60">
      <c r="A664" s="41" t="n"/>
      <c r="B664" s="41" t="n"/>
      <c r="C664" s="41" t="n"/>
      <c r="D664" s="41" t="n"/>
      <c r="E664" s="41" t="n"/>
      <c r="F664" s="41" t="n"/>
      <c r="G664" s="41" t="n"/>
      <c r="H664" s="41" t="n"/>
      <c r="I664" s="41" t="n"/>
    </row>
    <row r="665" ht="15.75" customHeight="1" s="60">
      <c r="A665" s="41" t="n"/>
      <c r="B665" s="41" t="n"/>
      <c r="C665" s="41" t="n"/>
      <c r="D665" s="41" t="n"/>
      <c r="E665" s="41" t="n"/>
      <c r="F665" s="41" t="n"/>
      <c r="G665" s="41" t="n"/>
      <c r="H665" s="41" t="n"/>
      <c r="I665" s="41" t="n"/>
    </row>
    <row r="666" ht="15.75" customHeight="1" s="60">
      <c r="A666" s="41" t="n"/>
      <c r="B666" s="41" t="n"/>
      <c r="C666" s="41" t="n"/>
      <c r="D666" s="41" t="n"/>
      <c r="E666" s="41" t="n"/>
      <c r="F666" s="41" t="n"/>
      <c r="G666" s="41" t="n"/>
      <c r="H666" s="41" t="n"/>
      <c r="I666" s="41" t="n"/>
    </row>
    <row r="667" ht="15.75" customHeight="1" s="60">
      <c r="A667" s="41" t="n"/>
      <c r="B667" s="41" t="n"/>
      <c r="C667" s="41" t="n"/>
      <c r="D667" s="41" t="n"/>
      <c r="E667" s="41" t="n"/>
      <c r="F667" s="41" t="n"/>
      <c r="G667" s="41" t="n"/>
      <c r="H667" s="41" t="n"/>
      <c r="I667" s="41" t="n"/>
    </row>
    <row r="668" ht="15.75" customHeight="1" s="60">
      <c r="A668" s="41" t="n"/>
      <c r="B668" s="41" t="n"/>
      <c r="C668" s="41" t="n"/>
      <c r="D668" s="41" t="n"/>
      <c r="E668" s="41" t="n"/>
      <c r="F668" s="41" t="n"/>
      <c r="G668" s="41" t="n"/>
      <c r="H668" s="41" t="n"/>
      <c r="I668" s="41" t="n"/>
    </row>
    <row r="669" ht="15.75" customHeight="1" s="60">
      <c r="A669" s="41" t="n"/>
      <c r="B669" s="41" t="n"/>
      <c r="C669" s="41" t="n"/>
      <c r="D669" s="41" t="n"/>
      <c r="E669" s="41" t="n"/>
      <c r="F669" s="41" t="n"/>
      <c r="G669" s="41" t="n"/>
      <c r="H669" s="41" t="n"/>
      <c r="I669" s="41" t="n"/>
    </row>
    <row r="670" ht="15.75" customHeight="1" s="60">
      <c r="A670" s="41" t="n"/>
      <c r="B670" s="41" t="n"/>
      <c r="C670" s="41" t="n"/>
      <c r="D670" s="41" t="n"/>
      <c r="E670" s="41" t="n"/>
      <c r="F670" s="41" t="n"/>
      <c r="G670" s="41" t="n"/>
      <c r="H670" s="41" t="n"/>
      <c r="I670" s="41" t="n"/>
    </row>
    <row r="671" ht="15.75" customHeight="1" s="60">
      <c r="A671" s="41" t="n"/>
      <c r="B671" s="41" t="n"/>
      <c r="C671" s="41" t="n"/>
      <c r="D671" s="41" t="n"/>
      <c r="E671" s="41" t="n"/>
      <c r="F671" s="41" t="n"/>
      <c r="G671" s="41" t="n"/>
      <c r="H671" s="41" t="n"/>
      <c r="I671" s="41" t="n"/>
    </row>
    <row r="672" ht="15.75" customHeight="1" s="60">
      <c r="A672" s="41" t="n"/>
      <c r="B672" s="41" t="n"/>
      <c r="C672" s="41" t="n"/>
      <c r="D672" s="41" t="n"/>
      <c r="E672" s="41" t="n"/>
      <c r="F672" s="41" t="n"/>
      <c r="G672" s="41" t="n"/>
      <c r="H672" s="41" t="n"/>
      <c r="I672" s="41" t="n"/>
    </row>
    <row r="673" ht="15.75" customHeight="1" s="60">
      <c r="A673" s="41" t="n"/>
      <c r="B673" s="41" t="n"/>
      <c r="C673" s="41" t="n"/>
      <c r="D673" s="41" t="n"/>
      <c r="E673" s="41" t="n"/>
      <c r="F673" s="41" t="n"/>
      <c r="G673" s="41" t="n"/>
      <c r="H673" s="41" t="n"/>
      <c r="I673" s="41" t="n"/>
    </row>
    <row r="674" ht="15.75" customHeight="1" s="60">
      <c r="A674" s="41" t="n"/>
      <c r="B674" s="41" t="n"/>
      <c r="C674" s="41" t="n"/>
      <c r="D674" s="41" t="n"/>
      <c r="E674" s="41" t="n"/>
      <c r="F674" s="41" t="n"/>
      <c r="G674" s="41" t="n"/>
      <c r="H674" s="41" t="n"/>
      <c r="I674" s="41" t="n"/>
    </row>
    <row r="675" ht="15.75" customHeight="1" s="60">
      <c r="A675" s="41" t="n"/>
      <c r="B675" s="41" t="n"/>
      <c r="C675" s="41" t="n"/>
      <c r="D675" s="41" t="n"/>
      <c r="E675" s="41" t="n"/>
      <c r="F675" s="41" t="n"/>
      <c r="G675" s="41" t="n"/>
      <c r="H675" s="41" t="n"/>
      <c r="I675" s="41" t="n"/>
    </row>
    <row r="676" ht="15.75" customHeight="1" s="60">
      <c r="A676" s="41" t="n"/>
      <c r="B676" s="41" t="n"/>
      <c r="C676" s="41" t="n"/>
      <c r="D676" s="41" t="n"/>
      <c r="E676" s="41" t="n"/>
      <c r="F676" s="41" t="n"/>
      <c r="G676" s="41" t="n"/>
      <c r="H676" s="41" t="n"/>
      <c r="I676" s="41" t="n"/>
    </row>
    <row r="677" ht="15.75" customHeight="1" s="60">
      <c r="A677" s="41" t="n"/>
      <c r="B677" s="41" t="n"/>
      <c r="C677" s="41" t="n"/>
      <c r="D677" s="41" t="n"/>
      <c r="E677" s="41" t="n"/>
      <c r="F677" s="41" t="n"/>
      <c r="G677" s="41" t="n"/>
      <c r="H677" s="41" t="n"/>
      <c r="I677" s="41" t="n"/>
    </row>
    <row r="678" ht="15.75" customHeight="1" s="60">
      <c r="A678" s="41" t="n"/>
      <c r="B678" s="41" t="n"/>
      <c r="C678" s="41" t="n"/>
      <c r="D678" s="41" t="n"/>
      <c r="E678" s="41" t="n"/>
      <c r="F678" s="41" t="n"/>
      <c r="G678" s="41" t="n"/>
      <c r="H678" s="41" t="n"/>
      <c r="I678" s="41" t="n"/>
    </row>
    <row r="679" ht="15.75" customHeight="1" s="60">
      <c r="A679" s="41" t="n"/>
      <c r="B679" s="41" t="n"/>
      <c r="C679" s="41" t="n"/>
      <c r="D679" s="41" t="n"/>
      <c r="E679" s="41" t="n"/>
      <c r="F679" s="41" t="n"/>
      <c r="G679" s="41" t="n"/>
      <c r="H679" s="41" t="n"/>
      <c r="I679" s="41" t="n"/>
    </row>
    <row r="680" ht="15.75" customHeight="1" s="60">
      <c r="A680" s="41" t="n"/>
      <c r="B680" s="41" t="n"/>
      <c r="C680" s="41" t="n"/>
      <c r="D680" s="41" t="n"/>
      <c r="E680" s="41" t="n"/>
      <c r="F680" s="41" t="n"/>
      <c r="G680" s="41" t="n"/>
      <c r="H680" s="41" t="n"/>
      <c r="I680" s="41" t="n"/>
    </row>
    <row r="681" ht="15.75" customHeight="1" s="60">
      <c r="A681" s="41" t="n"/>
      <c r="B681" s="41" t="n"/>
      <c r="C681" s="41" t="n"/>
      <c r="D681" s="41" t="n"/>
      <c r="E681" s="41" t="n"/>
      <c r="F681" s="41" t="n"/>
      <c r="G681" s="41" t="n"/>
      <c r="H681" s="41" t="n"/>
      <c r="I681" s="41" t="n"/>
    </row>
    <row r="682" ht="15.75" customHeight="1" s="60">
      <c r="A682" s="41" t="n"/>
      <c r="B682" s="41" t="n"/>
      <c r="C682" s="41" t="n"/>
      <c r="D682" s="41" t="n"/>
      <c r="E682" s="41" t="n"/>
      <c r="F682" s="41" t="n"/>
      <c r="G682" s="41" t="n"/>
      <c r="H682" s="41" t="n"/>
      <c r="I682" s="41" t="n"/>
    </row>
    <row r="683" ht="15.75" customHeight="1" s="60">
      <c r="A683" s="41" t="n"/>
      <c r="B683" s="41" t="n"/>
      <c r="C683" s="41" t="n"/>
      <c r="D683" s="41" t="n"/>
      <c r="E683" s="41" t="n"/>
      <c r="F683" s="41" t="n"/>
      <c r="G683" s="41" t="n"/>
      <c r="H683" s="41" t="n"/>
      <c r="I683" s="41" t="n"/>
    </row>
    <row r="684" ht="15.75" customHeight="1" s="60">
      <c r="A684" s="41" t="n"/>
      <c r="B684" s="41" t="n"/>
      <c r="C684" s="41" t="n"/>
      <c r="D684" s="41" t="n"/>
      <c r="E684" s="41" t="n"/>
      <c r="F684" s="41" t="n"/>
      <c r="G684" s="41" t="n"/>
      <c r="H684" s="41" t="n"/>
      <c r="I684" s="41" t="n"/>
    </row>
    <row r="685" ht="15.75" customHeight="1" s="60">
      <c r="A685" s="41" t="n"/>
      <c r="B685" s="41" t="n"/>
      <c r="C685" s="41" t="n"/>
      <c r="D685" s="41" t="n"/>
      <c r="E685" s="41" t="n"/>
      <c r="F685" s="41" t="n"/>
      <c r="G685" s="41" t="n"/>
      <c r="H685" s="41" t="n"/>
      <c r="I685" s="41" t="n"/>
    </row>
    <row r="686" ht="15.75" customHeight="1" s="60">
      <c r="A686" s="41" t="n"/>
      <c r="B686" s="41" t="n"/>
      <c r="C686" s="41" t="n"/>
      <c r="D686" s="41" t="n"/>
      <c r="E686" s="41" t="n"/>
      <c r="F686" s="41" t="n"/>
      <c r="G686" s="41" t="n"/>
      <c r="H686" s="41" t="n"/>
      <c r="I686" s="41" t="n"/>
    </row>
    <row r="687" ht="15.75" customHeight="1" s="60">
      <c r="A687" s="41" t="n"/>
      <c r="B687" s="41" t="n"/>
      <c r="C687" s="41" t="n"/>
      <c r="D687" s="41" t="n"/>
      <c r="E687" s="41" t="n"/>
      <c r="F687" s="41" t="n"/>
      <c r="G687" s="41" t="n"/>
      <c r="H687" s="41" t="n"/>
      <c r="I687" s="41" t="n"/>
    </row>
    <row r="688" ht="15.75" customHeight="1" s="60">
      <c r="A688" s="41" t="n"/>
      <c r="B688" s="41" t="n"/>
      <c r="C688" s="41" t="n"/>
      <c r="D688" s="41" t="n"/>
      <c r="E688" s="41" t="n"/>
      <c r="F688" s="41" t="n"/>
      <c r="G688" s="41" t="n"/>
      <c r="H688" s="41" t="n"/>
      <c r="I688" s="41" t="n"/>
    </row>
    <row r="689" ht="15.75" customHeight="1" s="60">
      <c r="A689" s="41" t="n"/>
      <c r="B689" s="41" t="n"/>
      <c r="C689" s="41" t="n"/>
      <c r="D689" s="41" t="n"/>
      <c r="E689" s="41" t="n"/>
      <c r="F689" s="41" t="n"/>
      <c r="G689" s="41" t="n"/>
      <c r="H689" s="41" t="n"/>
      <c r="I689" s="41" t="n"/>
    </row>
    <row r="690" ht="15.75" customHeight="1" s="60">
      <c r="A690" s="41" t="n"/>
      <c r="B690" s="41" t="n"/>
      <c r="C690" s="41" t="n"/>
      <c r="D690" s="41" t="n"/>
      <c r="E690" s="41" t="n"/>
      <c r="F690" s="41" t="n"/>
      <c r="G690" s="41" t="n"/>
      <c r="H690" s="41" t="n"/>
      <c r="I690" s="41" t="n"/>
    </row>
    <row r="691" ht="15.75" customHeight="1" s="60">
      <c r="A691" s="41" t="n"/>
      <c r="B691" s="41" t="n"/>
      <c r="C691" s="41" t="n"/>
      <c r="D691" s="41" t="n"/>
      <c r="E691" s="41" t="n"/>
      <c r="F691" s="41" t="n"/>
      <c r="G691" s="41" t="n"/>
      <c r="H691" s="41" t="n"/>
      <c r="I691" s="41" t="n"/>
    </row>
    <row r="692" ht="15.75" customHeight="1" s="60">
      <c r="A692" s="41" t="n"/>
      <c r="B692" s="41" t="n"/>
      <c r="C692" s="41" t="n"/>
      <c r="D692" s="41" t="n"/>
      <c r="E692" s="41" t="n"/>
      <c r="F692" s="41" t="n"/>
      <c r="G692" s="41" t="n"/>
      <c r="H692" s="41" t="n"/>
      <c r="I692" s="41" t="n"/>
    </row>
    <row r="693" ht="15.75" customHeight="1" s="60">
      <c r="A693" s="41" t="n"/>
      <c r="B693" s="41" t="n"/>
      <c r="C693" s="41" t="n"/>
      <c r="D693" s="41" t="n"/>
      <c r="E693" s="41" t="n"/>
      <c r="F693" s="41" t="n"/>
      <c r="G693" s="41" t="n"/>
      <c r="H693" s="41" t="n"/>
      <c r="I693" s="41" t="n"/>
    </row>
    <row r="694" ht="15.75" customHeight="1" s="60">
      <c r="A694" s="41" t="n"/>
      <c r="B694" s="41" t="n"/>
      <c r="C694" s="41" t="n"/>
      <c r="D694" s="41" t="n"/>
      <c r="E694" s="41" t="n"/>
      <c r="F694" s="41" t="n"/>
      <c r="G694" s="41" t="n"/>
      <c r="H694" s="41" t="n"/>
      <c r="I694" s="41" t="n"/>
    </row>
    <row r="695" ht="15.75" customHeight="1" s="60">
      <c r="A695" s="41" t="n"/>
      <c r="B695" s="41" t="n"/>
      <c r="C695" s="41" t="n"/>
      <c r="D695" s="41" t="n"/>
      <c r="E695" s="41" t="n"/>
      <c r="F695" s="41" t="n"/>
      <c r="G695" s="41" t="n"/>
      <c r="H695" s="41" t="n"/>
      <c r="I695" s="41" t="n"/>
    </row>
    <row r="696" ht="15.75" customHeight="1" s="60">
      <c r="A696" s="41" t="n"/>
      <c r="B696" s="41" t="n"/>
      <c r="C696" s="41" t="n"/>
      <c r="D696" s="41" t="n"/>
      <c r="E696" s="41" t="n"/>
      <c r="F696" s="41" t="n"/>
      <c r="G696" s="41" t="n"/>
      <c r="H696" s="41" t="n"/>
      <c r="I696" s="41" t="n"/>
    </row>
    <row r="697" ht="15.75" customHeight="1" s="60">
      <c r="A697" s="41" t="n"/>
      <c r="B697" s="41" t="n"/>
      <c r="C697" s="41" t="n"/>
      <c r="D697" s="41" t="n"/>
      <c r="E697" s="41" t="n"/>
      <c r="F697" s="41" t="n"/>
      <c r="G697" s="41" t="n"/>
      <c r="H697" s="41" t="n"/>
      <c r="I697" s="41" t="n"/>
    </row>
    <row r="698" ht="15.75" customHeight="1" s="60">
      <c r="A698" s="41" t="n"/>
      <c r="B698" s="41" t="n"/>
      <c r="C698" s="41" t="n"/>
      <c r="D698" s="41" t="n"/>
      <c r="E698" s="41" t="n"/>
      <c r="F698" s="41" t="n"/>
      <c r="G698" s="41" t="n"/>
      <c r="H698" s="41" t="n"/>
      <c r="I698" s="41" t="n"/>
    </row>
    <row r="699" ht="15.75" customHeight="1" s="60">
      <c r="A699" s="41" t="n"/>
      <c r="B699" s="41" t="n"/>
      <c r="C699" s="41" t="n"/>
      <c r="D699" s="41" t="n"/>
      <c r="E699" s="41" t="n"/>
      <c r="F699" s="41" t="n"/>
      <c r="G699" s="41" t="n"/>
      <c r="H699" s="41" t="n"/>
      <c r="I699" s="41" t="n"/>
    </row>
    <row r="700" ht="15.75" customHeight="1" s="60">
      <c r="A700" s="41" t="n"/>
      <c r="B700" s="41" t="n"/>
      <c r="C700" s="41" t="n"/>
      <c r="D700" s="41" t="n"/>
      <c r="E700" s="41" t="n"/>
      <c r="F700" s="41" t="n"/>
      <c r="G700" s="41" t="n"/>
      <c r="H700" s="41" t="n"/>
      <c r="I700" s="41" t="n"/>
    </row>
    <row r="701" ht="15.75" customHeight="1" s="60">
      <c r="A701" s="41" t="n"/>
      <c r="B701" s="41" t="n"/>
      <c r="C701" s="41" t="n"/>
      <c r="D701" s="41" t="n"/>
      <c r="E701" s="41" t="n"/>
      <c r="F701" s="41" t="n"/>
      <c r="G701" s="41" t="n"/>
      <c r="H701" s="41" t="n"/>
      <c r="I701" s="41" t="n"/>
    </row>
    <row r="702" ht="15.75" customHeight="1" s="60">
      <c r="A702" s="41" t="n"/>
      <c r="B702" s="41" t="n"/>
      <c r="C702" s="41" t="n"/>
      <c r="D702" s="41" t="n"/>
      <c r="E702" s="41" t="n"/>
      <c r="F702" s="41" t="n"/>
      <c r="G702" s="41" t="n"/>
      <c r="H702" s="41" t="n"/>
      <c r="I702" s="41" t="n"/>
    </row>
    <row r="703" ht="15.75" customHeight="1" s="60">
      <c r="A703" s="41" t="n"/>
      <c r="B703" s="41" t="n"/>
      <c r="C703" s="41" t="n"/>
      <c r="D703" s="41" t="n"/>
      <c r="E703" s="41" t="n"/>
      <c r="F703" s="41" t="n"/>
      <c r="G703" s="41" t="n"/>
      <c r="H703" s="41" t="n"/>
      <c r="I703" s="41" t="n"/>
    </row>
    <row r="704" ht="15.75" customHeight="1" s="60">
      <c r="A704" s="41" t="n"/>
      <c r="B704" s="41" t="n"/>
      <c r="C704" s="41" t="n"/>
      <c r="D704" s="41" t="n"/>
      <c r="E704" s="41" t="n"/>
      <c r="F704" s="41" t="n"/>
      <c r="G704" s="41" t="n"/>
      <c r="H704" s="41" t="n"/>
      <c r="I704" s="41" t="n"/>
    </row>
    <row r="705" ht="15.75" customHeight="1" s="60">
      <c r="A705" s="41" t="n"/>
      <c r="B705" s="41" t="n"/>
      <c r="C705" s="41" t="n"/>
      <c r="D705" s="41" t="n"/>
      <c r="E705" s="41" t="n"/>
      <c r="F705" s="41" t="n"/>
      <c r="G705" s="41" t="n"/>
      <c r="H705" s="41" t="n"/>
      <c r="I705" s="41" t="n"/>
    </row>
    <row r="706" ht="15.75" customHeight="1" s="60">
      <c r="A706" s="41" t="n"/>
      <c r="B706" s="41" t="n"/>
      <c r="C706" s="41" t="n"/>
      <c r="D706" s="41" t="n"/>
      <c r="E706" s="41" t="n"/>
      <c r="F706" s="41" t="n"/>
      <c r="G706" s="41" t="n"/>
      <c r="H706" s="41" t="n"/>
      <c r="I706" s="41" t="n"/>
    </row>
    <row r="707" ht="15.75" customHeight="1" s="60">
      <c r="A707" s="41" t="n"/>
      <c r="B707" s="41" t="n"/>
      <c r="C707" s="41" t="n"/>
      <c r="D707" s="41" t="n"/>
      <c r="E707" s="41" t="n"/>
      <c r="F707" s="41" t="n"/>
      <c r="G707" s="41" t="n"/>
      <c r="H707" s="41" t="n"/>
      <c r="I707" s="41" t="n"/>
    </row>
    <row r="708" ht="15.75" customHeight="1" s="60">
      <c r="A708" s="41" t="n"/>
      <c r="B708" s="41" t="n"/>
      <c r="C708" s="41" t="n"/>
      <c r="D708" s="41" t="n"/>
      <c r="E708" s="41" t="n"/>
      <c r="F708" s="41" t="n"/>
      <c r="G708" s="41" t="n"/>
      <c r="H708" s="41" t="n"/>
      <c r="I708" s="41" t="n"/>
    </row>
    <row r="709" ht="15.75" customHeight="1" s="60">
      <c r="A709" s="41" t="n"/>
      <c r="B709" s="41" t="n"/>
      <c r="C709" s="41" t="n"/>
      <c r="D709" s="41" t="n"/>
      <c r="E709" s="41" t="n"/>
      <c r="F709" s="41" t="n"/>
      <c r="G709" s="41" t="n"/>
      <c r="H709" s="41" t="n"/>
      <c r="I709" s="41" t="n"/>
    </row>
    <row r="710" ht="15.75" customHeight="1" s="60">
      <c r="A710" s="41" t="n"/>
      <c r="B710" s="41" t="n"/>
      <c r="C710" s="41" t="n"/>
      <c r="D710" s="41" t="n"/>
      <c r="E710" s="41" t="n"/>
      <c r="F710" s="41" t="n"/>
      <c r="G710" s="41" t="n"/>
      <c r="H710" s="41" t="n"/>
      <c r="I710" s="41" t="n"/>
    </row>
    <row r="711" ht="15.75" customHeight="1" s="60">
      <c r="A711" s="41" t="n"/>
      <c r="B711" s="41" t="n"/>
      <c r="C711" s="41" t="n"/>
      <c r="D711" s="41" t="n"/>
      <c r="E711" s="41" t="n"/>
      <c r="F711" s="41" t="n"/>
      <c r="G711" s="41" t="n"/>
      <c r="H711" s="41" t="n"/>
      <c r="I711" s="41" t="n"/>
    </row>
    <row r="712" ht="15.75" customHeight="1" s="60">
      <c r="A712" s="41" t="n"/>
      <c r="B712" s="41" t="n"/>
      <c r="C712" s="41" t="n"/>
      <c r="D712" s="41" t="n"/>
      <c r="E712" s="41" t="n"/>
      <c r="F712" s="41" t="n"/>
      <c r="G712" s="41" t="n"/>
      <c r="H712" s="41" t="n"/>
      <c r="I712" s="41" t="n"/>
    </row>
    <row r="713" ht="15.75" customHeight="1" s="60">
      <c r="A713" s="41" t="n"/>
      <c r="B713" s="41" t="n"/>
      <c r="C713" s="41" t="n"/>
      <c r="D713" s="41" t="n"/>
      <c r="E713" s="41" t="n"/>
      <c r="F713" s="41" t="n"/>
      <c r="G713" s="41" t="n"/>
      <c r="H713" s="41" t="n"/>
      <c r="I713" s="41" t="n"/>
    </row>
    <row r="714" ht="15.75" customHeight="1" s="60">
      <c r="A714" s="41" t="n"/>
      <c r="B714" s="41" t="n"/>
      <c r="C714" s="41" t="n"/>
      <c r="D714" s="41" t="n"/>
      <c r="E714" s="41" t="n"/>
      <c r="F714" s="41" t="n"/>
      <c r="G714" s="41" t="n"/>
      <c r="H714" s="41" t="n"/>
      <c r="I714" s="41" t="n"/>
    </row>
    <row r="715" ht="15.75" customHeight="1" s="60">
      <c r="A715" s="41" t="n"/>
      <c r="B715" s="41" t="n"/>
      <c r="C715" s="41" t="n"/>
      <c r="D715" s="41" t="n"/>
      <c r="E715" s="41" t="n"/>
      <c r="F715" s="41" t="n"/>
      <c r="G715" s="41" t="n"/>
      <c r="H715" s="41" t="n"/>
      <c r="I715" s="41" t="n"/>
    </row>
    <row r="716" ht="15.75" customHeight="1" s="60">
      <c r="A716" s="41" t="n"/>
      <c r="B716" s="41" t="n"/>
      <c r="C716" s="41" t="n"/>
      <c r="D716" s="41" t="n"/>
      <c r="E716" s="41" t="n"/>
      <c r="F716" s="41" t="n"/>
      <c r="G716" s="41" t="n"/>
      <c r="H716" s="41" t="n"/>
      <c r="I716" s="41" t="n"/>
    </row>
    <row r="717" ht="15.75" customHeight="1" s="60">
      <c r="A717" s="41" t="n"/>
      <c r="B717" s="41" t="n"/>
      <c r="C717" s="41" t="n"/>
      <c r="D717" s="41" t="n"/>
      <c r="E717" s="41" t="n"/>
      <c r="F717" s="41" t="n"/>
      <c r="G717" s="41" t="n"/>
      <c r="H717" s="41" t="n"/>
      <c r="I717" s="41" t="n"/>
    </row>
    <row r="718" ht="15.75" customHeight="1" s="60">
      <c r="A718" s="41" t="n"/>
      <c r="B718" s="41" t="n"/>
      <c r="C718" s="41" t="n"/>
      <c r="D718" s="41" t="n"/>
      <c r="E718" s="41" t="n"/>
      <c r="F718" s="41" t="n"/>
      <c r="G718" s="41" t="n"/>
      <c r="H718" s="41" t="n"/>
      <c r="I718" s="41" t="n"/>
    </row>
    <row r="719" ht="15.75" customHeight="1" s="60">
      <c r="A719" s="41" t="n"/>
      <c r="B719" s="41" t="n"/>
      <c r="C719" s="41" t="n"/>
      <c r="D719" s="41" t="n"/>
      <c r="E719" s="41" t="n"/>
      <c r="F719" s="41" t="n"/>
      <c r="G719" s="41" t="n"/>
      <c r="H719" s="41" t="n"/>
      <c r="I719" s="41" t="n"/>
    </row>
    <row r="720" ht="15.75" customHeight="1" s="60">
      <c r="A720" s="41" t="n"/>
      <c r="B720" s="41" t="n"/>
      <c r="C720" s="41" t="n"/>
      <c r="D720" s="41" t="n"/>
      <c r="E720" s="41" t="n"/>
      <c r="F720" s="41" t="n"/>
      <c r="G720" s="41" t="n"/>
      <c r="H720" s="41" t="n"/>
      <c r="I720" s="41" t="n"/>
    </row>
    <row r="721" ht="15.75" customHeight="1" s="60">
      <c r="A721" s="41" t="n"/>
      <c r="B721" s="41" t="n"/>
      <c r="C721" s="41" t="n"/>
      <c r="D721" s="41" t="n"/>
      <c r="E721" s="41" t="n"/>
      <c r="F721" s="41" t="n"/>
      <c r="G721" s="41" t="n"/>
      <c r="H721" s="41" t="n"/>
      <c r="I721" s="41" t="n"/>
    </row>
    <row r="722" ht="15.75" customHeight="1" s="60">
      <c r="A722" s="41" t="n"/>
      <c r="B722" s="41" t="n"/>
      <c r="C722" s="41" t="n"/>
      <c r="D722" s="41" t="n"/>
      <c r="E722" s="41" t="n"/>
      <c r="F722" s="41" t="n"/>
      <c r="G722" s="41" t="n"/>
      <c r="H722" s="41" t="n"/>
      <c r="I722" s="41" t="n"/>
    </row>
    <row r="723" ht="15.75" customHeight="1" s="60">
      <c r="A723" s="41" t="n"/>
      <c r="B723" s="41" t="n"/>
      <c r="C723" s="41" t="n"/>
      <c r="D723" s="41" t="n"/>
      <c r="E723" s="41" t="n"/>
      <c r="F723" s="41" t="n"/>
      <c r="G723" s="41" t="n"/>
      <c r="H723" s="41" t="n"/>
      <c r="I723" s="41" t="n"/>
    </row>
    <row r="724" ht="15.75" customHeight="1" s="60">
      <c r="A724" s="41" t="n"/>
      <c r="B724" s="41" t="n"/>
      <c r="C724" s="41" t="n"/>
      <c r="D724" s="41" t="n"/>
      <c r="E724" s="41" t="n"/>
      <c r="F724" s="41" t="n"/>
      <c r="G724" s="41" t="n"/>
      <c r="H724" s="41" t="n"/>
      <c r="I724" s="41" t="n"/>
    </row>
    <row r="725" ht="15.75" customHeight="1" s="60">
      <c r="A725" s="41" t="n"/>
      <c r="B725" s="41" t="n"/>
      <c r="C725" s="41" t="n"/>
      <c r="D725" s="41" t="n"/>
      <c r="E725" s="41" t="n"/>
      <c r="F725" s="41" t="n"/>
      <c r="G725" s="41" t="n"/>
      <c r="H725" s="41" t="n"/>
      <c r="I725" s="41" t="n"/>
    </row>
    <row r="726" ht="15.75" customHeight="1" s="60">
      <c r="A726" s="41" t="n"/>
      <c r="B726" s="41" t="n"/>
      <c r="C726" s="41" t="n"/>
      <c r="D726" s="41" t="n"/>
      <c r="E726" s="41" t="n"/>
      <c r="F726" s="41" t="n"/>
      <c r="G726" s="41" t="n"/>
      <c r="H726" s="41" t="n"/>
      <c r="I726" s="41" t="n"/>
    </row>
    <row r="727" ht="15.75" customHeight="1" s="60">
      <c r="A727" s="41" t="n"/>
      <c r="B727" s="41" t="n"/>
      <c r="C727" s="41" t="n"/>
      <c r="D727" s="41" t="n"/>
      <c r="E727" s="41" t="n"/>
      <c r="F727" s="41" t="n"/>
      <c r="G727" s="41" t="n"/>
      <c r="H727" s="41" t="n"/>
      <c r="I727" s="41" t="n"/>
    </row>
    <row r="728" ht="15.75" customHeight="1" s="60">
      <c r="A728" s="41" t="n"/>
      <c r="B728" s="41" t="n"/>
      <c r="C728" s="41" t="n"/>
      <c r="D728" s="41" t="n"/>
      <c r="E728" s="41" t="n"/>
      <c r="F728" s="41" t="n"/>
      <c r="G728" s="41" t="n"/>
      <c r="H728" s="41" t="n"/>
      <c r="I728" s="41" t="n"/>
    </row>
    <row r="729" ht="15.75" customHeight="1" s="60">
      <c r="A729" s="41" t="n"/>
      <c r="B729" s="41" t="n"/>
      <c r="C729" s="41" t="n"/>
      <c r="D729" s="41" t="n"/>
      <c r="E729" s="41" t="n"/>
      <c r="F729" s="41" t="n"/>
      <c r="G729" s="41" t="n"/>
      <c r="H729" s="41" t="n"/>
      <c r="I729" s="41" t="n"/>
    </row>
    <row r="730" ht="15.75" customHeight="1" s="60">
      <c r="A730" s="41" t="n"/>
      <c r="B730" s="41" t="n"/>
      <c r="C730" s="41" t="n"/>
      <c r="D730" s="41" t="n"/>
      <c r="E730" s="41" t="n"/>
      <c r="F730" s="41" t="n"/>
      <c r="G730" s="41" t="n"/>
      <c r="H730" s="41" t="n"/>
      <c r="I730" s="41" t="n"/>
    </row>
    <row r="731" ht="15.75" customHeight="1" s="60">
      <c r="A731" s="41" t="n"/>
      <c r="B731" s="41" t="n"/>
      <c r="C731" s="41" t="n"/>
      <c r="D731" s="41" t="n"/>
      <c r="E731" s="41" t="n"/>
      <c r="F731" s="41" t="n"/>
      <c r="G731" s="41" t="n"/>
      <c r="H731" s="41" t="n"/>
      <c r="I731" s="41" t="n"/>
    </row>
    <row r="732" ht="15.75" customHeight="1" s="60">
      <c r="A732" s="41" t="n"/>
      <c r="B732" s="41" t="n"/>
      <c r="C732" s="41" t="n"/>
      <c r="D732" s="41" t="n"/>
      <c r="E732" s="41" t="n"/>
      <c r="F732" s="41" t="n"/>
      <c r="G732" s="41" t="n"/>
      <c r="H732" s="41" t="n"/>
      <c r="I732" s="41" t="n"/>
    </row>
    <row r="733" ht="15.75" customHeight="1" s="60">
      <c r="A733" s="41" t="n"/>
      <c r="B733" s="41" t="n"/>
      <c r="C733" s="41" t="n"/>
      <c r="D733" s="41" t="n"/>
      <c r="E733" s="41" t="n"/>
      <c r="F733" s="41" t="n"/>
      <c r="G733" s="41" t="n"/>
      <c r="H733" s="41" t="n"/>
      <c r="I733" s="41" t="n"/>
    </row>
    <row r="734" ht="15.75" customHeight="1" s="60">
      <c r="A734" s="41" t="n"/>
      <c r="B734" s="41" t="n"/>
      <c r="C734" s="41" t="n"/>
      <c r="D734" s="41" t="n"/>
      <c r="E734" s="41" t="n"/>
      <c r="F734" s="41" t="n"/>
      <c r="G734" s="41" t="n"/>
      <c r="H734" s="41" t="n"/>
      <c r="I734" s="41" t="n"/>
    </row>
    <row r="735" ht="15.75" customHeight="1" s="60">
      <c r="A735" s="41" t="n"/>
      <c r="B735" s="41" t="n"/>
      <c r="C735" s="41" t="n"/>
      <c r="D735" s="41" t="n"/>
      <c r="E735" s="41" t="n"/>
      <c r="F735" s="41" t="n"/>
      <c r="G735" s="41" t="n"/>
      <c r="H735" s="41" t="n"/>
      <c r="I735" s="41" t="n"/>
    </row>
    <row r="736" ht="15.75" customHeight="1" s="60">
      <c r="A736" s="41" t="n"/>
      <c r="B736" s="41" t="n"/>
      <c r="C736" s="41" t="n"/>
      <c r="D736" s="41" t="n"/>
      <c r="E736" s="41" t="n"/>
      <c r="F736" s="41" t="n"/>
      <c r="G736" s="41" t="n"/>
      <c r="H736" s="41" t="n"/>
      <c r="I736" s="41" t="n"/>
    </row>
    <row r="737" ht="15.75" customHeight="1" s="60">
      <c r="A737" s="41" t="n"/>
      <c r="B737" s="41" t="n"/>
      <c r="C737" s="41" t="n"/>
      <c r="D737" s="41" t="n"/>
      <c r="E737" s="41" t="n"/>
      <c r="F737" s="41" t="n"/>
      <c r="G737" s="41" t="n"/>
      <c r="H737" s="41" t="n"/>
      <c r="I737" s="41" t="n"/>
    </row>
    <row r="738" ht="15.75" customHeight="1" s="60">
      <c r="A738" s="41" t="n"/>
      <c r="B738" s="41" t="n"/>
      <c r="C738" s="41" t="n"/>
      <c r="D738" s="41" t="n"/>
      <c r="E738" s="41" t="n"/>
      <c r="F738" s="41" t="n"/>
      <c r="G738" s="41" t="n"/>
      <c r="H738" s="41" t="n"/>
      <c r="I738" s="41" t="n"/>
    </row>
    <row r="739" ht="15.75" customHeight="1" s="60">
      <c r="A739" s="41" t="n"/>
      <c r="B739" s="41" t="n"/>
      <c r="C739" s="41" t="n"/>
      <c r="D739" s="41" t="n"/>
      <c r="E739" s="41" t="n"/>
      <c r="F739" s="41" t="n"/>
      <c r="G739" s="41" t="n"/>
      <c r="H739" s="41" t="n"/>
      <c r="I739" s="41" t="n"/>
    </row>
    <row r="740" ht="15.75" customHeight="1" s="60">
      <c r="A740" s="41" t="n"/>
      <c r="B740" s="41" t="n"/>
      <c r="C740" s="41" t="n"/>
      <c r="D740" s="41" t="n"/>
      <c r="E740" s="41" t="n"/>
      <c r="F740" s="41" t="n"/>
      <c r="G740" s="41" t="n"/>
      <c r="H740" s="41" t="n"/>
      <c r="I740" s="41" t="n"/>
    </row>
    <row r="741" ht="15.75" customHeight="1" s="60">
      <c r="A741" s="41" t="n"/>
      <c r="B741" s="41" t="n"/>
      <c r="C741" s="41" t="n"/>
      <c r="D741" s="41" t="n"/>
      <c r="E741" s="41" t="n"/>
      <c r="F741" s="41" t="n"/>
      <c r="G741" s="41" t="n"/>
      <c r="H741" s="41" t="n"/>
      <c r="I741" s="41" t="n"/>
    </row>
    <row r="742" ht="15.75" customHeight="1" s="60">
      <c r="A742" s="41" t="n"/>
      <c r="B742" s="41" t="n"/>
      <c r="C742" s="41" t="n"/>
      <c r="D742" s="41" t="n"/>
      <c r="E742" s="41" t="n"/>
      <c r="F742" s="41" t="n"/>
      <c r="G742" s="41" t="n"/>
      <c r="H742" s="41" t="n"/>
      <c r="I742" s="41" t="n"/>
    </row>
    <row r="743" ht="15.75" customHeight="1" s="60">
      <c r="A743" s="41" t="n"/>
      <c r="B743" s="41" t="n"/>
      <c r="C743" s="41" t="n"/>
      <c r="D743" s="41" t="n"/>
      <c r="E743" s="41" t="n"/>
      <c r="F743" s="41" t="n"/>
      <c r="G743" s="41" t="n"/>
      <c r="H743" s="41" t="n"/>
      <c r="I743" s="41" t="n"/>
    </row>
    <row r="744" ht="15.75" customHeight="1" s="60">
      <c r="A744" s="41" t="n"/>
      <c r="B744" s="41" t="n"/>
      <c r="C744" s="41" t="n"/>
      <c r="D744" s="41" t="n"/>
      <c r="E744" s="41" t="n"/>
      <c r="F744" s="41" t="n"/>
      <c r="G744" s="41" t="n"/>
      <c r="H744" s="41" t="n"/>
      <c r="I744" s="41" t="n"/>
    </row>
    <row r="745" ht="15.75" customHeight="1" s="60">
      <c r="A745" s="41" t="n"/>
      <c r="B745" s="41" t="n"/>
      <c r="C745" s="41" t="n"/>
      <c r="D745" s="41" t="n"/>
      <c r="E745" s="41" t="n"/>
      <c r="F745" s="41" t="n"/>
      <c r="G745" s="41" t="n"/>
      <c r="H745" s="41" t="n"/>
      <c r="I745" s="41" t="n"/>
    </row>
    <row r="746" ht="15.75" customHeight="1" s="60">
      <c r="A746" s="41" t="n"/>
      <c r="B746" s="41" t="n"/>
      <c r="C746" s="41" t="n"/>
      <c r="D746" s="41" t="n"/>
      <c r="E746" s="41" t="n"/>
      <c r="F746" s="41" t="n"/>
      <c r="G746" s="41" t="n"/>
      <c r="H746" s="41" t="n"/>
      <c r="I746" s="41" t="n"/>
    </row>
    <row r="747" ht="15.75" customHeight="1" s="60">
      <c r="A747" s="41" t="n"/>
      <c r="B747" s="41" t="n"/>
      <c r="C747" s="41" t="n"/>
      <c r="D747" s="41" t="n"/>
      <c r="E747" s="41" t="n"/>
      <c r="F747" s="41" t="n"/>
      <c r="G747" s="41" t="n"/>
      <c r="H747" s="41" t="n"/>
      <c r="I747" s="41" t="n"/>
    </row>
    <row r="748" ht="15.75" customHeight="1" s="60">
      <c r="A748" s="41" t="n"/>
      <c r="B748" s="41" t="n"/>
      <c r="C748" s="41" t="n"/>
      <c r="D748" s="41" t="n"/>
      <c r="E748" s="41" t="n"/>
      <c r="F748" s="41" t="n"/>
      <c r="G748" s="41" t="n"/>
      <c r="H748" s="41" t="n"/>
      <c r="I748" s="41" t="n"/>
    </row>
    <row r="749" ht="15.75" customHeight="1" s="60">
      <c r="A749" s="41" t="n"/>
      <c r="B749" s="41" t="n"/>
      <c r="C749" s="41" t="n"/>
      <c r="D749" s="41" t="n"/>
      <c r="E749" s="41" t="n"/>
      <c r="F749" s="41" t="n"/>
      <c r="G749" s="41" t="n"/>
      <c r="H749" s="41" t="n"/>
      <c r="I749" s="41" t="n"/>
    </row>
    <row r="750" ht="15.75" customHeight="1" s="60">
      <c r="A750" s="41" t="n"/>
      <c r="B750" s="41" t="n"/>
      <c r="C750" s="41" t="n"/>
      <c r="D750" s="41" t="n"/>
      <c r="E750" s="41" t="n"/>
      <c r="F750" s="41" t="n"/>
      <c r="G750" s="41" t="n"/>
      <c r="H750" s="41" t="n"/>
      <c r="I750" s="41" t="n"/>
    </row>
    <row r="751" ht="15.75" customHeight="1" s="60">
      <c r="A751" s="41" t="n"/>
      <c r="B751" s="41" t="n"/>
      <c r="C751" s="41" t="n"/>
      <c r="D751" s="41" t="n"/>
      <c r="E751" s="41" t="n"/>
      <c r="F751" s="41" t="n"/>
      <c r="G751" s="41" t="n"/>
      <c r="H751" s="41" t="n"/>
      <c r="I751" s="41" t="n"/>
    </row>
    <row r="752" ht="15.75" customHeight="1" s="60">
      <c r="A752" s="41" t="n"/>
      <c r="B752" s="41" t="n"/>
      <c r="C752" s="41" t="n"/>
      <c r="D752" s="41" t="n"/>
      <c r="E752" s="41" t="n"/>
      <c r="F752" s="41" t="n"/>
      <c r="G752" s="41" t="n"/>
      <c r="H752" s="41" t="n"/>
      <c r="I752" s="41" t="n"/>
    </row>
    <row r="753" ht="15.75" customHeight="1" s="60">
      <c r="A753" s="41" t="n"/>
      <c r="B753" s="41" t="n"/>
      <c r="C753" s="41" t="n"/>
      <c r="D753" s="41" t="n"/>
      <c r="E753" s="41" t="n"/>
      <c r="F753" s="41" t="n"/>
      <c r="G753" s="41" t="n"/>
      <c r="H753" s="41" t="n"/>
      <c r="I753" s="41" t="n"/>
    </row>
    <row r="754" ht="15.75" customHeight="1" s="60">
      <c r="A754" s="41" t="n"/>
      <c r="B754" s="41" t="n"/>
      <c r="C754" s="41" t="n"/>
      <c r="D754" s="41" t="n"/>
      <c r="E754" s="41" t="n"/>
      <c r="F754" s="41" t="n"/>
      <c r="G754" s="41" t="n"/>
      <c r="H754" s="41" t="n"/>
      <c r="I754" s="41" t="n"/>
    </row>
    <row r="755" ht="15.75" customHeight="1" s="60">
      <c r="A755" s="41" t="n"/>
      <c r="B755" s="41" t="n"/>
      <c r="C755" s="41" t="n"/>
      <c r="D755" s="41" t="n"/>
      <c r="E755" s="41" t="n"/>
      <c r="F755" s="41" t="n"/>
      <c r="G755" s="41" t="n"/>
      <c r="H755" s="41" t="n"/>
      <c r="I755" s="41" t="n"/>
    </row>
    <row r="756" ht="15.75" customHeight="1" s="60">
      <c r="A756" s="41" t="n"/>
      <c r="B756" s="41" t="n"/>
      <c r="C756" s="41" t="n"/>
      <c r="D756" s="41" t="n"/>
      <c r="E756" s="41" t="n"/>
      <c r="F756" s="41" t="n"/>
      <c r="G756" s="41" t="n"/>
      <c r="H756" s="41" t="n"/>
      <c r="I756" s="41" t="n"/>
    </row>
    <row r="757" ht="15.75" customHeight="1" s="60">
      <c r="A757" s="41" t="n"/>
      <c r="B757" s="41" t="n"/>
      <c r="C757" s="41" t="n"/>
      <c r="D757" s="41" t="n"/>
      <c r="E757" s="41" t="n"/>
      <c r="F757" s="41" t="n"/>
      <c r="G757" s="41" t="n"/>
      <c r="H757" s="41" t="n"/>
      <c r="I757" s="41" t="n"/>
    </row>
    <row r="758" ht="15.75" customHeight="1" s="60">
      <c r="A758" s="41" t="n"/>
      <c r="B758" s="41" t="n"/>
      <c r="C758" s="41" t="n"/>
      <c r="D758" s="41" t="n"/>
      <c r="E758" s="41" t="n"/>
      <c r="F758" s="41" t="n"/>
      <c r="G758" s="41" t="n"/>
      <c r="H758" s="41" t="n"/>
      <c r="I758" s="41" t="n"/>
    </row>
    <row r="759" ht="15.75" customHeight="1" s="60">
      <c r="A759" s="41" t="n"/>
      <c r="B759" s="41" t="n"/>
      <c r="C759" s="41" t="n"/>
      <c r="D759" s="41" t="n"/>
      <c r="E759" s="41" t="n"/>
      <c r="F759" s="41" t="n"/>
      <c r="G759" s="41" t="n"/>
      <c r="H759" s="41" t="n"/>
      <c r="I759" s="41" t="n"/>
    </row>
    <row r="760" ht="15.75" customHeight="1" s="60">
      <c r="A760" s="41" t="n"/>
      <c r="B760" s="41" t="n"/>
      <c r="C760" s="41" t="n"/>
      <c r="D760" s="41" t="n"/>
      <c r="E760" s="41" t="n"/>
      <c r="F760" s="41" t="n"/>
      <c r="G760" s="41" t="n"/>
      <c r="H760" s="41" t="n"/>
      <c r="I760" s="41" t="n"/>
    </row>
    <row r="761" ht="15.75" customHeight="1" s="60">
      <c r="A761" s="41" t="n"/>
      <c r="B761" s="41" t="n"/>
      <c r="C761" s="41" t="n"/>
      <c r="D761" s="41" t="n"/>
      <c r="E761" s="41" t="n"/>
      <c r="F761" s="41" t="n"/>
      <c r="G761" s="41" t="n"/>
      <c r="H761" s="41" t="n"/>
      <c r="I761" s="41" t="n"/>
    </row>
    <row r="762" ht="15.75" customHeight="1" s="60">
      <c r="A762" s="41" t="n"/>
      <c r="B762" s="41" t="n"/>
      <c r="C762" s="41" t="n"/>
      <c r="D762" s="41" t="n"/>
      <c r="E762" s="41" t="n"/>
      <c r="F762" s="41" t="n"/>
      <c r="G762" s="41" t="n"/>
      <c r="H762" s="41" t="n"/>
      <c r="I762" s="41" t="n"/>
    </row>
    <row r="763" ht="15.75" customHeight="1" s="60">
      <c r="A763" s="41" t="n"/>
      <c r="B763" s="41" t="n"/>
      <c r="C763" s="41" t="n"/>
      <c r="D763" s="41" t="n"/>
      <c r="E763" s="41" t="n"/>
      <c r="F763" s="41" t="n"/>
      <c r="G763" s="41" t="n"/>
      <c r="H763" s="41" t="n"/>
      <c r="I763" s="41" t="n"/>
    </row>
    <row r="764" ht="15.75" customHeight="1" s="60">
      <c r="A764" s="41" t="n"/>
      <c r="B764" s="41" t="n"/>
      <c r="C764" s="41" t="n"/>
      <c r="D764" s="41" t="n"/>
      <c r="E764" s="41" t="n"/>
      <c r="F764" s="41" t="n"/>
      <c r="G764" s="41" t="n"/>
      <c r="H764" s="41" t="n"/>
      <c r="I764" s="41" t="n"/>
    </row>
    <row r="765" ht="15.75" customHeight="1" s="60">
      <c r="A765" s="41" t="n"/>
      <c r="B765" s="41" t="n"/>
      <c r="C765" s="41" t="n"/>
      <c r="D765" s="41" t="n"/>
      <c r="E765" s="41" t="n"/>
      <c r="F765" s="41" t="n"/>
      <c r="G765" s="41" t="n"/>
      <c r="H765" s="41" t="n"/>
      <c r="I765" s="41" t="n"/>
    </row>
    <row r="766" ht="15.75" customHeight="1" s="60">
      <c r="A766" s="41" t="n"/>
      <c r="B766" s="41" t="n"/>
      <c r="C766" s="41" t="n"/>
      <c r="D766" s="41" t="n"/>
      <c r="E766" s="41" t="n"/>
      <c r="F766" s="41" t="n"/>
      <c r="G766" s="41" t="n"/>
      <c r="H766" s="41" t="n"/>
      <c r="I766" s="41" t="n"/>
    </row>
    <row r="767" ht="15.75" customHeight="1" s="60">
      <c r="A767" s="41" t="n"/>
      <c r="B767" s="41" t="n"/>
      <c r="C767" s="41" t="n"/>
      <c r="D767" s="41" t="n"/>
      <c r="E767" s="41" t="n"/>
      <c r="F767" s="41" t="n"/>
      <c r="G767" s="41" t="n"/>
      <c r="H767" s="41" t="n"/>
      <c r="I767" s="41" t="n"/>
    </row>
    <row r="768" ht="15.75" customHeight="1" s="60">
      <c r="A768" s="41" t="n"/>
      <c r="B768" s="41" t="n"/>
      <c r="C768" s="41" t="n"/>
      <c r="D768" s="41" t="n"/>
      <c r="E768" s="41" t="n"/>
      <c r="F768" s="41" t="n"/>
      <c r="G768" s="41" t="n"/>
      <c r="H768" s="41" t="n"/>
      <c r="I768" s="41" t="n"/>
    </row>
    <row r="769" ht="15.75" customHeight="1" s="60">
      <c r="A769" s="41" t="n"/>
      <c r="B769" s="41" t="n"/>
      <c r="C769" s="41" t="n"/>
      <c r="D769" s="41" t="n"/>
      <c r="E769" s="41" t="n"/>
      <c r="F769" s="41" t="n"/>
      <c r="G769" s="41" t="n"/>
      <c r="H769" s="41" t="n"/>
      <c r="I769" s="41" t="n"/>
    </row>
    <row r="770" ht="15.75" customHeight="1" s="60">
      <c r="A770" s="41" t="n"/>
      <c r="B770" s="41" t="n"/>
      <c r="C770" s="41" t="n"/>
      <c r="D770" s="41" t="n"/>
      <c r="E770" s="41" t="n"/>
      <c r="F770" s="41" t="n"/>
      <c r="G770" s="41" t="n"/>
      <c r="H770" s="41" t="n"/>
      <c r="I770" s="41" t="n"/>
    </row>
    <row r="771" ht="15.75" customHeight="1" s="60">
      <c r="A771" s="41" t="n"/>
      <c r="B771" s="41" t="n"/>
      <c r="C771" s="41" t="n"/>
      <c r="D771" s="41" t="n"/>
      <c r="E771" s="41" t="n"/>
      <c r="F771" s="41" t="n"/>
      <c r="G771" s="41" t="n"/>
      <c r="H771" s="41" t="n"/>
      <c r="I771" s="41" t="n"/>
    </row>
    <row r="772" ht="15.75" customHeight="1" s="60">
      <c r="A772" s="41" t="n"/>
      <c r="B772" s="41" t="n"/>
      <c r="C772" s="41" t="n"/>
      <c r="D772" s="41" t="n"/>
      <c r="E772" s="41" t="n"/>
      <c r="F772" s="41" t="n"/>
      <c r="G772" s="41" t="n"/>
      <c r="H772" s="41" t="n"/>
      <c r="I772" s="41" t="n"/>
    </row>
    <row r="773" ht="15.75" customHeight="1" s="60">
      <c r="A773" s="41" t="n"/>
      <c r="B773" s="41" t="n"/>
      <c r="C773" s="41" t="n"/>
      <c r="D773" s="41" t="n"/>
      <c r="E773" s="41" t="n"/>
      <c r="F773" s="41" t="n"/>
      <c r="G773" s="41" t="n"/>
      <c r="H773" s="41" t="n"/>
      <c r="I773" s="41" t="n"/>
    </row>
    <row r="774" ht="15.75" customHeight="1" s="60">
      <c r="A774" s="41" t="n"/>
      <c r="B774" s="41" t="n"/>
      <c r="C774" s="41" t="n"/>
      <c r="D774" s="41" t="n"/>
      <c r="E774" s="41" t="n"/>
      <c r="F774" s="41" t="n"/>
      <c r="G774" s="41" t="n"/>
      <c r="H774" s="41" t="n"/>
      <c r="I774" s="41" t="n"/>
    </row>
    <row r="775" ht="15.75" customHeight="1" s="60">
      <c r="A775" s="41" t="n"/>
      <c r="B775" s="41" t="n"/>
      <c r="C775" s="41" t="n"/>
      <c r="D775" s="41" t="n"/>
      <c r="E775" s="41" t="n"/>
      <c r="F775" s="41" t="n"/>
      <c r="G775" s="41" t="n"/>
      <c r="H775" s="41" t="n"/>
      <c r="I775" s="41" t="n"/>
    </row>
    <row r="776" ht="15.75" customHeight="1" s="60">
      <c r="A776" s="41" t="n"/>
      <c r="B776" s="41" t="n"/>
      <c r="C776" s="41" t="n"/>
      <c r="D776" s="41" t="n"/>
      <c r="E776" s="41" t="n"/>
      <c r="F776" s="41" t="n"/>
      <c r="G776" s="41" t="n"/>
      <c r="H776" s="41" t="n"/>
      <c r="I776" s="41" t="n"/>
    </row>
    <row r="777" ht="15.75" customHeight="1" s="60">
      <c r="A777" s="41" t="n"/>
      <c r="B777" s="41" t="n"/>
      <c r="C777" s="41" t="n"/>
      <c r="D777" s="41" t="n"/>
      <c r="E777" s="41" t="n"/>
      <c r="F777" s="41" t="n"/>
      <c r="G777" s="41" t="n"/>
      <c r="H777" s="41" t="n"/>
      <c r="I777" s="41" t="n"/>
    </row>
    <row r="778" ht="15.75" customHeight="1" s="60">
      <c r="A778" s="41" t="n"/>
      <c r="B778" s="41" t="n"/>
      <c r="C778" s="41" t="n"/>
      <c r="D778" s="41" t="n"/>
      <c r="E778" s="41" t="n"/>
      <c r="F778" s="41" t="n"/>
      <c r="G778" s="41" t="n"/>
      <c r="H778" s="41" t="n"/>
      <c r="I778" s="41" t="n"/>
    </row>
    <row r="779" ht="15.75" customHeight="1" s="60">
      <c r="A779" s="41" t="n"/>
      <c r="B779" s="41" t="n"/>
      <c r="C779" s="41" t="n"/>
      <c r="D779" s="41" t="n"/>
      <c r="E779" s="41" t="n"/>
      <c r="F779" s="41" t="n"/>
      <c r="G779" s="41" t="n"/>
      <c r="H779" s="41" t="n"/>
      <c r="I779" s="41" t="n"/>
    </row>
    <row r="780" ht="15.75" customHeight="1" s="60">
      <c r="A780" s="41" t="n"/>
      <c r="B780" s="41" t="n"/>
      <c r="C780" s="41" t="n"/>
      <c r="D780" s="41" t="n"/>
      <c r="E780" s="41" t="n"/>
      <c r="F780" s="41" t="n"/>
      <c r="G780" s="41" t="n"/>
      <c r="H780" s="41" t="n"/>
      <c r="I780" s="41" t="n"/>
    </row>
    <row r="781" ht="15.75" customHeight="1" s="60">
      <c r="A781" s="41" t="n"/>
      <c r="B781" s="41" t="n"/>
      <c r="C781" s="41" t="n"/>
      <c r="D781" s="41" t="n"/>
      <c r="E781" s="41" t="n"/>
      <c r="F781" s="41" t="n"/>
      <c r="G781" s="41" t="n"/>
      <c r="H781" s="41" t="n"/>
      <c r="I781" s="41" t="n"/>
    </row>
    <row r="782" ht="15.75" customHeight="1" s="60">
      <c r="A782" s="41" t="n"/>
      <c r="B782" s="41" t="n"/>
      <c r="C782" s="41" t="n"/>
      <c r="D782" s="41" t="n"/>
      <c r="E782" s="41" t="n"/>
      <c r="F782" s="41" t="n"/>
      <c r="G782" s="41" t="n"/>
      <c r="H782" s="41" t="n"/>
      <c r="I782" s="41" t="n"/>
    </row>
    <row r="783" ht="15.75" customHeight="1" s="60">
      <c r="A783" s="41" t="n"/>
      <c r="B783" s="41" t="n"/>
      <c r="C783" s="41" t="n"/>
      <c r="D783" s="41" t="n"/>
      <c r="E783" s="41" t="n"/>
      <c r="F783" s="41" t="n"/>
      <c r="G783" s="41" t="n"/>
      <c r="H783" s="41" t="n"/>
      <c r="I783" s="41" t="n"/>
    </row>
    <row r="784" ht="15.75" customHeight="1" s="60">
      <c r="A784" s="41" t="n"/>
      <c r="B784" s="41" t="n"/>
      <c r="C784" s="41" t="n"/>
      <c r="D784" s="41" t="n"/>
      <c r="E784" s="41" t="n"/>
      <c r="F784" s="41" t="n"/>
      <c r="G784" s="41" t="n"/>
      <c r="H784" s="41" t="n"/>
      <c r="I784" s="41" t="n"/>
    </row>
    <row r="785" ht="15.75" customHeight="1" s="60">
      <c r="A785" s="41" t="n"/>
      <c r="B785" s="41" t="n"/>
      <c r="C785" s="41" t="n"/>
      <c r="D785" s="41" t="n"/>
      <c r="E785" s="41" t="n"/>
      <c r="F785" s="41" t="n"/>
      <c r="G785" s="41" t="n"/>
      <c r="H785" s="41" t="n"/>
      <c r="I785" s="41" t="n"/>
    </row>
    <row r="786" ht="15.75" customHeight="1" s="60">
      <c r="A786" s="41" t="n"/>
      <c r="B786" s="41" t="n"/>
      <c r="C786" s="41" t="n"/>
      <c r="D786" s="41" t="n"/>
      <c r="E786" s="41" t="n"/>
      <c r="F786" s="41" t="n"/>
      <c r="G786" s="41" t="n"/>
      <c r="H786" s="41" t="n"/>
      <c r="I786" s="41" t="n"/>
    </row>
    <row r="787" ht="15.75" customHeight="1" s="60">
      <c r="A787" s="41" t="n"/>
      <c r="B787" s="41" t="n"/>
      <c r="C787" s="41" t="n"/>
      <c r="D787" s="41" t="n"/>
      <c r="E787" s="41" t="n"/>
      <c r="F787" s="41" t="n"/>
      <c r="G787" s="41" t="n"/>
      <c r="H787" s="41" t="n"/>
      <c r="I787" s="41" t="n"/>
    </row>
    <row r="788" ht="15.75" customHeight="1" s="60">
      <c r="A788" s="41" t="n"/>
      <c r="B788" s="41" t="n"/>
      <c r="C788" s="41" t="n"/>
      <c r="D788" s="41" t="n"/>
      <c r="E788" s="41" t="n"/>
      <c r="F788" s="41" t="n"/>
      <c r="G788" s="41" t="n"/>
      <c r="H788" s="41" t="n"/>
      <c r="I788" s="41" t="n"/>
    </row>
    <row r="789" ht="15.75" customHeight="1" s="60">
      <c r="A789" s="41" t="n"/>
      <c r="B789" s="41" t="n"/>
      <c r="C789" s="41" t="n"/>
      <c r="D789" s="41" t="n"/>
      <c r="E789" s="41" t="n"/>
      <c r="F789" s="41" t="n"/>
      <c r="G789" s="41" t="n"/>
      <c r="H789" s="41" t="n"/>
      <c r="I789" s="41" t="n"/>
    </row>
    <row r="790" ht="15.75" customHeight="1" s="60">
      <c r="A790" s="41" t="n"/>
      <c r="B790" s="41" t="n"/>
      <c r="C790" s="41" t="n"/>
      <c r="D790" s="41" t="n"/>
      <c r="E790" s="41" t="n"/>
      <c r="F790" s="41" t="n"/>
      <c r="G790" s="41" t="n"/>
      <c r="H790" s="41" t="n"/>
      <c r="I790" s="41" t="n"/>
    </row>
    <row r="791" ht="15.75" customHeight="1" s="60">
      <c r="A791" s="41" t="n"/>
      <c r="B791" s="41" t="n"/>
      <c r="C791" s="41" t="n"/>
      <c r="D791" s="41" t="n"/>
      <c r="E791" s="41" t="n"/>
      <c r="F791" s="41" t="n"/>
      <c r="G791" s="41" t="n"/>
      <c r="H791" s="41" t="n"/>
      <c r="I791" s="41" t="n"/>
    </row>
    <row r="792" ht="15.75" customHeight="1" s="60">
      <c r="A792" s="41" t="n"/>
      <c r="B792" s="41" t="n"/>
      <c r="C792" s="41" t="n"/>
      <c r="D792" s="41" t="n"/>
      <c r="E792" s="41" t="n"/>
      <c r="F792" s="41" t="n"/>
      <c r="G792" s="41" t="n"/>
      <c r="H792" s="41" t="n"/>
      <c r="I792" s="41" t="n"/>
    </row>
    <row r="793" ht="15.75" customHeight="1" s="60">
      <c r="A793" s="41" t="n"/>
      <c r="B793" s="41" t="n"/>
      <c r="C793" s="41" t="n"/>
      <c r="D793" s="41" t="n"/>
      <c r="E793" s="41" t="n"/>
      <c r="F793" s="41" t="n"/>
      <c r="G793" s="41" t="n"/>
      <c r="H793" s="41" t="n"/>
      <c r="I793" s="41" t="n"/>
    </row>
    <row r="794" ht="15.75" customHeight="1" s="60">
      <c r="A794" s="41" t="n"/>
      <c r="B794" s="41" t="n"/>
      <c r="C794" s="41" t="n"/>
      <c r="D794" s="41" t="n"/>
      <c r="E794" s="41" t="n"/>
      <c r="F794" s="41" t="n"/>
      <c r="G794" s="41" t="n"/>
      <c r="H794" s="41" t="n"/>
      <c r="I794" s="41" t="n"/>
    </row>
    <row r="795" ht="15.75" customHeight="1" s="60">
      <c r="A795" s="41" t="n"/>
      <c r="B795" s="41" t="n"/>
      <c r="C795" s="41" t="n"/>
      <c r="D795" s="41" t="n"/>
      <c r="E795" s="41" t="n"/>
      <c r="F795" s="41" t="n"/>
      <c r="G795" s="41" t="n"/>
      <c r="H795" s="41" t="n"/>
      <c r="I795" s="41" t="n"/>
    </row>
    <row r="796" ht="15.75" customHeight="1" s="60">
      <c r="A796" s="41" t="n"/>
      <c r="B796" s="41" t="n"/>
      <c r="C796" s="41" t="n"/>
      <c r="D796" s="41" t="n"/>
      <c r="E796" s="41" t="n"/>
      <c r="F796" s="41" t="n"/>
      <c r="G796" s="41" t="n"/>
      <c r="H796" s="41" t="n"/>
      <c r="I796" s="41" t="n"/>
    </row>
    <row r="797" ht="15.75" customHeight="1" s="60">
      <c r="A797" s="41" t="n"/>
      <c r="B797" s="41" t="n"/>
      <c r="C797" s="41" t="n"/>
      <c r="D797" s="41" t="n"/>
      <c r="E797" s="41" t="n"/>
      <c r="F797" s="41" t="n"/>
      <c r="G797" s="41" t="n"/>
      <c r="H797" s="41" t="n"/>
      <c r="I797" s="41" t="n"/>
    </row>
    <row r="798" ht="15.75" customHeight="1" s="60">
      <c r="A798" s="41" t="n"/>
      <c r="B798" s="41" t="n"/>
      <c r="C798" s="41" t="n"/>
      <c r="D798" s="41" t="n"/>
      <c r="E798" s="41" t="n"/>
      <c r="F798" s="41" t="n"/>
      <c r="G798" s="41" t="n"/>
      <c r="H798" s="41" t="n"/>
      <c r="I798" s="41" t="n"/>
    </row>
    <row r="799" ht="15.75" customHeight="1" s="60">
      <c r="A799" s="41" t="n"/>
      <c r="B799" s="41" t="n"/>
      <c r="C799" s="41" t="n"/>
      <c r="D799" s="41" t="n"/>
      <c r="E799" s="41" t="n"/>
      <c r="F799" s="41" t="n"/>
      <c r="G799" s="41" t="n"/>
      <c r="H799" s="41" t="n"/>
      <c r="I799" s="41" t="n"/>
    </row>
    <row r="800" ht="15.75" customHeight="1" s="60">
      <c r="A800" s="41" t="n"/>
      <c r="B800" s="41" t="n"/>
      <c r="C800" s="41" t="n"/>
      <c r="D800" s="41" t="n"/>
      <c r="E800" s="41" t="n"/>
      <c r="F800" s="41" t="n"/>
      <c r="G800" s="41" t="n"/>
      <c r="H800" s="41" t="n"/>
      <c r="I800" s="41" t="n"/>
    </row>
    <row r="801" ht="15.75" customHeight="1" s="60">
      <c r="A801" s="41" t="n"/>
      <c r="B801" s="41" t="n"/>
      <c r="C801" s="41" t="n"/>
      <c r="D801" s="41" t="n"/>
      <c r="E801" s="41" t="n"/>
      <c r="F801" s="41" t="n"/>
      <c r="G801" s="41" t="n"/>
      <c r="H801" s="41" t="n"/>
      <c r="I801" s="41" t="n"/>
    </row>
    <row r="802" ht="15.75" customHeight="1" s="60">
      <c r="A802" s="41" t="n"/>
      <c r="B802" s="41" t="n"/>
      <c r="C802" s="41" t="n"/>
      <c r="D802" s="41" t="n"/>
      <c r="E802" s="41" t="n"/>
      <c r="F802" s="41" t="n"/>
      <c r="G802" s="41" t="n"/>
      <c r="H802" s="41" t="n"/>
      <c r="I802" s="41" t="n"/>
    </row>
    <row r="803" ht="15.75" customHeight="1" s="60">
      <c r="A803" s="41" t="n"/>
      <c r="B803" s="41" t="n"/>
      <c r="C803" s="41" t="n"/>
      <c r="D803" s="41" t="n"/>
      <c r="E803" s="41" t="n"/>
      <c r="F803" s="41" t="n"/>
      <c r="G803" s="41" t="n"/>
      <c r="H803" s="41" t="n"/>
      <c r="I803" s="41" t="n"/>
    </row>
    <row r="804" ht="15.75" customHeight="1" s="60">
      <c r="A804" s="41" t="n"/>
      <c r="B804" s="41" t="n"/>
      <c r="C804" s="41" t="n"/>
      <c r="D804" s="41" t="n"/>
      <c r="E804" s="41" t="n"/>
      <c r="F804" s="41" t="n"/>
      <c r="G804" s="41" t="n"/>
      <c r="H804" s="41" t="n"/>
      <c r="I804" s="41" t="n"/>
    </row>
    <row r="805" ht="15.75" customHeight="1" s="60">
      <c r="A805" s="41" t="n"/>
      <c r="B805" s="41" t="n"/>
      <c r="C805" s="41" t="n"/>
      <c r="D805" s="41" t="n"/>
      <c r="E805" s="41" t="n"/>
      <c r="F805" s="41" t="n"/>
      <c r="G805" s="41" t="n"/>
      <c r="H805" s="41" t="n"/>
      <c r="I805" s="41" t="n"/>
    </row>
    <row r="806" ht="15.75" customHeight="1" s="60">
      <c r="A806" s="41" t="n"/>
      <c r="B806" s="41" t="n"/>
      <c r="C806" s="41" t="n"/>
      <c r="D806" s="41" t="n"/>
      <c r="E806" s="41" t="n"/>
      <c r="F806" s="41" t="n"/>
      <c r="G806" s="41" t="n"/>
      <c r="H806" s="41" t="n"/>
      <c r="I806" s="41" t="n"/>
    </row>
    <row r="807" ht="15.75" customHeight="1" s="60">
      <c r="A807" s="41" t="n"/>
      <c r="B807" s="41" t="n"/>
      <c r="C807" s="41" t="n"/>
      <c r="D807" s="41" t="n"/>
      <c r="E807" s="41" t="n"/>
      <c r="F807" s="41" t="n"/>
      <c r="G807" s="41" t="n"/>
      <c r="H807" s="41" t="n"/>
      <c r="I807" s="41" t="n"/>
    </row>
    <row r="808" ht="15.75" customHeight="1" s="60">
      <c r="A808" s="41" t="n"/>
      <c r="B808" s="41" t="n"/>
      <c r="C808" s="41" t="n"/>
      <c r="D808" s="41" t="n"/>
      <c r="E808" s="41" t="n"/>
      <c r="F808" s="41" t="n"/>
      <c r="G808" s="41" t="n"/>
      <c r="H808" s="41" t="n"/>
      <c r="I808" s="41" t="n"/>
    </row>
    <row r="809" ht="15.75" customHeight="1" s="60">
      <c r="A809" s="41" t="n"/>
      <c r="B809" s="41" t="n"/>
      <c r="C809" s="41" t="n"/>
      <c r="D809" s="41" t="n"/>
      <c r="E809" s="41" t="n"/>
      <c r="F809" s="41" t="n"/>
      <c r="G809" s="41" t="n"/>
      <c r="H809" s="41" t="n"/>
      <c r="I809" s="41" t="n"/>
    </row>
    <row r="810" ht="15.75" customHeight="1" s="60">
      <c r="A810" s="41" t="n"/>
      <c r="B810" s="41" t="n"/>
      <c r="C810" s="41" t="n"/>
      <c r="D810" s="41" t="n"/>
      <c r="E810" s="41" t="n"/>
      <c r="F810" s="41" t="n"/>
      <c r="G810" s="41" t="n"/>
      <c r="H810" s="41" t="n"/>
      <c r="I810" s="41" t="n"/>
    </row>
    <row r="811" ht="15.75" customHeight="1" s="60">
      <c r="A811" s="41" t="n"/>
      <c r="B811" s="41" t="n"/>
      <c r="C811" s="41" t="n"/>
      <c r="D811" s="41" t="n"/>
      <c r="E811" s="41" t="n"/>
      <c r="F811" s="41" t="n"/>
      <c r="G811" s="41" t="n"/>
      <c r="H811" s="41" t="n"/>
      <c r="I811" s="41" t="n"/>
    </row>
    <row r="812" ht="15.75" customHeight="1" s="60">
      <c r="A812" s="41" t="n"/>
      <c r="B812" s="41" t="n"/>
      <c r="C812" s="41" t="n"/>
      <c r="D812" s="41" t="n"/>
      <c r="E812" s="41" t="n"/>
      <c r="F812" s="41" t="n"/>
      <c r="G812" s="41" t="n"/>
      <c r="H812" s="41" t="n"/>
      <c r="I812" s="41" t="n"/>
    </row>
    <row r="813" ht="15.75" customHeight="1" s="60">
      <c r="A813" s="41" t="n"/>
      <c r="B813" s="41" t="n"/>
      <c r="C813" s="41" t="n"/>
      <c r="D813" s="41" t="n"/>
      <c r="E813" s="41" t="n"/>
      <c r="F813" s="41" t="n"/>
      <c r="G813" s="41" t="n"/>
      <c r="H813" s="41" t="n"/>
      <c r="I813" s="41" t="n"/>
    </row>
    <row r="814" ht="15.75" customHeight="1" s="60">
      <c r="A814" s="41" t="n"/>
      <c r="B814" s="41" t="n"/>
      <c r="C814" s="41" t="n"/>
      <c r="D814" s="41" t="n"/>
      <c r="E814" s="41" t="n"/>
      <c r="F814" s="41" t="n"/>
      <c r="G814" s="41" t="n"/>
      <c r="H814" s="41" t="n"/>
      <c r="I814" s="41" t="n"/>
    </row>
    <row r="815" ht="15.75" customHeight="1" s="60">
      <c r="A815" s="41" t="n"/>
      <c r="B815" s="41" t="n"/>
      <c r="C815" s="41" t="n"/>
      <c r="D815" s="41" t="n"/>
      <c r="E815" s="41" t="n"/>
      <c r="F815" s="41" t="n"/>
      <c r="G815" s="41" t="n"/>
      <c r="H815" s="41" t="n"/>
      <c r="I815" s="41" t="n"/>
    </row>
    <row r="816" ht="15.75" customHeight="1" s="60">
      <c r="A816" s="41" t="n"/>
      <c r="B816" s="41" t="n"/>
      <c r="C816" s="41" t="n"/>
      <c r="D816" s="41" t="n"/>
      <c r="E816" s="41" t="n"/>
      <c r="F816" s="41" t="n"/>
      <c r="G816" s="41" t="n"/>
      <c r="H816" s="41" t="n"/>
      <c r="I816" s="41" t="n"/>
    </row>
    <row r="817" ht="15.75" customHeight="1" s="60">
      <c r="A817" s="41" t="n"/>
      <c r="B817" s="41" t="n"/>
      <c r="C817" s="41" t="n"/>
      <c r="D817" s="41" t="n"/>
      <c r="E817" s="41" t="n"/>
      <c r="F817" s="41" t="n"/>
      <c r="G817" s="41" t="n"/>
      <c r="H817" s="41" t="n"/>
      <c r="I817" s="41" t="n"/>
    </row>
    <row r="818" ht="15.75" customHeight="1" s="60">
      <c r="A818" s="41" t="n"/>
      <c r="B818" s="41" t="n"/>
      <c r="C818" s="41" t="n"/>
      <c r="D818" s="41" t="n"/>
      <c r="E818" s="41" t="n"/>
      <c r="F818" s="41" t="n"/>
      <c r="G818" s="41" t="n"/>
      <c r="H818" s="41" t="n"/>
      <c r="I818" s="41" t="n"/>
    </row>
    <row r="819" ht="15.75" customHeight="1" s="60">
      <c r="A819" s="41" t="n"/>
      <c r="B819" s="41" t="n"/>
      <c r="C819" s="41" t="n"/>
      <c r="D819" s="41" t="n"/>
      <c r="E819" s="41" t="n"/>
      <c r="F819" s="41" t="n"/>
      <c r="G819" s="41" t="n"/>
      <c r="H819" s="41" t="n"/>
      <c r="I819" s="41" t="n"/>
    </row>
    <row r="820" ht="15.75" customHeight="1" s="60">
      <c r="A820" s="41" t="n"/>
      <c r="B820" s="41" t="n"/>
      <c r="C820" s="41" t="n"/>
      <c r="D820" s="41" t="n"/>
      <c r="E820" s="41" t="n"/>
      <c r="F820" s="41" t="n"/>
      <c r="G820" s="41" t="n"/>
      <c r="H820" s="41" t="n"/>
      <c r="I820" s="41" t="n"/>
    </row>
    <row r="821" ht="15.75" customHeight="1" s="60">
      <c r="A821" s="41" t="n"/>
      <c r="B821" s="41" t="n"/>
      <c r="C821" s="41" t="n"/>
      <c r="D821" s="41" t="n"/>
      <c r="E821" s="41" t="n"/>
      <c r="F821" s="41" t="n"/>
      <c r="G821" s="41" t="n"/>
      <c r="H821" s="41" t="n"/>
      <c r="I821" s="41" t="n"/>
    </row>
    <row r="822" ht="15.75" customHeight="1" s="60">
      <c r="A822" s="41" t="n"/>
      <c r="B822" s="41" t="n"/>
      <c r="C822" s="41" t="n"/>
      <c r="D822" s="41" t="n"/>
      <c r="E822" s="41" t="n"/>
      <c r="F822" s="41" t="n"/>
      <c r="G822" s="41" t="n"/>
      <c r="H822" s="41" t="n"/>
      <c r="I822" s="41" t="n"/>
    </row>
    <row r="823" ht="15.75" customHeight="1" s="60">
      <c r="A823" s="41" t="n"/>
      <c r="B823" s="41" t="n"/>
      <c r="C823" s="41" t="n"/>
      <c r="D823" s="41" t="n"/>
      <c r="E823" s="41" t="n"/>
      <c r="F823" s="41" t="n"/>
      <c r="G823" s="41" t="n"/>
      <c r="H823" s="41" t="n"/>
      <c r="I823" s="41" t="n"/>
    </row>
    <row r="824" ht="15.75" customHeight="1" s="60">
      <c r="A824" s="41" t="n"/>
      <c r="B824" s="41" t="n"/>
      <c r="C824" s="41" t="n"/>
      <c r="D824" s="41" t="n"/>
      <c r="E824" s="41" t="n"/>
      <c r="F824" s="41" t="n"/>
      <c r="G824" s="41" t="n"/>
      <c r="H824" s="41" t="n"/>
      <c r="I824" s="41" t="n"/>
    </row>
    <row r="825" ht="15.75" customHeight="1" s="60">
      <c r="A825" s="41" t="n"/>
      <c r="B825" s="41" t="n"/>
      <c r="C825" s="41" t="n"/>
      <c r="D825" s="41" t="n"/>
      <c r="E825" s="41" t="n"/>
      <c r="F825" s="41" t="n"/>
      <c r="G825" s="41" t="n"/>
      <c r="H825" s="41" t="n"/>
      <c r="I825" s="41" t="n"/>
    </row>
    <row r="826" ht="15.75" customHeight="1" s="60">
      <c r="A826" s="41" t="n"/>
      <c r="B826" s="41" t="n"/>
      <c r="C826" s="41" t="n"/>
      <c r="D826" s="41" t="n"/>
      <c r="E826" s="41" t="n"/>
      <c r="F826" s="41" t="n"/>
      <c r="G826" s="41" t="n"/>
      <c r="H826" s="41" t="n"/>
      <c r="I826" s="41" t="n"/>
    </row>
    <row r="827" ht="15.75" customHeight="1" s="60">
      <c r="A827" s="41" t="n"/>
      <c r="B827" s="41" t="n"/>
      <c r="C827" s="41" t="n"/>
      <c r="D827" s="41" t="n"/>
      <c r="E827" s="41" t="n"/>
      <c r="F827" s="41" t="n"/>
      <c r="G827" s="41" t="n"/>
      <c r="H827" s="41" t="n"/>
      <c r="I827" s="41" t="n"/>
    </row>
    <row r="828" ht="15.75" customHeight="1" s="60">
      <c r="A828" s="41" t="n"/>
      <c r="B828" s="41" t="n"/>
      <c r="C828" s="41" t="n"/>
      <c r="D828" s="41" t="n"/>
      <c r="E828" s="41" t="n"/>
      <c r="F828" s="41" t="n"/>
      <c r="G828" s="41" t="n"/>
      <c r="H828" s="41" t="n"/>
      <c r="I828" s="41" t="n"/>
    </row>
    <row r="829" ht="15.75" customHeight="1" s="60">
      <c r="A829" s="41" t="n"/>
      <c r="B829" s="41" t="n"/>
      <c r="C829" s="41" t="n"/>
      <c r="D829" s="41" t="n"/>
      <c r="E829" s="41" t="n"/>
      <c r="F829" s="41" t="n"/>
      <c r="G829" s="41" t="n"/>
      <c r="H829" s="41" t="n"/>
      <c r="I829" s="41" t="n"/>
    </row>
    <row r="830" ht="15.75" customHeight="1" s="60">
      <c r="A830" s="41" t="n"/>
      <c r="B830" s="41" t="n"/>
      <c r="C830" s="41" t="n"/>
      <c r="D830" s="41" t="n"/>
      <c r="E830" s="41" t="n"/>
      <c r="F830" s="41" t="n"/>
      <c r="G830" s="41" t="n"/>
      <c r="H830" s="41" t="n"/>
      <c r="I830" s="41" t="n"/>
    </row>
    <row r="831" ht="15.75" customHeight="1" s="60">
      <c r="A831" s="41" t="n"/>
      <c r="B831" s="41" t="n"/>
      <c r="C831" s="41" t="n"/>
      <c r="D831" s="41" t="n"/>
      <c r="E831" s="41" t="n"/>
      <c r="F831" s="41" t="n"/>
      <c r="G831" s="41" t="n"/>
      <c r="H831" s="41" t="n"/>
      <c r="I831" s="41" t="n"/>
    </row>
    <row r="832" ht="15.75" customHeight="1" s="60">
      <c r="A832" s="41" t="n"/>
      <c r="B832" s="41" t="n"/>
      <c r="C832" s="41" t="n"/>
      <c r="D832" s="41" t="n"/>
      <c r="E832" s="41" t="n"/>
      <c r="F832" s="41" t="n"/>
      <c r="G832" s="41" t="n"/>
      <c r="H832" s="41" t="n"/>
      <c r="I832" s="41" t="n"/>
    </row>
    <row r="833" ht="15.75" customHeight="1" s="60">
      <c r="A833" s="41" t="n"/>
      <c r="B833" s="41" t="n"/>
      <c r="C833" s="41" t="n"/>
      <c r="D833" s="41" t="n"/>
      <c r="E833" s="41" t="n"/>
      <c r="F833" s="41" t="n"/>
      <c r="G833" s="41" t="n"/>
      <c r="H833" s="41" t="n"/>
      <c r="I833" s="41" t="n"/>
    </row>
    <row r="834" ht="15.75" customHeight="1" s="60">
      <c r="A834" s="41" t="n"/>
      <c r="B834" s="41" t="n"/>
      <c r="C834" s="41" t="n"/>
      <c r="D834" s="41" t="n"/>
      <c r="E834" s="41" t="n"/>
      <c r="F834" s="41" t="n"/>
      <c r="G834" s="41" t="n"/>
      <c r="H834" s="41" t="n"/>
      <c r="I834" s="41" t="n"/>
    </row>
    <row r="835" ht="15.75" customHeight="1" s="60">
      <c r="A835" s="41" t="n"/>
      <c r="B835" s="41" t="n"/>
      <c r="C835" s="41" t="n"/>
      <c r="D835" s="41" t="n"/>
      <c r="E835" s="41" t="n"/>
      <c r="F835" s="41" t="n"/>
      <c r="G835" s="41" t="n"/>
      <c r="H835" s="41" t="n"/>
      <c r="I835" s="41" t="n"/>
    </row>
    <row r="836" ht="15.75" customHeight="1" s="60">
      <c r="A836" s="41" t="n"/>
      <c r="B836" s="41" t="n"/>
      <c r="C836" s="41" t="n"/>
      <c r="D836" s="41" t="n"/>
      <c r="E836" s="41" t="n"/>
      <c r="F836" s="41" t="n"/>
      <c r="G836" s="41" t="n"/>
      <c r="H836" s="41" t="n"/>
      <c r="I836" s="41" t="n"/>
    </row>
    <row r="837" ht="15.75" customHeight="1" s="60">
      <c r="A837" s="41" t="n"/>
      <c r="B837" s="41" t="n"/>
      <c r="C837" s="41" t="n"/>
      <c r="D837" s="41" t="n"/>
      <c r="E837" s="41" t="n"/>
      <c r="F837" s="41" t="n"/>
      <c r="G837" s="41" t="n"/>
      <c r="H837" s="41" t="n"/>
      <c r="I837" s="41" t="n"/>
    </row>
    <row r="838" ht="15.75" customHeight="1" s="60">
      <c r="A838" s="41" t="n"/>
      <c r="B838" s="41" t="n"/>
      <c r="C838" s="41" t="n"/>
      <c r="D838" s="41" t="n"/>
      <c r="E838" s="41" t="n"/>
      <c r="F838" s="41" t="n"/>
      <c r="G838" s="41" t="n"/>
      <c r="H838" s="41" t="n"/>
      <c r="I838" s="41" t="n"/>
    </row>
    <row r="839" ht="15.75" customHeight="1" s="60">
      <c r="A839" s="41" t="n"/>
      <c r="B839" s="41" t="n"/>
      <c r="C839" s="41" t="n"/>
      <c r="D839" s="41" t="n"/>
      <c r="E839" s="41" t="n"/>
      <c r="F839" s="41" t="n"/>
      <c r="G839" s="41" t="n"/>
      <c r="H839" s="41" t="n"/>
      <c r="I839" s="41" t="n"/>
    </row>
    <row r="840" ht="15.75" customHeight="1" s="60">
      <c r="A840" s="41" t="n"/>
      <c r="B840" s="41" t="n"/>
      <c r="C840" s="41" t="n"/>
      <c r="D840" s="41" t="n"/>
      <c r="E840" s="41" t="n"/>
      <c r="F840" s="41" t="n"/>
      <c r="G840" s="41" t="n"/>
      <c r="H840" s="41" t="n"/>
      <c r="I840" s="41" t="n"/>
    </row>
    <row r="841" ht="15.75" customHeight="1" s="60">
      <c r="A841" s="41" t="n"/>
      <c r="B841" s="41" t="n"/>
      <c r="C841" s="41" t="n"/>
      <c r="D841" s="41" t="n"/>
      <c r="E841" s="41" t="n"/>
      <c r="F841" s="41" t="n"/>
      <c r="G841" s="41" t="n"/>
      <c r="H841" s="41" t="n"/>
      <c r="I841" s="41" t="n"/>
    </row>
    <row r="842" ht="15.75" customHeight="1" s="60">
      <c r="A842" s="41" t="n"/>
      <c r="B842" s="41" t="n"/>
      <c r="C842" s="41" t="n"/>
      <c r="D842" s="41" t="n"/>
      <c r="E842" s="41" t="n"/>
      <c r="F842" s="41" t="n"/>
      <c r="G842" s="41" t="n"/>
      <c r="H842" s="41" t="n"/>
      <c r="I842" s="41" t="n"/>
    </row>
    <row r="843" ht="15.75" customHeight="1" s="60">
      <c r="A843" s="41" t="n"/>
      <c r="B843" s="41" t="n"/>
      <c r="C843" s="41" t="n"/>
      <c r="D843" s="41" t="n"/>
      <c r="E843" s="41" t="n"/>
      <c r="F843" s="41" t="n"/>
      <c r="G843" s="41" t="n"/>
      <c r="H843" s="41" t="n"/>
      <c r="I843" s="41" t="n"/>
    </row>
    <row r="844" ht="15.75" customHeight="1" s="60">
      <c r="A844" s="41" t="n"/>
      <c r="B844" s="41" t="n"/>
      <c r="C844" s="41" t="n"/>
      <c r="D844" s="41" t="n"/>
      <c r="E844" s="41" t="n"/>
      <c r="F844" s="41" t="n"/>
      <c r="G844" s="41" t="n"/>
      <c r="H844" s="41" t="n"/>
      <c r="I844" s="41" t="n"/>
    </row>
    <row r="845" ht="15.75" customHeight="1" s="60">
      <c r="A845" s="41" t="n"/>
      <c r="B845" s="41" t="n"/>
      <c r="C845" s="41" t="n"/>
      <c r="D845" s="41" t="n"/>
      <c r="E845" s="41" t="n"/>
      <c r="F845" s="41" t="n"/>
      <c r="G845" s="41" t="n"/>
      <c r="H845" s="41" t="n"/>
      <c r="I845" s="41" t="n"/>
    </row>
    <row r="846" ht="15.75" customHeight="1" s="60">
      <c r="A846" s="41" t="n"/>
      <c r="B846" s="41" t="n"/>
      <c r="C846" s="41" t="n"/>
      <c r="D846" s="41" t="n"/>
      <c r="E846" s="41" t="n"/>
      <c r="F846" s="41" t="n"/>
      <c r="G846" s="41" t="n"/>
      <c r="H846" s="41" t="n"/>
      <c r="I846" s="41" t="n"/>
    </row>
    <row r="847" ht="15.75" customHeight="1" s="60">
      <c r="A847" s="41" t="n"/>
      <c r="B847" s="41" t="n"/>
      <c r="C847" s="41" t="n"/>
      <c r="D847" s="41" t="n"/>
      <c r="E847" s="41" t="n"/>
      <c r="F847" s="41" t="n"/>
      <c r="G847" s="41" t="n"/>
      <c r="H847" s="41" t="n"/>
      <c r="I847" s="41" t="n"/>
    </row>
    <row r="848" ht="15.75" customHeight="1" s="60">
      <c r="A848" s="41" t="n"/>
      <c r="B848" s="41" t="n"/>
      <c r="C848" s="41" t="n"/>
      <c r="D848" s="41" t="n"/>
      <c r="E848" s="41" t="n"/>
      <c r="F848" s="41" t="n"/>
      <c r="G848" s="41" t="n"/>
      <c r="H848" s="41" t="n"/>
      <c r="I848" s="41" t="n"/>
    </row>
    <row r="849" ht="15.75" customHeight="1" s="60">
      <c r="A849" s="41" t="n"/>
      <c r="B849" s="41" t="n"/>
      <c r="C849" s="41" t="n"/>
      <c r="D849" s="41" t="n"/>
      <c r="E849" s="41" t="n"/>
      <c r="F849" s="41" t="n"/>
      <c r="G849" s="41" t="n"/>
      <c r="H849" s="41" t="n"/>
      <c r="I849" s="41" t="n"/>
    </row>
    <row r="850" ht="15.75" customHeight="1" s="60">
      <c r="A850" s="41" t="n"/>
      <c r="B850" s="41" t="n"/>
      <c r="C850" s="41" t="n"/>
      <c r="D850" s="41" t="n"/>
      <c r="E850" s="41" t="n"/>
      <c r="F850" s="41" t="n"/>
      <c r="G850" s="41" t="n"/>
      <c r="H850" s="41" t="n"/>
      <c r="I850" s="41" t="n"/>
    </row>
    <row r="851" ht="15.75" customHeight="1" s="60">
      <c r="A851" s="41" t="n"/>
      <c r="B851" s="41" t="n"/>
      <c r="C851" s="41" t="n"/>
      <c r="D851" s="41" t="n"/>
      <c r="E851" s="41" t="n"/>
      <c r="F851" s="41" t="n"/>
      <c r="G851" s="41" t="n"/>
      <c r="H851" s="41" t="n"/>
      <c r="I851" s="41" t="n"/>
    </row>
    <row r="852" ht="15.75" customHeight="1" s="60">
      <c r="A852" s="41" t="n"/>
      <c r="B852" s="41" t="n"/>
      <c r="C852" s="41" t="n"/>
      <c r="D852" s="41" t="n"/>
      <c r="E852" s="41" t="n"/>
      <c r="F852" s="41" t="n"/>
      <c r="G852" s="41" t="n"/>
      <c r="H852" s="41" t="n"/>
      <c r="I852" s="41" t="n"/>
    </row>
    <row r="853" ht="15.75" customHeight="1" s="60">
      <c r="A853" s="41" t="n"/>
      <c r="B853" s="41" t="n"/>
      <c r="C853" s="41" t="n"/>
      <c r="D853" s="41" t="n"/>
      <c r="E853" s="41" t="n"/>
      <c r="F853" s="41" t="n"/>
      <c r="G853" s="41" t="n"/>
      <c r="H853" s="41" t="n"/>
      <c r="I853" s="41" t="n"/>
    </row>
    <row r="854" ht="15.75" customHeight="1" s="60">
      <c r="A854" s="41" t="n"/>
      <c r="B854" s="41" t="n"/>
      <c r="C854" s="41" t="n"/>
      <c r="D854" s="41" t="n"/>
      <c r="E854" s="41" t="n"/>
      <c r="F854" s="41" t="n"/>
      <c r="G854" s="41" t="n"/>
      <c r="H854" s="41" t="n"/>
      <c r="I854" s="41" t="n"/>
    </row>
    <row r="855" ht="15.75" customHeight="1" s="60">
      <c r="A855" s="41" t="n"/>
      <c r="B855" s="41" t="n"/>
      <c r="C855" s="41" t="n"/>
      <c r="D855" s="41" t="n"/>
      <c r="E855" s="41" t="n"/>
      <c r="F855" s="41" t="n"/>
      <c r="G855" s="41" t="n"/>
      <c r="H855" s="41" t="n"/>
      <c r="I855" s="41" t="n"/>
    </row>
    <row r="856" ht="15.75" customHeight="1" s="60">
      <c r="A856" s="41" t="n"/>
      <c r="B856" s="41" t="n"/>
      <c r="C856" s="41" t="n"/>
      <c r="D856" s="41" t="n"/>
      <c r="E856" s="41" t="n"/>
      <c r="F856" s="41" t="n"/>
      <c r="G856" s="41" t="n"/>
      <c r="H856" s="41" t="n"/>
      <c r="I856" s="41" t="n"/>
    </row>
    <row r="857" ht="15.75" customHeight="1" s="60">
      <c r="A857" s="41" t="n"/>
      <c r="B857" s="41" t="n"/>
      <c r="C857" s="41" t="n"/>
      <c r="D857" s="41" t="n"/>
      <c r="E857" s="41" t="n"/>
      <c r="F857" s="41" t="n"/>
      <c r="G857" s="41" t="n"/>
      <c r="H857" s="41" t="n"/>
      <c r="I857" s="41" t="n"/>
    </row>
    <row r="858" ht="15.75" customHeight="1" s="60">
      <c r="A858" s="41" t="n"/>
      <c r="B858" s="41" t="n"/>
      <c r="C858" s="41" t="n"/>
      <c r="D858" s="41" t="n"/>
      <c r="E858" s="41" t="n"/>
      <c r="F858" s="41" t="n"/>
      <c r="G858" s="41" t="n"/>
      <c r="H858" s="41" t="n"/>
      <c r="I858" s="41" t="n"/>
    </row>
    <row r="859" ht="15.75" customHeight="1" s="60">
      <c r="A859" s="41" t="n"/>
      <c r="B859" s="41" t="n"/>
      <c r="C859" s="41" t="n"/>
      <c r="D859" s="41" t="n"/>
      <c r="E859" s="41" t="n"/>
      <c r="F859" s="41" t="n"/>
      <c r="G859" s="41" t="n"/>
      <c r="H859" s="41" t="n"/>
      <c r="I859" s="41" t="n"/>
    </row>
    <row r="860" ht="15.75" customHeight="1" s="60">
      <c r="A860" s="41" t="n"/>
      <c r="B860" s="41" t="n"/>
      <c r="C860" s="41" t="n"/>
      <c r="D860" s="41" t="n"/>
      <c r="E860" s="41" t="n"/>
      <c r="F860" s="41" t="n"/>
      <c r="G860" s="41" t="n"/>
      <c r="H860" s="41" t="n"/>
      <c r="I860" s="41" t="n"/>
    </row>
    <row r="861" ht="15.75" customHeight="1" s="60">
      <c r="A861" s="41" t="n"/>
      <c r="B861" s="41" t="n"/>
      <c r="C861" s="41" t="n"/>
      <c r="D861" s="41" t="n"/>
      <c r="E861" s="41" t="n"/>
      <c r="F861" s="41" t="n"/>
      <c r="G861" s="41" t="n"/>
      <c r="H861" s="41" t="n"/>
      <c r="I861" s="41" t="n"/>
    </row>
    <row r="862" ht="15.75" customHeight="1" s="60">
      <c r="A862" s="41" t="n"/>
      <c r="B862" s="41" t="n"/>
      <c r="C862" s="41" t="n"/>
      <c r="D862" s="41" t="n"/>
      <c r="E862" s="41" t="n"/>
      <c r="F862" s="41" t="n"/>
      <c r="G862" s="41" t="n"/>
      <c r="H862" s="41" t="n"/>
      <c r="I862" s="41" t="n"/>
    </row>
    <row r="863" ht="15.75" customHeight="1" s="60">
      <c r="A863" s="41" t="n"/>
      <c r="B863" s="41" t="n"/>
      <c r="C863" s="41" t="n"/>
      <c r="D863" s="41" t="n"/>
      <c r="E863" s="41" t="n"/>
      <c r="F863" s="41" t="n"/>
      <c r="G863" s="41" t="n"/>
      <c r="H863" s="41" t="n"/>
      <c r="I863" s="41" t="n"/>
    </row>
    <row r="864" ht="15.75" customHeight="1" s="60">
      <c r="A864" s="41" t="n"/>
      <c r="B864" s="41" t="n"/>
      <c r="C864" s="41" t="n"/>
      <c r="D864" s="41" t="n"/>
      <c r="E864" s="41" t="n"/>
      <c r="F864" s="41" t="n"/>
      <c r="G864" s="41" t="n"/>
      <c r="H864" s="41" t="n"/>
      <c r="I864" s="41" t="n"/>
    </row>
    <row r="865" ht="15.75" customHeight="1" s="60">
      <c r="A865" s="41" t="n"/>
      <c r="B865" s="41" t="n"/>
      <c r="C865" s="41" t="n"/>
      <c r="D865" s="41" t="n"/>
      <c r="E865" s="41" t="n"/>
      <c r="F865" s="41" t="n"/>
      <c r="G865" s="41" t="n"/>
      <c r="H865" s="41" t="n"/>
      <c r="I865" s="41" t="n"/>
    </row>
    <row r="866" ht="15.75" customHeight="1" s="60">
      <c r="A866" s="41" t="n"/>
      <c r="B866" s="41" t="n"/>
      <c r="C866" s="41" t="n"/>
      <c r="D866" s="41" t="n"/>
      <c r="E866" s="41" t="n"/>
      <c r="F866" s="41" t="n"/>
      <c r="G866" s="41" t="n"/>
      <c r="H866" s="41" t="n"/>
      <c r="I866" s="41" t="n"/>
    </row>
    <row r="867" ht="15.75" customHeight="1" s="60">
      <c r="A867" s="41" t="n"/>
      <c r="B867" s="41" t="n"/>
      <c r="C867" s="41" t="n"/>
      <c r="D867" s="41" t="n"/>
      <c r="E867" s="41" t="n"/>
      <c r="F867" s="41" t="n"/>
      <c r="G867" s="41" t="n"/>
      <c r="H867" s="41" t="n"/>
      <c r="I867" s="41" t="n"/>
    </row>
    <row r="868" ht="15.75" customHeight="1" s="60">
      <c r="A868" s="41" t="n"/>
      <c r="B868" s="41" t="n"/>
      <c r="C868" s="41" t="n"/>
      <c r="D868" s="41" t="n"/>
      <c r="E868" s="41" t="n"/>
      <c r="F868" s="41" t="n"/>
      <c r="G868" s="41" t="n"/>
      <c r="H868" s="41" t="n"/>
      <c r="I868" s="41" t="n"/>
    </row>
    <row r="869" ht="15.75" customHeight="1" s="60">
      <c r="A869" s="41" t="n"/>
      <c r="B869" s="41" t="n"/>
      <c r="C869" s="41" t="n"/>
      <c r="D869" s="41" t="n"/>
      <c r="E869" s="41" t="n"/>
      <c r="F869" s="41" t="n"/>
      <c r="G869" s="41" t="n"/>
      <c r="H869" s="41" t="n"/>
      <c r="I869" s="41" t="n"/>
    </row>
    <row r="870" ht="15.75" customHeight="1" s="60">
      <c r="A870" s="41" t="n"/>
      <c r="B870" s="41" t="n"/>
      <c r="C870" s="41" t="n"/>
      <c r="D870" s="41" t="n"/>
      <c r="E870" s="41" t="n"/>
      <c r="F870" s="41" t="n"/>
      <c r="G870" s="41" t="n"/>
      <c r="H870" s="41" t="n"/>
      <c r="I870" s="41" t="n"/>
    </row>
    <row r="871" ht="15.75" customHeight="1" s="60">
      <c r="A871" s="41" t="n"/>
      <c r="B871" s="41" t="n"/>
      <c r="C871" s="41" t="n"/>
      <c r="D871" s="41" t="n"/>
      <c r="E871" s="41" t="n"/>
      <c r="F871" s="41" t="n"/>
      <c r="G871" s="41" t="n"/>
      <c r="H871" s="41" t="n"/>
      <c r="I871" s="41" t="n"/>
    </row>
    <row r="872" ht="15.75" customHeight="1" s="60">
      <c r="A872" s="41" t="n"/>
      <c r="B872" s="41" t="n"/>
      <c r="C872" s="41" t="n"/>
      <c r="D872" s="41" t="n"/>
      <c r="E872" s="41" t="n"/>
      <c r="F872" s="41" t="n"/>
      <c r="G872" s="41" t="n"/>
      <c r="H872" s="41" t="n"/>
      <c r="I872" s="41" t="n"/>
    </row>
    <row r="873" ht="15.75" customHeight="1" s="60">
      <c r="A873" s="41" t="n"/>
      <c r="B873" s="41" t="n"/>
      <c r="C873" s="41" t="n"/>
      <c r="D873" s="41" t="n"/>
      <c r="E873" s="41" t="n"/>
      <c r="F873" s="41" t="n"/>
      <c r="G873" s="41" t="n"/>
      <c r="H873" s="41" t="n"/>
      <c r="I873" s="41" t="n"/>
    </row>
    <row r="874" ht="15.75" customHeight="1" s="60">
      <c r="A874" s="41" t="n"/>
      <c r="B874" s="41" t="n"/>
      <c r="C874" s="41" t="n"/>
      <c r="D874" s="41" t="n"/>
      <c r="E874" s="41" t="n"/>
      <c r="F874" s="41" t="n"/>
      <c r="G874" s="41" t="n"/>
      <c r="H874" s="41" t="n"/>
      <c r="I874" s="41" t="n"/>
    </row>
    <row r="875" ht="15.75" customHeight="1" s="60">
      <c r="A875" s="41" t="n"/>
      <c r="B875" s="41" t="n"/>
      <c r="C875" s="41" t="n"/>
      <c r="D875" s="41" t="n"/>
      <c r="E875" s="41" t="n"/>
      <c r="F875" s="41" t="n"/>
      <c r="G875" s="41" t="n"/>
      <c r="H875" s="41" t="n"/>
      <c r="I875" s="41" t="n"/>
    </row>
    <row r="876" ht="15.75" customHeight="1" s="60">
      <c r="A876" s="41" t="n"/>
      <c r="B876" s="41" t="n"/>
      <c r="C876" s="41" t="n"/>
      <c r="D876" s="41" t="n"/>
      <c r="E876" s="41" t="n"/>
      <c r="F876" s="41" t="n"/>
      <c r="G876" s="41" t="n"/>
      <c r="H876" s="41" t="n"/>
      <c r="I876" s="41" t="n"/>
    </row>
    <row r="877" ht="15.75" customHeight="1" s="60">
      <c r="A877" s="41" t="n"/>
      <c r="B877" s="41" t="n"/>
      <c r="C877" s="41" t="n"/>
      <c r="D877" s="41" t="n"/>
      <c r="E877" s="41" t="n"/>
      <c r="F877" s="41" t="n"/>
      <c r="G877" s="41" t="n"/>
      <c r="H877" s="41" t="n"/>
      <c r="I877" s="41" t="n"/>
    </row>
    <row r="878" ht="15.75" customHeight="1" s="60">
      <c r="A878" s="41" t="n"/>
      <c r="B878" s="41" t="n"/>
      <c r="C878" s="41" t="n"/>
      <c r="D878" s="41" t="n"/>
      <c r="E878" s="41" t="n"/>
      <c r="F878" s="41" t="n"/>
      <c r="G878" s="41" t="n"/>
      <c r="H878" s="41" t="n"/>
      <c r="I878" s="41" t="n"/>
    </row>
    <row r="879" ht="15.75" customHeight="1" s="60">
      <c r="A879" s="41" t="n"/>
      <c r="B879" s="41" t="n"/>
      <c r="C879" s="41" t="n"/>
      <c r="D879" s="41" t="n"/>
      <c r="E879" s="41" t="n"/>
      <c r="F879" s="41" t="n"/>
      <c r="G879" s="41" t="n"/>
      <c r="H879" s="41" t="n"/>
      <c r="I879" s="41" t="n"/>
    </row>
    <row r="880" ht="15.75" customHeight="1" s="60">
      <c r="A880" s="41" t="n"/>
      <c r="B880" s="41" t="n"/>
      <c r="C880" s="41" t="n"/>
      <c r="D880" s="41" t="n"/>
      <c r="E880" s="41" t="n"/>
      <c r="F880" s="41" t="n"/>
      <c r="G880" s="41" t="n"/>
      <c r="H880" s="41" t="n"/>
      <c r="I880" s="41" t="n"/>
    </row>
    <row r="881" ht="15.75" customHeight="1" s="60">
      <c r="A881" s="41" t="n"/>
      <c r="B881" s="41" t="n"/>
      <c r="C881" s="41" t="n"/>
      <c r="D881" s="41" t="n"/>
      <c r="E881" s="41" t="n"/>
      <c r="F881" s="41" t="n"/>
      <c r="G881" s="41" t="n"/>
      <c r="H881" s="41" t="n"/>
      <c r="I881" s="41" t="n"/>
    </row>
    <row r="882" ht="15.75" customHeight="1" s="60">
      <c r="A882" s="41" t="n"/>
      <c r="B882" s="41" t="n"/>
      <c r="C882" s="41" t="n"/>
      <c r="D882" s="41" t="n"/>
      <c r="E882" s="41" t="n"/>
      <c r="F882" s="41" t="n"/>
      <c r="G882" s="41" t="n"/>
      <c r="H882" s="41" t="n"/>
      <c r="I882" s="41" t="n"/>
    </row>
    <row r="883" ht="15.75" customHeight="1" s="60">
      <c r="A883" s="41" t="n"/>
      <c r="B883" s="41" t="n"/>
      <c r="C883" s="41" t="n"/>
      <c r="D883" s="41" t="n"/>
      <c r="E883" s="41" t="n"/>
      <c r="F883" s="41" t="n"/>
      <c r="G883" s="41" t="n"/>
      <c r="H883" s="41" t="n"/>
      <c r="I883" s="41" t="n"/>
    </row>
    <row r="884" ht="15.75" customHeight="1" s="60">
      <c r="A884" s="41" t="n"/>
      <c r="B884" s="41" t="n"/>
      <c r="C884" s="41" t="n"/>
      <c r="D884" s="41" t="n"/>
      <c r="E884" s="41" t="n"/>
      <c r="F884" s="41" t="n"/>
      <c r="G884" s="41" t="n"/>
      <c r="H884" s="41" t="n"/>
      <c r="I884" s="41" t="n"/>
    </row>
    <row r="885" ht="15.75" customHeight="1" s="60">
      <c r="A885" s="41" t="n"/>
      <c r="B885" s="41" t="n"/>
      <c r="C885" s="41" t="n"/>
      <c r="D885" s="41" t="n"/>
      <c r="E885" s="41" t="n"/>
      <c r="F885" s="41" t="n"/>
      <c r="G885" s="41" t="n"/>
      <c r="H885" s="41" t="n"/>
      <c r="I885" s="41" t="n"/>
    </row>
    <row r="886" ht="15.75" customHeight="1" s="60">
      <c r="A886" s="41" t="n"/>
      <c r="B886" s="41" t="n"/>
      <c r="C886" s="41" t="n"/>
      <c r="D886" s="41" t="n"/>
      <c r="E886" s="41" t="n"/>
      <c r="F886" s="41" t="n"/>
      <c r="G886" s="41" t="n"/>
      <c r="H886" s="41" t="n"/>
      <c r="I886" s="41" t="n"/>
    </row>
    <row r="887" ht="15.75" customHeight="1" s="60">
      <c r="A887" s="41" t="n"/>
      <c r="B887" s="41" t="n"/>
      <c r="C887" s="41" t="n"/>
      <c r="D887" s="41" t="n"/>
      <c r="E887" s="41" t="n"/>
      <c r="F887" s="41" t="n"/>
      <c r="G887" s="41" t="n"/>
      <c r="H887" s="41" t="n"/>
      <c r="I887" s="41" t="n"/>
    </row>
    <row r="888" ht="15.75" customHeight="1" s="60">
      <c r="A888" s="41" t="n"/>
      <c r="B888" s="41" t="n"/>
      <c r="C888" s="41" t="n"/>
      <c r="D888" s="41" t="n"/>
      <c r="E888" s="41" t="n"/>
      <c r="F888" s="41" t="n"/>
      <c r="G888" s="41" t="n"/>
      <c r="H888" s="41" t="n"/>
      <c r="I888" s="41" t="n"/>
    </row>
    <row r="889" ht="15.75" customHeight="1" s="60">
      <c r="A889" s="41" t="n"/>
      <c r="B889" s="41" t="n"/>
      <c r="C889" s="41" t="n"/>
      <c r="D889" s="41" t="n"/>
      <c r="E889" s="41" t="n"/>
      <c r="F889" s="41" t="n"/>
      <c r="G889" s="41" t="n"/>
      <c r="H889" s="41" t="n"/>
      <c r="I889" s="41" t="n"/>
    </row>
    <row r="890" ht="15.75" customHeight="1" s="60">
      <c r="A890" s="41" t="n"/>
      <c r="B890" s="41" t="n"/>
      <c r="C890" s="41" t="n"/>
      <c r="D890" s="41" t="n"/>
      <c r="E890" s="41" t="n"/>
      <c r="F890" s="41" t="n"/>
      <c r="G890" s="41" t="n"/>
      <c r="H890" s="41" t="n"/>
      <c r="I890" s="41" t="n"/>
    </row>
    <row r="891" ht="15.75" customHeight="1" s="60">
      <c r="A891" s="41" t="n"/>
      <c r="B891" s="41" t="n"/>
      <c r="C891" s="41" t="n"/>
      <c r="D891" s="41" t="n"/>
      <c r="E891" s="41" t="n"/>
      <c r="F891" s="41" t="n"/>
      <c r="G891" s="41" t="n"/>
      <c r="H891" s="41" t="n"/>
      <c r="I891" s="41" t="n"/>
    </row>
    <row r="892" ht="15.75" customHeight="1" s="60">
      <c r="A892" s="41" t="n"/>
      <c r="B892" s="41" t="n"/>
      <c r="C892" s="41" t="n"/>
      <c r="D892" s="41" t="n"/>
      <c r="E892" s="41" t="n"/>
      <c r="F892" s="41" t="n"/>
      <c r="G892" s="41" t="n"/>
      <c r="H892" s="41" t="n"/>
      <c r="I892" s="41" t="n"/>
    </row>
    <row r="893" ht="15.75" customHeight="1" s="60">
      <c r="A893" s="41" t="n"/>
      <c r="B893" s="41" t="n"/>
      <c r="C893" s="41" t="n"/>
      <c r="D893" s="41" t="n"/>
      <c r="E893" s="41" t="n"/>
      <c r="F893" s="41" t="n"/>
      <c r="G893" s="41" t="n"/>
      <c r="H893" s="41" t="n"/>
      <c r="I893" s="41" t="n"/>
    </row>
    <row r="894" ht="15.75" customHeight="1" s="60">
      <c r="A894" s="41" t="n"/>
      <c r="B894" s="41" t="n"/>
      <c r="C894" s="41" t="n"/>
      <c r="D894" s="41" t="n"/>
      <c r="E894" s="41" t="n"/>
      <c r="F894" s="41" t="n"/>
      <c r="G894" s="41" t="n"/>
      <c r="H894" s="41" t="n"/>
      <c r="I894" s="41" t="n"/>
    </row>
    <row r="895" ht="15.75" customHeight="1" s="60">
      <c r="A895" s="41" t="n"/>
      <c r="B895" s="41" t="n"/>
      <c r="C895" s="41" t="n"/>
      <c r="D895" s="41" t="n"/>
      <c r="E895" s="41" t="n"/>
      <c r="F895" s="41" t="n"/>
      <c r="G895" s="41" t="n"/>
      <c r="H895" s="41" t="n"/>
      <c r="I895" s="41" t="n"/>
    </row>
    <row r="896" ht="15.75" customHeight="1" s="60">
      <c r="A896" s="41" t="n"/>
      <c r="B896" s="41" t="n"/>
      <c r="C896" s="41" t="n"/>
      <c r="D896" s="41" t="n"/>
      <c r="E896" s="41" t="n"/>
      <c r="F896" s="41" t="n"/>
      <c r="G896" s="41" t="n"/>
      <c r="H896" s="41" t="n"/>
      <c r="I896" s="41" t="n"/>
    </row>
    <row r="897" ht="15.75" customHeight="1" s="60">
      <c r="A897" s="41" t="n"/>
      <c r="B897" s="41" t="n"/>
      <c r="C897" s="41" t="n"/>
      <c r="D897" s="41" t="n"/>
      <c r="E897" s="41" t="n"/>
      <c r="F897" s="41" t="n"/>
      <c r="G897" s="41" t="n"/>
      <c r="H897" s="41" t="n"/>
      <c r="I897" s="41" t="n"/>
    </row>
    <row r="898" ht="15.75" customHeight="1" s="60">
      <c r="A898" s="41" t="n"/>
      <c r="B898" s="41" t="n"/>
      <c r="C898" s="41" t="n"/>
      <c r="D898" s="41" t="n"/>
      <c r="E898" s="41" t="n"/>
      <c r="F898" s="41" t="n"/>
      <c r="G898" s="41" t="n"/>
      <c r="H898" s="41" t="n"/>
      <c r="I898" s="41" t="n"/>
    </row>
    <row r="899" ht="15.75" customHeight="1" s="60">
      <c r="A899" s="41" t="n"/>
      <c r="B899" s="41" t="n"/>
      <c r="C899" s="41" t="n"/>
      <c r="D899" s="41" t="n"/>
      <c r="E899" s="41" t="n"/>
      <c r="F899" s="41" t="n"/>
      <c r="G899" s="41" t="n"/>
      <c r="H899" s="41" t="n"/>
      <c r="I899" s="41" t="n"/>
    </row>
    <row r="900" ht="15.75" customHeight="1" s="60">
      <c r="A900" s="41" t="n"/>
      <c r="B900" s="41" t="n"/>
      <c r="C900" s="41" t="n"/>
      <c r="D900" s="41" t="n"/>
      <c r="E900" s="41" t="n"/>
      <c r="F900" s="41" t="n"/>
      <c r="G900" s="41" t="n"/>
      <c r="H900" s="41" t="n"/>
      <c r="I900" s="41" t="n"/>
    </row>
    <row r="901" ht="15.75" customHeight="1" s="60">
      <c r="A901" s="41" t="n"/>
      <c r="B901" s="41" t="n"/>
      <c r="C901" s="41" t="n"/>
      <c r="D901" s="41" t="n"/>
      <c r="E901" s="41" t="n"/>
      <c r="F901" s="41" t="n"/>
      <c r="G901" s="41" t="n"/>
      <c r="H901" s="41" t="n"/>
      <c r="I901" s="41" t="n"/>
    </row>
    <row r="902" ht="15.75" customHeight="1" s="60">
      <c r="A902" s="41" t="n"/>
      <c r="B902" s="41" t="n"/>
      <c r="C902" s="41" t="n"/>
      <c r="D902" s="41" t="n"/>
      <c r="E902" s="41" t="n"/>
      <c r="F902" s="41" t="n"/>
      <c r="G902" s="41" t="n"/>
      <c r="H902" s="41" t="n"/>
      <c r="I902" s="41" t="n"/>
    </row>
    <row r="903" ht="15.75" customHeight="1" s="60">
      <c r="A903" s="41" t="n"/>
      <c r="B903" s="41" t="n"/>
      <c r="C903" s="41" t="n"/>
      <c r="D903" s="41" t="n"/>
      <c r="E903" s="41" t="n"/>
      <c r="F903" s="41" t="n"/>
      <c r="G903" s="41" t="n"/>
      <c r="H903" s="41" t="n"/>
      <c r="I903" s="41" t="n"/>
    </row>
    <row r="904" ht="15.75" customHeight="1" s="60">
      <c r="A904" s="41" t="n"/>
      <c r="B904" s="41" t="n"/>
      <c r="C904" s="41" t="n"/>
      <c r="D904" s="41" t="n"/>
      <c r="E904" s="41" t="n"/>
      <c r="F904" s="41" t="n"/>
      <c r="G904" s="41" t="n"/>
      <c r="H904" s="41" t="n"/>
      <c r="I904" s="41" t="n"/>
    </row>
    <row r="905" ht="15.75" customHeight="1" s="60">
      <c r="A905" s="41" t="n"/>
      <c r="B905" s="41" t="n"/>
      <c r="C905" s="41" t="n"/>
      <c r="D905" s="41" t="n"/>
      <c r="E905" s="41" t="n"/>
      <c r="F905" s="41" t="n"/>
      <c r="G905" s="41" t="n"/>
      <c r="H905" s="41" t="n"/>
      <c r="I905" s="41" t="n"/>
    </row>
    <row r="906" ht="15.75" customHeight="1" s="60">
      <c r="A906" s="41" t="n"/>
      <c r="B906" s="41" t="n"/>
      <c r="C906" s="41" t="n"/>
      <c r="D906" s="41" t="n"/>
      <c r="E906" s="41" t="n"/>
      <c r="F906" s="41" t="n"/>
      <c r="G906" s="41" t="n"/>
      <c r="H906" s="41" t="n"/>
      <c r="I906" s="41" t="n"/>
    </row>
    <row r="907" ht="15.75" customHeight="1" s="60">
      <c r="A907" s="41" t="n"/>
      <c r="B907" s="41" t="n"/>
      <c r="C907" s="41" t="n"/>
      <c r="D907" s="41" t="n"/>
      <c r="E907" s="41" t="n"/>
      <c r="F907" s="41" t="n"/>
      <c r="G907" s="41" t="n"/>
      <c r="H907" s="41" t="n"/>
      <c r="I907" s="41" t="n"/>
    </row>
    <row r="908" ht="15.75" customHeight="1" s="60">
      <c r="A908" s="41" t="n"/>
      <c r="B908" s="41" t="n"/>
      <c r="C908" s="41" t="n"/>
      <c r="D908" s="41" t="n"/>
      <c r="E908" s="41" t="n"/>
      <c r="F908" s="41" t="n"/>
      <c r="G908" s="41" t="n"/>
      <c r="H908" s="41" t="n"/>
      <c r="I908" s="41" t="n"/>
    </row>
    <row r="909" ht="15.75" customHeight="1" s="60">
      <c r="A909" s="41" t="n"/>
      <c r="B909" s="41" t="n"/>
      <c r="C909" s="41" t="n"/>
      <c r="D909" s="41" t="n"/>
      <c r="E909" s="41" t="n"/>
      <c r="F909" s="41" t="n"/>
      <c r="G909" s="41" t="n"/>
      <c r="H909" s="41" t="n"/>
      <c r="I909" s="41" t="n"/>
    </row>
    <row r="910" ht="15.75" customHeight="1" s="60">
      <c r="A910" s="41" t="n"/>
      <c r="B910" s="41" t="n"/>
      <c r="C910" s="41" t="n"/>
      <c r="D910" s="41" t="n"/>
      <c r="E910" s="41" t="n"/>
      <c r="F910" s="41" t="n"/>
      <c r="G910" s="41" t="n"/>
      <c r="H910" s="41" t="n"/>
      <c r="I910" s="41" t="n"/>
    </row>
    <row r="911" ht="15.75" customHeight="1" s="60">
      <c r="A911" s="41" t="n"/>
      <c r="B911" s="41" t="n"/>
      <c r="C911" s="41" t="n"/>
      <c r="D911" s="41" t="n"/>
      <c r="E911" s="41" t="n"/>
      <c r="F911" s="41" t="n"/>
      <c r="G911" s="41" t="n"/>
      <c r="H911" s="41" t="n"/>
      <c r="I911" s="41" t="n"/>
    </row>
    <row r="912" ht="15.75" customHeight="1" s="60">
      <c r="A912" s="41" t="n"/>
      <c r="B912" s="41" t="n"/>
      <c r="C912" s="41" t="n"/>
      <c r="D912" s="41" t="n"/>
      <c r="E912" s="41" t="n"/>
      <c r="F912" s="41" t="n"/>
      <c r="G912" s="41" t="n"/>
      <c r="H912" s="41" t="n"/>
      <c r="I912" s="41" t="n"/>
    </row>
    <row r="913" ht="15.75" customHeight="1" s="60">
      <c r="A913" s="41" t="n"/>
      <c r="B913" s="41" t="n"/>
      <c r="C913" s="41" t="n"/>
      <c r="D913" s="41" t="n"/>
      <c r="E913" s="41" t="n"/>
      <c r="F913" s="41" t="n"/>
      <c r="G913" s="41" t="n"/>
      <c r="H913" s="41" t="n"/>
      <c r="I913" s="41" t="n"/>
    </row>
    <row r="914" ht="15.75" customHeight="1" s="60">
      <c r="A914" s="41" t="n"/>
      <c r="B914" s="41" t="n"/>
      <c r="C914" s="41" t="n"/>
      <c r="D914" s="41" t="n"/>
      <c r="E914" s="41" t="n"/>
      <c r="F914" s="41" t="n"/>
      <c r="G914" s="41" t="n"/>
      <c r="H914" s="41" t="n"/>
      <c r="I914" s="41" t="n"/>
    </row>
    <row r="915" ht="15.75" customHeight="1" s="60">
      <c r="A915" s="41" t="n"/>
      <c r="B915" s="41" t="n"/>
      <c r="C915" s="41" t="n"/>
      <c r="D915" s="41" t="n"/>
      <c r="E915" s="41" t="n"/>
      <c r="F915" s="41" t="n"/>
      <c r="G915" s="41" t="n"/>
      <c r="H915" s="41" t="n"/>
      <c r="I915" s="41" t="n"/>
    </row>
    <row r="916" ht="15.75" customHeight="1" s="60">
      <c r="A916" s="41" t="n"/>
      <c r="B916" s="41" t="n"/>
      <c r="C916" s="41" t="n"/>
      <c r="D916" s="41" t="n"/>
      <c r="E916" s="41" t="n"/>
      <c r="F916" s="41" t="n"/>
      <c r="G916" s="41" t="n"/>
      <c r="H916" s="41" t="n"/>
      <c r="I916" s="41" t="n"/>
    </row>
    <row r="917" ht="15.75" customHeight="1" s="60">
      <c r="A917" s="41" t="n"/>
      <c r="B917" s="41" t="n"/>
      <c r="C917" s="41" t="n"/>
      <c r="D917" s="41" t="n"/>
      <c r="E917" s="41" t="n"/>
      <c r="F917" s="41" t="n"/>
      <c r="G917" s="41" t="n"/>
      <c r="H917" s="41" t="n"/>
      <c r="I917" s="41" t="n"/>
    </row>
    <row r="918" ht="15.75" customHeight="1" s="60">
      <c r="A918" s="41" t="n"/>
      <c r="B918" s="41" t="n"/>
      <c r="C918" s="41" t="n"/>
      <c r="D918" s="41" t="n"/>
      <c r="E918" s="41" t="n"/>
      <c r="F918" s="41" t="n"/>
      <c r="G918" s="41" t="n"/>
      <c r="H918" s="41" t="n"/>
      <c r="I918" s="41" t="n"/>
    </row>
    <row r="919" ht="15.75" customHeight="1" s="60">
      <c r="A919" s="41" t="n"/>
      <c r="B919" s="41" t="n"/>
      <c r="C919" s="41" t="n"/>
      <c r="D919" s="41" t="n"/>
      <c r="E919" s="41" t="n"/>
      <c r="F919" s="41" t="n"/>
      <c r="G919" s="41" t="n"/>
      <c r="H919" s="41" t="n"/>
      <c r="I919" s="41" t="n"/>
    </row>
    <row r="920" ht="15.75" customHeight="1" s="60">
      <c r="A920" s="41" t="n"/>
      <c r="B920" s="41" t="n"/>
      <c r="C920" s="41" t="n"/>
      <c r="D920" s="41" t="n"/>
      <c r="E920" s="41" t="n"/>
      <c r="F920" s="41" t="n"/>
      <c r="G920" s="41" t="n"/>
      <c r="H920" s="41" t="n"/>
      <c r="I920" s="41" t="n"/>
    </row>
    <row r="921" ht="15.75" customHeight="1" s="60">
      <c r="A921" s="41" t="n"/>
      <c r="B921" s="41" t="n"/>
      <c r="C921" s="41" t="n"/>
      <c r="D921" s="41" t="n"/>
      <c r="E921" s="41" t="n"/>
      <c r="F921" s="41" t="n"/>
      <c r="G921" s="41" t="n"/>
      <c r="H921" s="41" t="n"/>
      <c r="I921" s="41" t="n"/>
    </row>
    <row r="922" ht="15.75" customHeight="1" s="60">
      <c r="A922" s="41" t="n"/>
      <c r="B922" s="41" t="n"/>
      <c r="C922" s="41" t="n"/>
      <c r="D922" s="41" t="n"/>
      <c r="E922" s="41" t="n"/>
      <c r="F922" s="41" t="n"/>
      <c r="G922" s="41" t="n"/>
      <c r="H922" s="41" t="n"/>
      <c r="I922" s="41" t="n"/>
    </row>
    <row r="923" ht="15.75" customHeight="1" s="60">
      <c r="A923" s="41" t="n"/>
      <c r="B923" s="41" t="n"/>
      <c r="C923" s="41" t="n"/>
      <c r="D923" s="41" t="n"/>
      <c r="E923" s="41" t="n"/>
      <c r="F923" s="41" t="n"/>
      <c r="G923" s="41" t="n"/>
      <c r="H923" s="41" t="n"/>
      <c r="I923" s="41" t="n"/>
    </row>
    <row r="924" ht="15.75" customHeight="1" s="60">
      <c r="A924" s="41" t="n"/>
      <c r="B924" s="41" t="n"/>
      <c r="C924" s="41" t="n"/>
      <c r="D924" s="41" t="n"/>
      <c r="E924" s="41" t="n"/>
      <c r="F924" s="41" t="n"/>
      <c r="G924" s="41" t="n"/>
      <c r="H924" s="41" t="n"/>
      <c r="I924" s="41" t="n"/>
    </row>
    <row r="925" ht="15.75" customHeight="1" s="60">
      <c r="A925" s="41" t="n"/>
      <c r="B925" s="41" t="n"/>
      <c r="C925" s="41" t="n"/>
      <c r="D925" s="41" t="n"/>
      <c r="E925" s="41" t="n"/>
      <c r="F925" s="41" t="n"/>
      <c r="G925" s="41" t="n"/>
      <c r="H925" s="41" t="n"/>
      <c r="I925" s="41" t="n"/>
    </row>
    <row r="926" ht="15.75" customHeight="1" s="60">
      <c r="A926" s="41" t="n"/>
      <c r="B926" s="41" t="n"/>
      <c r="C926" s="41" t="n"/>
      <c r="D926" s="41" t="n"/>
      <c r="E926" s="41" t="n"/>
      <c r="F926" s="41" t="n"/>
      <c r="G926" s="41" t="n"/>
      <c r="H926" s="41" t="n"/>
      <c r="I926" s="41" t="n"/>
    </row>
    <row r="927" ht="15.75" customHeight="1" s="60">
      <c r="A927" s="41" t="n"/>
      <c r="B927" s="41" t="n"/>
      <c r="C927" s="41" t="n"/>
      <c r="D927" s="41" t="n"/>
      <c r="E927" s="41" t="n"/>
      <c r="F927" s="41" t="n"/>
      <c r="G927" s="41" t="n"/>
      <c r="H927" s="41" t="n"/>
      <c r="I927" s="41" t="n"/>
    </row>
    <row r="928" ht="15.75" customHeight="1" s="60">
      <c r="A928" s="41" t="n"/>
      <c r="B928" s="41" t="n"/>
      <c r="C928" s="41" t="n"/>
      <c r="D928" s="41" t="n"/>
      <c r="E928" s="41" t="n"/>
      <c r="F928" s="41" t="n"/>
      <c r="G928" s="41" t="n"/>
      <c r="H928" s="41" t="n"/>
      <c r="I928" s="41" t="n"/>
    </row>
    <row r="929" ht="15.75" customHeight="1" s="60">
      <c r="A929" s="41" t="n"/>
      <c r="B929" s="41" t="n"/>
      <c r="C929" s="41" t="n"/>
      <c r="D929" s="41" t="n"/>
      <c r="E929" s="41" t="n"/>
      <c r="F929" s="41" t="n"/>
      <c r="G929" s="41" t="n"/>
      <c r="H929" s="41" t="n"/>
      <c r="I929" s="41" t="n"/>
    </row>
    <row r="930" ht="15.75" customHeight="1" s="60">
      <c r="A930" s="41" t="n"/>
      <c r="B930" s="41" t="n"/>
      <c r="C930" s="41" t="n"/>
      <c r="D930" s="41" t="n"/>
      <c r="E930" s="41" t="n"/>
      <c r="F930" s="41" t="n"/>
      <c r="G930" s="41" t="n"/>
      <c r="H930" s="41" t="n"/>
      <c r="I930" s="41" t="n"/>
    </row>
    <row r="931" ht="15.75" customHeight="1" s="60">
      <c r="A931" s="41" t="n"/>
      <c r="B931" s="41" t="n"/>
      <c r="C931" s="41" t="n"/>
      <c r="D931" s="41" t="n"/>
      <c r="E931" s="41" t="n"/>
      <c r="F931" s="41" t="n"/>
      <c r="G931" s="41" t="n"/>
      <c r="H931" s="41" t="n"/>
      <c r="I931" s="41" t="n"/>
    </row>
    <row r="932" ht="15.75" customHeight="1" s="60">
      <c r="A932" s="41" t="n"/>
      <c r="B932" s="41" t="n"/>
      <c r="C932" s="41" t="n"/>
      <c r="D932" s="41" t="n"/>
      <c r="E932" s="41" t="n"/>
      <c r="F932" s="41" t="n"/>
      <c r="G932" s="41" t="n"/>
      <c r="H932" s="41" t="n"/>
      <c r="I932" s="41" t="n"/>
    </row>
    <row r="933" ht="15.75" customHeight="1" s="60">
      <c r="A933" s="41" t="n"/>
      <c r="B933" s="41" t="n"/>
      <c r="C933" s="41" t="n"/>
      <c r="D933" s="41" t="n"/>
      <c r="E933" s="41" t="n"/>
      <c r="F933" s="41" t="n"/>
      <c r="G933" s="41" t="n"/>
      <c r="H933" s="41" t="n"/>
      <c r="I933" s="41" t="n"/>
    </row>
    <row r="934" ht="15.75" customHeight="1" s="60">
      <c r="A934" s="41" t="n"/>
      <c r="B934" s="41" t="n"/>
      <c r="C934" s="41" t="n"/>
      <c r="D934" s="41" t="n"/>
      <c r="E934" s="41" t="n"/>
      <c r="F934" s="41" t="n"/>
      <c r="G934" s="41" t="n"/>
      <c r="H934" s="41" t="n"/>
      <c r="I934" s="41" t="n"/>
    </row>
    <row r="935" ht="15.75" customHeight="1" s="60">
      <c r="A935" s="41" t="n"/>
      <c r="B935" s="41" t="n"/>
      <c r="C935" s="41" t="n"/>
      <c r="D935" s="41" t="n"/>
      <c r="E935" s="41" t="n"/>
      <c r="F935" s="41" t="n"/>
      <c r="G935" s="41" t="n"/>
      <c r="H935" s="41" t="n"/>
      <c r="I935" s="41" t="n"/>
    </row>
    <row r="936" ht="15.75" customHeight="1" s="60">
      <c r="A936" s="41" t="n"/>
      <c r="B936" s="41" t="n"/>
      <c r="C936" s="41" t="n"/>
      <c r="D936" s="41" t="n"/>
      <c r="E936" s="41" t="n"/>
      <c r="F936" s="41" t="n"/>
      <c r="G936" s="41" t="n"/>
      <c r="H936" s="41" t="n"/>
      <c r="I936" s="41" t="n"/>
    </row>
    <row r="937" ht="15.75" customHeight="1" s="60">
      <c r="A937" s="41" t="n"/>
      <c r="B937" s="41" t="n"/>
      <c r="C937" s="41" t="n"/>
      <c r="D937" s="41" t="n"/>
      <c r="E937" s="41" t="n"/>
      <c r="F937" s="41" t="n"/>
      <c r="G937" s="41" t="n"/>
      <c r="H937" s="41" t="n"/>
      <c r="I937" s="41" t="n"/>
    </row>
    <row r="938" ht="15.75" customHeight="1" s="60">
      <c r="A938" s="41" t="n"/>
      <c r="B938" s="41" t="n"/>
      <c r="C938" s="41" t="n"/>
      <c r="D938" s="41" t="n"/>
      <c r="E938" s="41" t="n"/>
      <c r="F938" s="41" t="n"/>
      <c r="G938" s="41" t="n"/>
      <c r="H938" s="41" t="n"/>
      <c r="I938" s="41" t="n"/>
    </row>
    <row r="939" ht="15.75" customHeight="1" s="60">
      <c r="A939" s="41" t="n"/>
      <c r="B939" s="41" t="n"/>
      <c r="C939" s="41" t="n"/>
      <c r="D939" s="41" t="n"/>
      <c r="E939" s="41" t="n"/>
      <c r="F939" s="41" t="n"/>
      <c r="G939" s="41" t="n"/>
      <c r="H939" s="41" t="n"/>
      <c r="I939" s="41" t="n"/>
    </row>
    <row r="940" ht="15.75" customHeight="1" s="60">
      <c r="A940" s="41" t="n"/>
      <c r="B940" s="41" t="n"/>
      <c r="C940" s="41" t="n"/>
      <c r="D940" s="41" t="n"/>
      <c r="E940" s="41" t="n"/>
      <c r="F940" s="41" t="n"/>
      <c r="G940" s="41" t="n"/>
      <c r="H940" s="41" t="n"/>
      <c r="I940" s="41" t="n"/>
    </row>
    <row r="941" ht="15.75" customHeight="1" s="60">
      <c r="A941" s="41" t="n"/>
      <c r="B941" s="41" t="n"/>
      <c r="C941" s="41" t="n"/>
      <c r="D941" s="41" t="n"/>
      <c r="E941" s="41" t="n"/>
      <c r="F941" s="41" t="n"/>
      <c r="G941" s="41" t="n"/>
      <c r="H941" s="41" t="n"/>
      <c r="I941" s="41" t="n"/>
    </row>
    <row r="942" ht="15.75" customHeight="1" s="60">
      <c r="A942" s="41" t="n"/>
      <c r="B942" s="41" t="n"/>
      <c r="C942" s="41" t="n"/>
      <c r="D942" s="41" t="n"/>
      <c r="E942" s="41" t="n"/>
      <c r="F942" s="41" t="n"/>
      <c r="G942" s="41" t="n"/>
      <c r="H942" s="41" t="n"/>
      <c r="I942" s="41" t="n"/>
    </row>
    <row r="943" ht="15.75" customHeight="1" s="60">
      <c r="A943" s="41" t="n"/>
      <c r="B943" s="41" t="n"/>
      <c r="C943" s="41" t="n"/>
      <c r="D943" s="41" t="n"/>
      <c r="E943" s="41" t="n"/>
      <c r="F943" s="41" t="n"/>
      <c r="G943" s="41" t="n"/>
      <c r="H943" s="41" t="n"/>
      <c r="I943" s="41" t="n"/>
    </row>
    <row r="944" ht="15.75" customHeight="1" s="60">
      <c r="A944" s="41" t="n"/>
      <c r="B944" s="41" t="n"/>
      <c r="C944" s="41" t="n"/>
      <c r="D944" s="41" t="n"/>
      <c r="E944" s="41" t="n"/>
      <c r="F944" s="41" t="n"/>
      <c r="G944" s="41" t="n"/>
      <c r="H944" s="41" t="n"/>
      <c r="I944" s="41" t="n"/>
    </row>
    <row r="945" ht="15.75" customHeight="1" s="60">
      <c r="A945" s="41" t="n"/>
      <c r="B945" s="41" t="n"/>
      <c r="C945" s="41" t="n"/>
      <c r="D945" s="41" t="n"/>
      <c r="E945" s="41" t="n"/>
      <c r="F945" s="41" t="n"/>
      <c r="G945" s="41" t="n"/>
      <c r="H945" s="41" t="n"/>
      <c r="I945" s="41" t="n"/>
    </row>
    <row r="946" ht="15.75" customHeight="1" s="60">
      <c r="A946" s="41" t="n"/>
      <c r="B946" s="41" t="n"/>
      <c r="C946" s="41" t="n"/>
      <c r="D946" s="41" t="n"/>
      <c r="E946" s="41" t="n"/>
      <c r="F946" s="41" t="n"/>
      <c r="G946" s="41" t="n"/>
      <c r="H946" s="41" t="n"/>
      <c r="I946" s="41" t="n"/>
    </row>
    <row r="947" ht="15.75" customHeight="1" s="60">
      <c r="A947" s="41" t="n"/>
      <c r="B947" s="41" t="n"/>
      <c r="C947" s="41" t="n"/>
      <c r="D947" s="41" t="n"/>
      <c r="E947" s="41" t="n"/>
      <c r="F947" s="41" t="n"/>
      <c r="G947" s="41" t="n"/>
      <c r="H947" s="41" t="n"/>
      <c r="I947" s="41" t="n"/>
    </row>
    <row r="948" ht="15.75" customHeight="1" s="60">
      <c r="A948" s="41" t="n"/>
      <c r="B948" s="41" t="n"/>
      <c r="C948" s="41" t="n"/>
      <c r="D948" s="41" t="n"/>
      <c r="E948" s="41" t="n"/>
      <c r="F948" s="41" t="n"/>
      <c r="G948" s="41" t="n"/>
      <c r="H948" s="41" t="n"/>
      <c r="I948" s="41" t="n"/>
    </row>
    <row r="949" ht="15.75" customHeight="1" s="60">
      <c r="A949" s="41" t="n"/>
      <c r="B949" s="41" t="n"/>
      <c r="C949" s="41" t="n"/>
      <c r="D949" s="41" t="n"/>
      <c r="E949" s="41" t="n"/>
      <c r="F949" s="41" t="n"/>
      <c r="G949" s="41" t="n"/>
      <c r="H949" s="41" t="n"/>
      <c r="I949" s="41" t="n"/>
    </row>
    <row r="950" ht="15.75" customHeight="1" s="60">
      <c r="A950" s="41" t="n"/>
      <c r="B950" s="41" t="n"/>
      <c r="C950" s="41" t="n"/>
      <c r="D950" s="41" t="n"/>
      <c r="E950" s="41" t="n"/>
      <c r="F950" s="41" t="n"/>
      <c r="G950" s="41" t="n"/>
      <c r="H950" s="41" t="n"/>
      <c r="I950" s="41" t="n"/>
    </row>
    <row r="951" ht="15.75" customHeight="1" s="60">
      <c r="A951" s="41" t="n"/>
      <c r="B951" s="41" t="n"/>
      <c r="C951" s="41" t="n"/>
      <c r="D951" s="41" t="n"/>
      <c r="E951" s="41" t="n"/>
      <c r="F951" s="41" t="n"/>
      <c r="G951" s="41" t="n"/>
      <c r="H951" s="41" t="n"/>
      <c r="I951" s="41" t="n"/>
    </row>
    <row r="952" ht="15.75" customHeight="1" s="60">
      <c r="A952" s="41" t="n"/>
      <c r="B952" s="41" t="n"/>
      <c r="C952" s="41" t="n"/>
      <c r="D952" s="41" t="n"/>
      <c r="E952" s="41" t="n"/>
      <c r="F952" s="41" t="n"/>
      <c r="G952" s="41" t="n"/>
      <c r="H952" s="41" t="n"/>
      <c r="I952" s="41" t="n"/>
    </row>
    <row r="953" ht="15.75" customHeight="1" s="60">
      <c r="A953" s="41" t="n"/>
      <c r="B953" s="41" t="n"/>
      <c r="C953" s="41" t="n"/>
      <c r="D953" s="41" t="n"/>
      <c r="E953" s="41" t="n"/>
      <c r="F953" s="41" t="n"/>
      <c r="G953" s="41" t="n"/>
      <c r="H953" s="41" t="n"/>
      <c r="I953" s="41" t="n"/>
    </row>
    <row r="954" ht="15.75" customHeight="1" s="60">
      <c r="A954" s="41" t="n"/>
      <c r="B954" s="41" t="n"/>
      <c r="C954" s="41" t="n"/>
      <c r="D954" s="41" t="n"/>
      <c r="E954" s="41" t="n"/>
      <c r="F954" s="41" t="n"/>
      <c r="G954" s="41" t="n"/>
      <c r="H954" s="41" t="n"/>
      <c r="I954" s="41" t="n"/>
    </row>
    <row r="955" ht="15.75" customHeight="1" s="60">
      <c r="A955" s="41" t="n"/>
      <c r="B955" s="41" t="n"/>
      <c r="C955" s="41" t="n"/>
      <c r="D955" s="41" t="n"/>
      <c r="E955" s="41" t="n"/>
      <c r="F955" s="41" t="n"/>
      <c r="G955" s="41" t="n"/>
      <c r="H955" s="41" t="n"/>
      <c r="I955" s="41" t="n"/>
    </row>
    <row r="956" ht="15.75" customHeight="1" s="60">
      <c r="A956" s="41" t="n"/>
      <c r="B956" s="41" t="n"/>
      <c r="C956" s="41" t="n"/>
      <c r="D956" s="41" t="n"/>
      <c r="E956" s="41" t="n"/>
      <c r="F956" s="41" t="n"/>
      <c r="G956" s="41" t="n"/>
      <c r="H956" s="41" t="n"/>
      <c r="I956" s="41" t="n"/>
    </row>
    <row r="957" ht="15.75" customHeight="1" s="60">
      <c r="A957" s="41" t="n"/>
      <c r="B957" s="41" t="n"/>
      <c r="C957" s="41" t="n"/>
      <c r="D957" s="41" t="n"/>
      <c r="E957" s="41" t="n"/>
      <c r="F957" s="41" t="n"/>
      <c r="G957" s="41" t="n"/>
      <c r="H957" s="41" t="n"/>
      <c r="I957" s="41" t="n"/>
    </row>
    <row r="958" ht="15.75" customHeight="1" s="60">
      <c r="A958" s="41" t="n"/>
      <c r="B958" s="41" t="n"/>
      <c r="C958" s="41" t="n"/>
      <c r="D958" s="41" t="n"/>
      <c r="E958" s="41" t="n"/>
      <c r="F958" s="41" t="n"/>
      <c r="G958" s="41" t="n"/>
      <c r="H958" s="41" t="n"/>
      <c r="I958" s="41" t="n"/>
    </row>
    <row r="959" ht="15.75" customHeight="1" s="60">
      <c r="A959" s="41" t="n"/>
      <c r="B959" s="41" t="n"/>
      <c r="C959" s="41" t="n"/>
      <c r="D959" s="41" t="n"/>
      <c r="E959" s="41" t="n"/>
      <c r="F959" s="41" t="n"/>
      <c r="G959" s="41" t="n"/>
      <c r="H959" s="41" t="n"/>
      <c r="I959" s="41" t="n"/>
    </row>
    <row r="960" ht="15.75" customHeight="1" s="60">
      <c r="A960" s="41" t="n"/>
      <c r="B960" s="41" t="n"/>
      <c r="C960" s="41" t="n"/>
      <c r="D960" s="41" t="n"/>
      <c r="E960" s="41" t="n"/>
      <c r="F960" s="41" t="n"/>
      <c r="G960" s="41" t="n"/>
      <c r="H960" s="41" t="n"/>
      <c r="I960" s="41" t="n"/>
    </row>
    <row r="961" ht="15.75" customHeight="1" s="60">
      <c r="A961" s="41" t="n"/>
      <c r="B961" s="41" t="n"/>
      <c r="C961" s="41" t="n"/>
      <c r="D961" s="41" t="n"/>
      <c r="E961" s="41" t="n"/>
      <c r="F961" s="41" t="n"/>
      <c r="G961" s="41" t="n"/>
      <c r="H961" s="41" t="n"/>
      <c r="I961" s="41" t="n"/>
    </row>
    <row r="962" ht="15.75" customHeight="1" s="60">
      <c r="A962" s="41" t="n"/>
      <c r="B962" s="41" t="n"/>
      <c r="C962" s="41" t="n"/>
      <c r="D962" s="41" t="n"/>
      <c r="E962" s="41" t="n"/>
      <c r="F962" s="41" t="n"/>
      <c r="G962" s="41" t="n"/>
      <c r="H962" s="41" t="n"/>
      <c r="I962" s="41" t="n"/>
    </row>
    <row r="963" ht="15.75" customHeight="1" s="60">
      <c r="A963" s="41" t="n"/>
      <c r="B963" s="41" t="n"/>
      <c r="C963" s="41" t="n"/>
      <c r="D963" s="41" t="n"/>
      <c r="E963" s="41" t="n"/>
      <c r="F963" s="41" t="n"/>
      <c r="G963" s="41" t="n"/>
      <c r="H963" s="41" t="n"/>
      <c r="I963" s="41" t="n"/>
    </row>
    <row r="964" ht="15.75" customHeight="1" s="60">
      <c r="A964" s="41" t="n"/>
      <c r="B964" s="41" t="n"/>
      <c r="C964" s="41" t="n"/>
      <c r="D964" s="41" t="n"/>
      <c r="E964" s="41" t="n"/>
      <c r="F964" s="41" t="n"/>
      <c r="G964" s="41" t="n"/>
      <c r="H964" s="41" t="n"/>
      <c r="I964" s="41" t="n"/>
    </row>
    <row r="965" ht="15.75" customHeight="1" s="60">
      <c r="A965" s="41" t="n"/>
      <c r="B965" s="41" t="n"/>
      <c r="C965" s="41" t="n"/>
      <c r="D965" s="41" t="n"/>
      <c r="E965" s="41" t="n"/>
      <c r="F965" s="41" t="n"/>
      <c r="G965" s="41" t="n"/>
      <c r="H965" s="41" t="n"/>
      <c r="I965" s="41" t="n"/>
    </row>
    <row r="966" ht="15.75" customHeight="1" s="60">
      <c r="A966" s="41" t="n"/>
      <c r="B966" s="41" t="n"/>
      <c r="C966" s="41" t="n"/>
      <c r="D966" s="41" t="n"/>
      <c r="E966" s="41" t="n"/>
      <c r="F966" s="41" t="n"/>
      <c r="G966" s="41" t="n"/>
      <c r="H966" s="41" t="n"/>
      <c r="I966" s="41" t="n"/>
    </row>
    <row r="967" ht="15.75" customHeight="1" s="60">
      <c r="A967" s="41" t="n"/>
      <c r="B967" s="41" t="n"/>
      <c r="C967" s="41" t="n"/>
      <c r="D967" s="41" t="n"/>
      <c r="E967" s="41" t="n"/>
      <c r="F967" s="41" t="n"/>
      <c r="G967" s="41" t="n"/>
      <c r="H967" s="41" t="n"/>
      <c r="I967" s="41" t="n"/>
    </row>
    <row r="968" ht="15.75" customHeight="1" s="60">
      <c r="A968" s="41" t="n"/>
      <c r="B968" s="41" t="n"/>
      <c r="C968" s="41" t="n"/>
      <c r="D968" s="41" t="n"/>
      <c r="E968" s="41" t="n"/>
      <c r="F968" s="41" t="n"/>
      <c r="G968" s="41" t="n"/>
      <c r="H968" s="41" t="n"/>
      <c r="I968" s="41" t="n"/>
    </row>
    <row r="969" ht="15.75" customHeight="1" s="60">
      <c r="A969" s="41" t="n"/>
      <c r="B969" s="41" t="n"/>
      <c r="C969" s="41" t="n"/>
      <c r="D969" s="41" t="n"/>
      <c r="E969" s="41" t="n"/>
      <c r="F969" s="41" t="n"/>
      <c r="G969" s="41" t="n"/>
      <c r="H969" s="41" t="n"/>
      <c r="I969" s="41" t="n"/>
    </row>
    <row r="970" ht="15.75" customHeight="1" s="60">
      <c r="A970" s="41" t="n"/>
      <c r="B970" s="41" t="n"/>
      <c r="C970" s="41" t="n"/>
      <c r="D970" s="41" t="n"/>
      <c r="E970" s="41" t="n"/>
      <c r="F970" s="41" t="n"/>
      <c r="G970" s="41" t="n"/>
      <c r="H970" s="41" t="n"/>
      <c r="I970" s="41" t="n"/>
    </row>
    <row r="971" ht="15.75" customHeight="1" s="60">
      <c r="A971" s="41" t="n"/>
      <c r="B971" s="41" t="n"/>
      <c r="C971" s="41" t="n"/>
      <c r="D971" s="41" t="n"/>
      <c r="E971" s="41" t="n"/>
      <c r="F971" s="41" t="n"/>
      <c r="G971" s="41" t="n"/>
      <c r="H971" s="41" t="n"/>
      <c r="I971" s="41" t="n"/>
    </row>
    <row r="972" ht="15.75" customHeight="1" s="60">
      <c r="A972" s="41" t="n"/>
      <c r="B972" s="41" t="n"/>
      <c r="C972" s="41" t="n"/>
      <c r="D972" s="41" t="n"/>
      <c r="E972" s="41" t="n"/>
      <c r="F972" s="41" t="n"/>
      <c r="G972" s="41" t="n"/>
      <c r="H972" s="41" t="n"/>
      <c r="I972" s="41" t="n"/>
    </row>
    <row r="973" ht="15.75" customHeight="1" s="60">
      <c r="A973" s="41" t="n"/>
      <c r="B973" s="41" t="n"/>
      <c r="C973" s="41" t="n"/>
      <c r="D973" s="41" t="n"/>
      <c r="E973" s="41" t="n"/>
      <c r="F973" s="41" t="n"/>
      <c r="G973" s="41" t="n"/>
      <c r="H973" s="41" t="n"/>
      <c r="I973" s="41" t="n"/>
    </row>
    <row r="974" ht="15.75" customHeight="1" s="60">
      <c r="A974" s="41" t="n"/>
      <c r="B974" s="41" t="n"/>
      <c r="C974" s="41" t="n"/>
      <c r="D974" s="41" t="n"/>
      <c r="E974" s="41" t="n"/>
      <c r="F974" s="41" t="n"/>
      <c r="G974" s="41" t="n"/>
      <c r="H974" s="41" t="n"/>
      <c r="I974" s="41" t="n"/>
    </row>
    <row r="975" ht="15.75" customHeight="1" s="60">
      <c r="A975" s="41" t="n"/>
      <c r="B975" s="41" t="n"/>
      <c r="C975" s="41" t="n"/>
      <c r="D975" s="41" t="n"/>
      <c r="E975" s="41" t="n"/>
      <c r="F975" s="41" t="n"/>
      <c r="G975" s="41" t="n"/>
      <c r="H975" s="41" t="n"/>
      <c r="I975" s="41" t="n"/>
    </row>
    <row r="976" ht="15.75" customHeight="1" s="60">
      <c r="A976" s="41" t="n"/>
      <c r="B976" s="41" t="n"/>
      <c r="C976" s="41" t="n"/>
      <c r="D976" s="41" t="n"/>
      <c r="E976" s="41" t="n"/>
      <c r="F976" s="41" t="n"/>
      <c r="G976" s="41" t="n"/>
      <c r="H976" s="41" t="n"/>
      <c r="I976" s="41" t="n"/>
    </row>
    <row r="977" ht="15.75" customHeight="1" s="60">
      <c r="A977" s="41" t="n"/>
      <c r="B977" s="41" t="n"/>
      <c r="C977" s="41" t="n"/>
      <c r="D977" s="41" t="n"/>
      <c r="E977" s="41" t="n"/>
      <c r="F977" s="41" t="n"/>
      <c r="G977" s="41" t="n"/>
      <c r="H977" s="41" t="n"/>
      <c r="I977" s="41" t="n"/>
    </row>
    <row r="978" ht="15.75" customHeight="1" s="60">
      <c r="A978" s="41" t="n"/>
      <c r="B978" s="41" t="n"/>
      <c r="C978" s="41" t="n"/>
      <c r="D978" s="41" t="n"/>
      <c r="E978" s="41" t="n"/>
      <c r="F978" s="41" t="n"/>
      <c r="G978" s="41" t="n"/>
      <c r="H978" s="41" t="n"/>
      <c r="I978" s="41" t="n"/>
    </row>
    <row r="979" ht="15.75" customHeight="1" s="60">
      <c r="A979" s="41" t="n"/>
      <c r="B979" s="41" t="n"/>
      <c r="C979" s="41" t="n"/>
      <c r="D979" s="41" t="n"/>
      <c r="E979" s="41" t="n"/>
      <c r="F979" s="41" t="n"/>
      <c r="G979" s="41" t="n"/>
      <c r="H979" s="41" t="n"/>
      <c r="I979" s="41" t="n"/>
    </row>
    <row r="980" ht="15.75" customHeight="1" s="60">
      <c r="A980" s="41" t="n"/>
      <c r="B980" s="41" t="n"/>
      <c r="C980" s="41" t="n"/>
      <c r="D980" s="41" t="n"/>
      <c r="E980" s="41" t="n"/>
      <c r="F980" s="41" t="n"/>
      <c r="G980" s="41" t="n"/>
      <c r="H980" s="41" t="n"/>
      <c r="I980" s="41" t="n"/>
    </row>
    <row r="981" ht="15.75" customHeight="1" s="60">
      <c r="A981" s="41" t="n"/>
      <c r="B981" s="41" t="n"/>
      <c r="C981" s="41" t="n"/>
      <c r="D981" s="41" t="n"/>
      <c r="E981" s="41" t="n"/>
      <c r="F981" s="41" t="n"/>
      <c r="G981" s="41" t="n"/>
      <c r="H981" s="41" t="n"/>
      <c r="I981" s="41" t="n"/>
    </row>
    <row r="982" ht="15.75" customHeight="1" s="60">
      <c r="A982" s="41" t="n"/>
      <c r="B982" s="41" t="n"/>
      <c r="C982" s="41" t="n"/>
      <c r="D982" s="41" t="n"/>
      <c r="E982" s="41" t="n"/>
      <c r="F982" s="41" t="n"/>
      <c r="G982" s="41" t="n"/>
      <c r="H982" s="41" t="n"/>
      <c r="I982" s="41" t="n"/>
    </row>
    <row r="983" ht="15.75" customHeight="1" s="60">
      <c r="A983" s="41" t="n"/>
      <c r="B983" s="41" t="n"/>
      <c r="C983" s="41" t="n"/>
      <c r="D983" s="41" t="n"/>
      <c r="E983" s="41" t="n"/>
      <c r="F983" s="41" t="n"/>
      <c r="G983" s="41" t="n"/>
      <c r="H983" s="41" t="n"/>
      <c r="I983" s="41" t="n"/>
    </row>
    <row r="984" ht="15.75" customHeight="1" s="60">
      <c r="A984" s="41" t="n"/>
      <c r="B984" s="41" t="n"/>
      <c r="C984" s="41" t="n"/>
      <c r="D984" s="41" t="n"/>
      <c r="E984" s="41" t="n"/>
      <c r="F984" s="41" t="n"/>
      <c r="G984" s="41" t="n"/>
      <c r="H984" s="41" t="n"/>
      <c r="I984" s="41" t="n"/>
    </row>
    <row r="985" ht="15.75" customHeight="1" s="60">
      <c r="A985" s="41" t="n"/>
      <c r="B985" s="41" t="n"/>
      <c r="C985" s="41" t="n"/>
      <c r="D985" s="41" t="n"/>
      <c r="E985" s="41" t="n"/>
      <c r="F985" s="41" t="n"/>
      <c r="G985" s="41" t="n"/>
      <c r="H985" s="41" t="n"/>
      <c r="I985" s="41" t="n"/>
    </row>
    <row r="986" ht="15.75" customHeight="1" s="60">
      <c r="A986" s="41" t="n"/>
      <c r="B986" s="41" t="n"/>
      <c r="C986" s="41" t="n"/>
      <c r="D986" s="41" t="n"/>
      <c r="E986" s="41" t="n"/>
      <c r="F986" s="41" t="n"/>
      <c r="G986" s="41" t="n"/>
      <c r="H986" s="41" t="n"/>
      <c r="I986" s="41" t="n"/>
    </row>
    <row r="987" ht="15.75" customHeight="1" s="60">
      <c r="A987" s="41" t="n"/>
      <c r="B987" s="41" t="n"/>
      <c r="C987" s="41" t="n"/>
      <c r="D987" s="41" t="n"/>
      <c r="E987" s="41" t="n"/>
      <c r="F987" s="41" t="n"/>
      <c r="G987" s="41" t="n"/>
      <c r="H987" s="41" t="n"/>
      <c r="I987" s="41" t="n"/>
    </row>
    <row r="988" ht="15.75" customHeight="1" s="60">
      <c r="A988" s="41" t="n"/>
      <c r="B988" s="41" t="n"/>
      <c r="C988" s="41" t="n"/>
      <c r="D988" s="41" t="n"/>
      <c r="E988" s="41" t="n"/>
      <c r="F988" s="41" t="n"/>
      <c r="G988" s="41" t="n"/>
      <c r="H988" s="41" t="n"/>
      <c r="I988" s="41" t="n"/>
    </row>
    <row r="989" ht="15.75" customHeight="1" s="60">
      <c r="A989" s="41" t="n"/>
      <c r="B989" s="41" t="n"/>
      <c r="C989" s="41" t="n"/>
      <c r="D989" s="41" t="n"/>
      <c r="E989" s="41" t="n"/>
      <c r="F989" s="41" t="n"/>
      <c r="G989" s="41" t="n"/>
      <c r="H989" s="41" t="n"/>
      <c r="I989" s="41" t="n"/>
    </row>
    <row r="990" ht="15.75" customHeight="1" s="60">
      <c r="A990" s="41" t="n"/>
      <c r="B990" s="41" t="n"/>
      <c r="C990" s="41" t="n"/>
      <c r="D990" s="41" t="n"/>
      <c r="E990" s="41" t="n"/>
      <c r="F990" s="41" t="n"/>
      <c r="G990" s="41" t="n"/>
      <c r="H990" s="41" t="n"/>
      <c r="I990" s="41" t="n"/>
    </row>
    <row r="991" ht="15.75" customHeight="1" s="60">
      <c r="A991" s="41" t="n"/>
      <c r="B991" s="41" t="n"/>
      <c r="C991" s="41" t="n"/>
      <c r="D991" s="41" t="n"/>
      <c r="E991" s="41" t="n"/>
      <c r="F991" s="41" t="n"/>
      <c r="G991" s="41" t="n"/>
      <c r="H991" s="41" t="n"/>
      <c r="I991" s="41" t="n"/>
    </row>
    <row r="992" ht="15.75" customHeight="1" s="60">
      <c r="A992" s="41" t="n"/>
      <c r="B992" s="41" t="n"/>
      <c r="C992" s="41" t="n"/>
      <c r="D992" s="41" t="n"/>
      <c r="E992" s="41" t="n"/>
      <c r="F992" s="41" t="n"/>
      <c r="G992" s="41" t="n"/>
      <c r="H992" s="41" t="n"/>
      <c r="I992" s="41" t="n"/>
    </row>
    <row r="993" ht="15.75" customHeight="1" s="60">
      <c r="A993" s="41" t="n"/>
      <c r="B993" s="41" t="n"/>
      <c r="C993" s="41" t="n"/>
      <c r="D993" s="41" t="n"/>
      <c r="E993" s="41" t="n"/>
      <c r="F993" s="41" t="n"/>
      <c r="G993" s="41" t="n"/>
      <c r="H993" s="41" t="n"/>
      <c r="I993" s="41" t="n"/>
    </row>
    <row r="994" ht="15.75" customHeight="1" s="60">
      <c r="A994" s="41" t="n"/>
      <c r="B994" s="41" t="n"/>
      <c r="C994" s="41" t="n"/>
      <c r="D994" s="41" t="n"/>
      <c r="E994" s="41" t="n"/>
      <c r="F994" s="41" t="n"/>
      <c r="G994" s="41" t="n"/>
      <c r="H994" s="41" t="n"/>
      <c r="I994" s="41" t="n"/>
    </row>
    <row r="995" ht="15.75" customHeight="1" s="60">
      <c r="A995" s="41" t="n"/>
      <c r="B995" s="41" t="n"/>
      <c r="C995" s="41" t="n"/>
      <c r="D995" s="41" t="n"/>
      <c r="E995" s="41" t="n"/>
      <c r="F995" s="41" t="n"/>
      <c r="G995" s="41" t="n"/>
      <c r="H995" s="41" t="n"/>
      <c r="I995" s="41" t="n"/>
    </row>
    <row r="996" ht="15.75" customHeight="1" s="60">
      <c r="A996" s="41" t="n"/>
      <c r="B996" s="41" t="n"/>
      <c r="C996" s="41" t="n"/>
      <c r="D996" s="41" t="n"/>
      <c r="E996" s="41" t="n"/>
      <c r="F996" s="41" t="n"/>
      <c r="G996" s="41" t="n"/>
      <c r="H996" s="41" t="n"/>
      <c r="I996" s="41" t="n"/>
    </row>
    <row r="997" ht="15.75" customHeight="1" s="60">
      <c r="A997" s="41" t="n"/>
      <c r="B997" s="41" t="n"/>
      <c r="C997" s="41" t="n"/>
      <c r="D997" s="41" t="n"/>
      <c r="E997" s="41" t="n"/>
      <c r="F997" s="41" t="n"/>
      <c r="G997" s="41" t="n"/>
      <c r="H997" s="41" t="n"/>
      <c r="I997" s="41" t="n"/>
    </row>
    <row r="998" ht="15.75" customHeight="1" s="60">
      <c r="A998" s="41" t="n"/>
      <c r="B998" s="41" t="n"/>
      <c r="C998" s="41" t="n"/>
      <c r="D998" s="41" t="n"/>
      <c r="E998" s="41" t="n"/>
      <c r="F998" s="41" t="n"/>
      <c r="G998" s="41" t="n"/>
      <c r="H998" s="41" t="n"/>
      <c r="I998" s="41" t="n"/>
    </row>
    <row r="999" ht="15.75" customHeight="1" s="60">
      <c r="A999" s="41" t="n"/>
      <c r="B999" s="41" t="n"/>
      <c r="C999" s="41" t="n"/>
      <c r="D999" s="41" t="n"/>
      <c r="E999" s="41" t="n"/>
      <c r="F999" s="41" t="n"/>
      <c r="G999" s="41" t="n"/>
      <c r="H999" s="41" t="n"/>
      <c r="I999" s="41" t="n"/>
    </row>
    <row r="1000" ht="15.75" customHeight="1" s="60">
      <c r="A1000" s="41" t="n"/>
      <c r="B1000" s="41" t="n"/>
      <c r="C1000" s="41" t="n"/>
      <c r="D1000" s="41" t="n"/>
      <c r="E1000" s="41" t="n"/>
      <c r="F1000" s="41" t="n"/>
      <c r="G1000" s="41" t="n"/>
      <c r="H1000" s="41" t="n"/>
      <c r="I1000" s="41" t="n"/>
    </row>
  </sheetData>
  <dataValidations count="4">
    <dataValidation sqref="D5:D500" showDropDown="0" showInputMessage="0" showErrorMessage="0" allowBlank="1" type="list">
      <formula1>"Aset,Liabiliti,Ekuiti,Hasil,Perbelanjaan"</formula1>
    </dataValidation>
    <dataValidation sqref="G5:G500" showDropDown="0" showInputMessage="0" showErrorMessage="0" allowBlank="1" type="list">
      <formula1>"Aktif,Tidak Aktif"</formula1>
    </dataValidation>
    <dataValidation sqref="F5:F500" showDropDown="0" showInputMessage="0" showErrorMessage="0" allowBlank="1" type="list">
      <formula1>"Operasi,Pelaburan,Pembiayaan,Tidak Berkaitan"</formula1>
    </dataValidation>
    <dataValidation sqref="I5:I150" showDropDown="0" showInputMessage="0" showErrorMessage="0" allowBlank="1" type="list">
      <formula1>"Semasa,Bukan Semasa"</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F1000"/>
  <sheetViews>
    <sheetView workbookViewId="0">
      <pane ySplit="4" topLeftCell="A5" activePane="bottomLeft" state="frozen"/>
      <selection pane="bottomLeft" activeCell="B6" sqref="B6"/>
    </sheetView>
  </sheetViews>
  <sheetFormatPr baseColWidth="8" defaultColWidth="14.43" defaultRowHeight="15" customHeight="1"/>
  <cols>
    <col width="12" customWidth="1" style="60" min="1" max="1"/>
    <col width="34" customWidth="1" style="60" min="2" max="2"/>
    <col width="14" customWidth="1" style="60" min="3" max="3"/>
    <col width="16" customWidth="1" style="60" min="4" max="5"/>
    <col width="10" customWidth="1" style="60" min="6" max="6"/>
    <col width="8.710000000000001" customWidth="1" style="60" min="7" max="26"/>
  </cols>
  <sheetData>
    <row r="1" ht="17.25" customHeight="1" s="60">
      <c r="A1" s="1" t="inlineStr">
        <is>
          <t>BAKI PEMBUKAAN (OPENING BALANCES)</t>
        </is>
      </c>
      <c r="B1" s="41" t="n"/>
      <c r="C1" s="41" t="n"/>
      <c r="D1" s="41" t="n"/>
      <c r="E1" s="41" t="n"/>
      <c r="F1" s="41" t="n"/>
    </row>
    <row r="2" ht="48" customHeight="1" s="60">
      <c r="A2" s="24" t="inlineStr">
        <is>
          <t>Guna angka daripada penyata kewangan TERAUDIT tahun lepas SAHAJA. Hanya untuk akaun Aset/Liabiliti/Ekuiti - Hasil dan Perbelanjaan tidak patut ada baki pembukaan (ia bermula sifar setiap tahun kewangan baharu). Isi Kod Akaun dan SATU sahaja daripada Debit/Kredit setiap baris ikut baki normal akaun itu, kemudian jalankan menu APZacct &gt; Pos Baki Pembukaan.</t>
        </is>
      </c>
      <c r="B2" s="41" t="n"/>
      <c r="C2" s="41" t="n"/>
      <c r="D2" s="41" t="n"/>
      <c r="E2" s="41" t="n"/>
      <c r="F2" s="41" t="n"/>
    </row>
    <row r="3">
      <c r="A3" s="41" t="n"/>
      <c r="B3" s="41" t="n"/>
      <c r="C3" s="41" t="n"/>
      <c r="D3" s="41" t="n"/>
      <c r="E3" s="41" t="n"/>
      <c r="F3" s="41" t="n"/>
    </row>
    <row r="4" ht="25.5" customHeight="1" s="60">
      <c r="A4" s="7" t="inlineStr">
        <is>
          <t>Kod Akaun</t>
        </is>
      </c>
      <c r="B4" s="7" t="inlineStr">
        <is>
          <t>Nama Akaun (auto)</t>
        </is>
      </c>
      <c r="C4" s="7" t="inlineStr">
        <is>
          <t>Jenis (auto)</t>
        </is>
      </c>
      <c r="D4" s="7" t="inlineStr">
        <is>
          <t>Debit</t>
        </is>
      </c>
      <c r="E4" s="7" t="inlineStr">
        <is>
          <t>Kredit</t>
        </is>
      </c>
      <c r="F4" s="7" t="inlineStr">
        <is>
          <t>Status</t>
        </is>
      </c>
    </row>
    <row r="5" ht="15" customHeight="1" s="60">
      <c r="A5" s="25" t="n"/>
      <c r="B5" s="19">
        <f t="array" ref="B5">IFERROR(INDEX(Akaun!$C$5:$C$150,MATCH(A5,Akaun!$A$5:$A$150,0)),"")</f>
        <v/>
      </c>
      <c r="C5" s="19">
        <f t="array" ref="C5">IFERROR(INDEX(Akaun!$D$5:$D$150,MATCH(A5,Akaun!$A$5:$A$150,0)),"")</f>
        <v/>
      </c>
      <c r="D5" s="25" t="n"/>
      <c r="E5" s="25" t="n"/>
      <c r="F5" s="25" t="n"/>
    </row>
    <row r="6" ht="15" customHeight="1" s="60">
      <c r="A6" s="25" t="n"/>
      <c r="B6" s="19">
        <f t="array" ref="B6">IFERROR(INDEX(Akaun!$C$5:$C$150,MATCH(A6,Akaun!$A$5:$A$150,0)),"")</f>
        <v/>
      </c>
      <c r="C6" s="19">
        <f t="array" ref="C6">IFERROR(INDEX(Akaun!$D$5:$D$150,MATCH(A6,Akaun!$A$5:$A$150,0)),"")</f>
        <v/>
      </c>
      <c r="D6" s="25" t="n"/>
      <c r="E6" s="25" t="n"/>
      <c r="F6" s="25" t="n"/>
    </row>
    <row r="7" ht="15" customHeight="1" s="60">
      <c r="A7" s="25" t="n"/>
      <c r="B7" s="19">
        <f t="array" ref="B7">IFERROR(INDEX(Akaun!$C$5:$C$150,MATCH(A7,Akaun!$A$5:$A$150,0)),"")</f>
        <v/>
      </c>
      <c r="C7" s="19">
        <f t="array" ref="C7">IFERROR(INDEX(Akaun!$D$5:$D$150,MATCH(A7,Akaun!$A$5:$A$150,0)),"")</f>
        <v/>
      </c>
      <c r="D7" s="25" t="n"/>
      <c r="E7" s="25" t="n"/>
      <c r="F7" s="25" t="n"/>
    </row>
    <row r="8" ht="15" customHeight="1" s="60">
      <c r="A8" s="25" t="n"/>
      <c r="B8" s="19">
        <f t="array" ref="B8">IFERROR(INDEX(Akaun!$C$5:$C$150,MATCH(A8,Akaun!$A$5:$A$150,0)),"")</f>
        <v/>
      </c>
      <c r="C8" s="19">
        <f t="array" ref="C8">IFERROR(INDEX(Akaun!$D$5:$D$150,MATCH(A8,Akaun!$A$5:$A$150,0)),"")</f>
        <v/>
      </c>
      <c r="D8" s="25" t="n"/>
      <c r="E8" s="25" t="n"/>
      <c r="F8" s="25" t="n"/>
    </row>
    <row r="9" ht="15" customHeight="1" s="60">
      <c r="A9" s="25" t="n"/>
      <c r="B9" s="19">
        <f t="array" ref="B9">IFERROR(INDEX(Akaun!$C$5:$C$150,MATCH(A9,Akaun!$A$5:$A$150,0)),"")</f>
        <v/>
      </c>
      <c r="C9" s="19">
        <f t="array" ref="C9">IFERROR(INDEX(Akaun!$D$5:$D$150,MATCH(A9,Akaun!$A$5:$A$150,0)),"")</f>
        <v/>
      </c>
      <c r="D9" s="25" t="n"/>
      <c r="E9" s="25" t="n"/>
      <c r="F9" s="25" t="n"/>
    </row>
    <row r="10" ht="15" customHeight="1" s="60">
      <c r="A10" s="25" t="n"/>
      <c r="B10" s="19">
        <f t="array" ref="B10">IFERROR(INDEX(Akaun!$C$5:$C$150,MATCH(A10,Akaun!$A$5:$A$150,0)),"")</f>
        <v/>
      </c>
      <c r="C10" s="19">
        <f t="array" ref="C10">IFERROR(INDEX(Akaun!$D$5:$D$150,MATCH(A10,Akaun!$A$5:$A$150,0)),"")</f>
        <v/>
      </c>
      <c r="D10" s="25" t="n"/>
      <c r="E10" s="25" t="n"/>
      <c r="F10" s="25" t="n"/>
    </row>
    <row r="11" ht="15" customHeight="1" s="60">
      <c r="A11" s="25" t="n"/>
      <c r="B11" s="19">
        <f t="array" ref="B11">IFERROR(INDEX(Akaun!$C$5:$C$150,MATCH(A11,Akaun!$A$5:$A$150,0)),"")</f>
        <v/>
      </c>
      <c r="C11" s="19">
        <f t="array" ref="C11">IFERROR(INDEX(Akaun!$D$5:$D$150,MATCH(A11,Akaun!$A$5:$A$150,0)),"")</f>
        <v/>
      </c>
      <c r="D11" s="25" t="n"/>
      <c r="E11" s="25" t="n"/>
      <c r="F11" s="25" t="n"/>
    </row>
    <row r="12" ht="15" customHeight="1" s="60">
      <c r="A12" s="25" t="n"/>
      <c r="B12" s="19">
        <f t="array" ref="B12">IFERROR(INDEX(Akaun!$C$5:$C$150,MATCH(A12,Akaun!$A$5:$A$150,0)),"")</f>
        <v/>
      </c>
      <c r="C12" s="19">
        <f t="array" ref="C12">IFERROR(INDEX(Akaun!$D$5:$D$150,MATCH(A12,Akaun!$A$5:$A$150,0)),"")</f>
        <v/>
      </c>
      <c r="D12" s="25" t="n"/>
      <c r="E12" s="25" t="n"/>
      <c r="F12" s="25" t="n"/>
    </row>
    <row r="13" ht="15" customHeight="1" s="60">
      <c r="A13" s="25" t="n"/>
      <c r="B13" s="19">
        <f t="array" ref="B13">IFERROR(INDEX(Akaun!$C$5:$C$150,MATCH(A13,Akaun!$A$5:$A$150,0)),"")</f>
        <v/>
      </c>
      <c r="C13" s="19">
        <f t="array" ref="C13">IFERROR(INDEX(Akaun!$D$5:$D$150,MATCH(A13,Akaun!$A$5:$A$150,0)),"")</f>
        <v/>
      </c>
      <c r="D13" s="25" t="n"/>
      <c r="E13" s="25" t="n"/>
      <c r="F13" s="25" t="n"/>
    </row>
    <row r="14" ht="15" customHeight="1" s="60">
      <c r="A14" s="25" t="n"/>
      <c r="B14" s="19">
        <f t="array" ref="B14">IFERROR(INDEX(Akaun!$C$5:$C$150,MATCH(A14,Akaun!$A$5:$A$150,0)),"")</f>
        <v/>
      </c>
      <c r="C14" s="19">
        <f t="array" ref="C14">IFERROR(INDEX(Akaun!$D$5:$D$150,MATCH(A14,Akaun!$A$5:$A$150,0)),"")</f>
        <v/>
      </c>
      <c r="D14" s="25" t="n"/>
      <c r="E14" s="25" t="n"/>
      <c r="F14" s="25" t="n"/>
    </row>
    <row r="15" ht="15" customHeight="1" s="60">
      <c r="A15" s="25" t="n"/>
      <c r="B15" s="19">
        <f t="array" ref="B15">IFERROR(INDEX(Akaun!$C$5:$C$150,MATCH(A15,Akaun!$A$5:$A$150,0)),"")</f>
        <v/>
      </c>
      <c r="C15" s="19">
        <f t="array" ref="C15">IFERROR(INDEX(Akaun!$D$5:$D$150,MATCH(A15,Akaun!$A$5:$A$150,0)),"")</f>
        <v/>
      </c>
      <c r="D15" s="25" t="n"/>
      <c r="E15" s="25" t="n"/>
      <c r="F15" s="25" t="n"/>
    </row>
    <row r="16" ht="15" customHeight="1" s="60">
      <c r="A16" s="25" t="n"/>
      <c r="B16" s="19">
        <f t="array" ref="B16">IFERROR(INDEX(Akaun!$C$5:$C$150,MATCH(A16,Akaun!$A$5:$A$150,0)),"")</f>
        <v/>
      </c>
      <c r="C16" s="19">
        <f t="array" ref="C16">IFERROR(INDEX(Akaun!$D$5:$D$150,MATCH(A16,Akaun!$A$5:$A$150,0)),"")</f>
        <v/>
      </c>
      <c r="D16" s="25" t="n"/>
      <c r="E16" s="25" t="n"/>
      <c r="F16" s="25" t="n"/>
    </row>
    <row r="17" ht="15" customHeight="1" s="60">
      <c r="A17" s="25" t="n"/>
      <c r="B17" s="19">
        <f t="array" ref="B17">IFERROR(INDEX(Akaun!$C$5:$C$150,MATCH(A17,Akaun!$A$5:$A$150,0)),"")</f>
        <v/>
      </c>
      <c r="C17" s="19">
        <f t="array" ref="C17">IFERROR(INDEX(Akaun!$D$5:$D$150,MATCH(A17,Akaun!$A$5:$A$150,0)),"")</f>
        <v/>
      </c>
      <c r="D17" s="25" t="n"/>
      <c r="E17" s="25" t="n"/>
      <c r="F17" s="25" t="n"/>
    </row>
    <row r="18" ht="15" customHeight="1" s="60">
      <c r="A18" s="25" t="n"/>
      <c r="B18" s="19">
        <f t="array" ref="B18">IFERROR(INDEX(Akaun!$C$5:$C$150,MATCH(A18,Akaun!$A$5:$A$150,0)),"")</f>
        <v/>
      </c>
      <c r="C18" s="19">
        <f t="array" ref="C18">IFERROR(INDEX(Akaun!$D$5:$D$150,MATCH(A18,Akaun!$A$5:$A$150,0)),"")</f>
        <v/>
      </c>
      <c r="D18" s="25" t="n"/>
      <c r="E18" s="25" t="n"/>
      <c r="F18" s="25" t="n"/>
    </row>
    <row r="19" ht="15" customHeight="1" s="60">
      <c r="A19" s="25" t="n"/>
      <c r="B19" s="19">
        <f t="array" ref="B19">IFERROR(INDEX(Akaun!$C$5:$C$150,MATCH(A19,Akaun!$A$5:$A$150,0)),"")</f>
        <v/>
      </c>
      <c r="C19" s="19">
        <f t="array" ref="C19">IFERROR(INDEX(Akaun!$D$5:$D$150,MATCH(A19,Akaun!$A$5:$A$150,0)),"")</f>
        <v/>
      </c>
      <c r="D19" s="25" t="n"/>
      <c r="E19" s="25" t="n"/>
      <c r="F19" s="25" t="n"/>
    </row>
    <row r="20" ht="15" customHeight="1" s="60">
      <c r="A20" s="25" t="n"/>
      <c r="B20" s="19">
        <f t="array" ref="B20">IFERROR(INDEX(Akaun!$C$5:$C$150,MATCH(A20,Akaun!$A$5:$A$150,0)),"")</f>
        <v/>
      </c>
      <c r="C20" s="19">
        <f t="array" ref="C20">IFERROR(INDEX(Akaun!$D$5:$D$150,MATCH(A20,Akaun!$A$5:$A$150,0)),"")</f>
        <v/>
      </c>
      <c r="D20" s="25" t="n"/>
      <c r="E20" s="25" t="n"/>
      <c r="F20" s="25" t="n"/>
    </row>
    <row r="21" ht="15" customHeight="1" s="60">
      <c r="A21" s="25" t="n"/>
      <c r="B21" s="19">
        <f t="array" ref="B21">IFERROR(INDEX(Akaun!$C$5:$C$150,MATCH(A21,Akaun!$A$5:$A$150,0)),"")</f>
        <v/>
      </c>
      <c r="C21" s="19">
        <f t="array" ref="C21">IFERROR(INDEX(Akaun!$D$5:$D$150,MATCH(A21,Akaun!$A$5:$A$150,0)),"")</f>
        <v/>
      </c>
      <c r="D21" s="25" t="n"/>
      <c r="E21" s="25" t="n"/>
      <c r="F21" s="25" t="n"/>
    </row>
    <row r="22" ht="15" customHeight="1" s="60">
      <c r="A22" s="25" t="n"/>
      <c r="B22" s="19">
        <f t="array" ref="B22">IFERROR(INDEX(Akaun!$C$5:$C$150,MATCH(A22,Akaun!$A$5:$A$150,0)),"")</f>
        <v/>
      </c>
      <c r="C22" s="19">
        <f t="array" ref="C22">IFERROR(INDEX(Akaun!$D$5:$D$150,MATCH(A22,Akaun!$A$5:$A$150,0)),"")</f>
        <v/>
      </c>
      <c r="D22" s="25" t="n"/>
      <c r="E22" s="25" t="n"/>
      <c r="F22" s="25" t="n"/>
    </row>
    <row r="23" ht="15" customHeight="1" s="60">
      <c r="A23" s="25" t="n"/>
      <c r="B23" s="19">
        <f t="array" ref="B23">IFERROR(INDEX(Akaun!$C$5:$C$150,MATCH(A23,Akaun!$A$5:$A$150,0)),"")</f>
        <v/>
      </c>
      <c r="C23" s="19">
        <f t="array" ref="C23">IFERROR(INDEX(Akaun!$D$5:$D$150,MATCH(A23,Akaun!$A$5:$A$150,0)),"")</f>
        <v/>
      </c>
      <c r="D23" s="25" t="n"/>
      <c r="E23" s="25" t="n"/>
      <c r="F23" s="25" t="n"/>
    </row>
    <row r="24" ht="15" customHeight="1" s="60">
      <c r="A24" s="25" t="n"/>
      <c r="B24" s="19">
        <f t="array" ref="B24">IFERROR(INDEX(Akaun!$C$5:$C$150,MATCH(A24,Akaun!$A$5:$A$150,0)),"")</f>
        <v/>
      </c>
      <c r="C24" s="19">
        <f t="array" ref="C24">IFERROR(INDEX(Akaun!$D$5:$D$150,MATCH(A24,Akaun!$A$5:$A$150,0)),"")</f>
        <v/>
      </c>
      <c r="D24" s="25" t="n"/>
      <c r="E24" s="25" t="n"/>
      <c r="F24" s="25" t="n"/>
    </row>
    <row r="25" ht="15" customHeight="1" s="60">
      <c r="A25" s="25" t="n"/>
      <c r="B25" s="19">
        <f t="array" ref="B25">IFERROR(INDEX(Akaun!$C$5:$C$150,MATCH(A25,Akaun!$A$5:$A$150,0)),"")</f>
        <v/>
      </c>
      <c r="C25" s="19">
        <f t="array" ref="C25">IFERROR(INDEX(Akaun!$D$5:$D$150,MATCH(A25,Akaun!$A$5:$A$150,0)),"")</f>
        <v/>
      </c>
      <c r="D25" s="25" t="n"/>
      <c r="E25" s="25" t="n"/>
      <c r="F25" s="25" t="n"/>
    </row>
    <row r="26" ht="15" customHeight="1" s="60">
      <c r="A26" s="25" t="n"/>
      <c r="B26" s="19">
        <f t="array" ref="B26">IFERROR(INDEX(Akaun!$C$5:$C$150,MATCH(A26,Akaun!$A$5:$A$150,0)),"")</f>
        <v/>
      </c>
      <c r="C26" s="19">
        <f t="array" ref="C26">IFERROR(INDEX(Akaun!$D$5:$D$150,MATCH(A26,Akaun!$A$5:$A$150,0)),"")</f>
        <v/>
      </c>
      <c r="D26" s="25" t="n"/>
      <c r="E26" s="25" t="n"/>
      <c r="F26" s="25" t="n"/>
    </row>
    <row r="27" ht="15" customHeight="1" s="60">
      <c r="A27" s="25" t="n"/>
      <c r="B27" s="19">
        <f t="array" ref="B27">IFERROR(INDEX(Akaun!$C$5:$C$150,MATCH(A27,Akaun!$A$5:$A$150,0)),"")</f>
        <v/>
      </c>
      <c r="C27" s="19">
        <f t="array" ref="C27">IFERROR(INDEX(Akaun!$D$5:$D$150,MATCH(A27,Akaun!$A$5:$A$150,0)),"")</f>
        <v/>
      </c>
      <c r="D27" s="25" t="n"/>
      <c r="E27" s="25" t="n"/>
      <c r="F27" s="25" t="n"/>
    </row>
    <row r="28" ht="15" customHeight="1" s="60">
      <c r="A28" s="25" t="n"/>
      <c r="B28" s="19">
        <f t="array" ref="B28">IFERROR(INDEX(Akaun!$C$5:$C$150,MATCH(A28,Akaun!$A$5:$A$150,0)),"")</f>
        <v/>
      </c>
      <c r="C28" s="19">
        <f t="array" ref="C28">IFERROR(INDEX(Akaun!$D$5:$D$150,MATCH(A28,Akaun!$A$5:$A$150,0)),"")</f>
        <v/>
      </c>
      <c r="D28" s="25" t="n"/>
      <c r="E28" s="25" t="n"/>
      <c r="F28" s="25" t="n"/>
    </row>
    <row r="29" ht="15" customHeight="1" s="60">
      <c r="A29" s="25" t="n"/>
      <c r="B29" s="19">
        <f t="array" ref="B29">IFERROR(INDEX(Akaun!$C$5:$C$150,MATCH(A29,Akaun!$A$5:$A$150,0)),"")</f>
        <v/>
      </c>
      <c r="C29" s="19">
        <f t="array" ref="C29">IFERROR(INDEX(Akaun!$D$5:$D$150,MATCH(A29,Akaun!$A$5:$A$150,0)),"")</f>
        <v/>
      </c>
      <c r="D29" s="25" t="n"/>
      <c r="E29" s="25" t="n"/>
      <c r="F29" s="25" t="n"/>
    </row>
    <row r="30" ht="15" customHeight="1" s="60">
      <c r="A30" s="25" t="n"/>
      <c r="B30" s="19">
        <f t="array" ref="B30">IFERROR(INDEX(Akaun!$C$5:$C$150,MATCH(A30,Akaun!$A$5:$A$150,0)),"")</f>
        <v/>
      </c>
      <c r="C30" s="19">
        <f t="array" ref="C30">IFERROR(INDEX(Akaun!$D$5:$D$150,MATCH(A30,Akaun!$A$5:$A$150,0)),"")</f>
        <v/>
      </c>
      <c r="D30" s="25" t="n"/>
      <c r="E30" s="25" t="n"/>
      <c r="F30" s="25" t="n"/>
    </row>
    <row r="31" ht="15" customHeight="1" s="60">
      <c r="A31" s="25" t="n"/>
      <c r="B31" s="19">
        <f t="array" ref="B31">IFERROR(INDEX(Akaun!$C$5:$C$150,MATCH(A31,Akaun!$A$5:$A$150,0)),"")</f>
        <v/>
      </c>
      <c r="C31" s="19">
        <f t="array" ref="C31">IFERROR(INDEX(Akaun!$D$5:$D$150,MATCH(A31,Akaun!$A$5:$A$150,0)),"")</f>
        <v/>
      </c>
      <c r="D31" s="25" t="n"/>
      <c r="E31" s="25" t="n"/>
      <c r="F31" s="25" t="n"/>
    </row>
    <row r="32" ht="15" customHeight="1" s="60">
      <c r="A32" s="25" t="n"/>
      <c r="B32" s="19">
        <f t="array" ref="B32">IFERROR(INDEX(Akaun!$C$5:$C$150,MATCH(A32,Akaun!$A$5:$A$150,0)),"")</f>
        <v/>
      </c>
      <c r="C32" s="19">
        <f t="array" ref="C32">IFERROR(INDEX(Akaun!$D$5:$D$150,MATCH(A32,Akaun!$A$5:$A$150,0)),"")</f>
        <v/>
      </c>
      <c r="D32" s="25" t="n"/>
      <c r="E32" s="25" t="n"/>
      <c r="F32" s="25" t="n"/>
    </row>
    <row r="33" ht="15" customHeight="1" s="60">
      <c r="A33" s="25" t="n"/>
      <c r="B33" s="19">
        <f t="array" ref="B33">IFERROR(INDEX(Akaun!$C$5:$C$150,MATCH(A33,Akaun!$A$5:$A$150,0)),"")</f>
        <v/>
      </c>
      <c r="C33" s="19">
        <f t="array" ref="C33">IFERROR(INDEX(Akaun!$D$5:$D$150,MATCH(A33,Akaun!$A$5:$A$150,0)),"")</f>
        <v/>
      </c>
      <c r="D33" s="25" t="n"/>
      <c r="E33" s="25" t="n"/>
      <c r="F33" s="25" t="n"/>
    </row>
    <row r="34" ht="15" customHeight="1" s="60">
      <c r="A34" s="25" t="n"/>
      <c r="B34" s="19">
        <f t="array" ref="B34">IFERROR(INDEX(Akaun!$C$5:$C$150,MATCH(A34,Akaun!$A$5:$A$150,0)),"")</f>
        <v/>
      </c>
      <c r="C34" s="19">
        <f t="array" ref="C34">IFERROR(INDEX(Akaun!$D$5:$D$150,MATCH(A34,Akaun!$A$5:$A$150,0)),"")</f>
        <v/>
      </c>
      <c r="D34" s="25" t="n"/>
      <c r="E34" s="25" t="n"/>
      <c r="F34" s="25" t="n"/>
    </row>
    <row r="35" ht="15" customHeight="1" s="60">
      <c r="A35" s="25" t="n"/>
      <c r="B35" s="19">
        <f t="array" ref="B35">IFERROR(INDEX(Akaun!$C$5:$C$150,MATCH(A35,Akaun!$A$5:$A$150,0)),"")</f>
        <v/>
      </c>
      <c r="C35" s="19">
        <f t="array" ref="C35">IFERROR(INDEX(Akaun!$D$5:$D$150,MATCH(A35,Akaun!$A$5:$A$150,0)),"")</f>
        <v/>
      </c>
      <c r="D35" s="25" t="n"/>
      <c r="E35" s="25" t="n"/>
      <c r="F35" s="25" t="n"/>
    </row>
    <row r="36" ht="15" customHeight="1" s="60">
      <c r="A36" s="25" t="n"/>
      <c r="B36" s="19">
        <f t="array" ref="B36">IFERROR(INDEX(Akaun!$C$5:$C$150,MATCH(A36,Akaun!$A$5:$A$150,0)),"")</f>
        <v/>
      </c>
      <c r="C36" s="19">
        <f t="array" ref="C36">IFERROR(INDEX(Akaun!$D$5:$D$150,MATCH(A36,Akaun!$A$5:$A$150,0)),"")</f>
        <v/>
      </c>
      <c r="D36" s="25" t="n"/>
      <c r="E36" s="25" t="n"/>
      <c r="F36" s="25" t="n"/>
    </row>
    <row r="37" ht="15" customHeight="1" s="60">
      <c r="A37" s="25" t="n"/>
      <c r="B37" s="19">
        <f t="array" ref="B37">IFERROR(INDEX(Akaun!$C$5:$C$150,MATCH(A37,Akaun!$A$5:$A$150,0)),"")</f>
        <v/>
      </c>
      <c r="C37" s="19">
        <f t="array" ref="C37">IFERROR(INDEX(Akaun!$D$5:$D$150,MATCH(A37,Akaun!$A$5:$A$150,0)),"")</f>
        <v/>
      </c>
      <c r="D37" s="25" t="n"/>
      <c r="E37" s="25" t="n"/>
      <c r="F37" s="25" t="n"/>
    </row>
    <row r="38" ht="15" customHeight="1" s="60">
      <c r="A38" s="25" t="n"/>
      <c r="B38" s="19">
        <f t="array" ref="B38">IFERROR(INDEX(Akaun!$C$5:$C$150,MATCH(A38,Akaun!$A$5:$A$150,0)),"")</f>
        <v/>
      </c>
      <c r="C38" s="19">
        <f t="array" ref="C38">IFERROR(INDEX(Akaun!$D$5:$D$150,MATCH(A38,Akaun!$A$5:$A$150,0)),"")</f>
        <v/>
      </c>
      <c r="D38" s="25" t="n"/>
      <c r="E38" s="25" t="n"/>
      <c r="F38" s="25" t="n"/>
    </row>
    <row r="39" ht="15" customHeight="1" s="60">
      <c r="A39" s="25" t="n"/>
      <c r="B39" s="19">
        <f t="array" ref="B39">IFERROR(INDEX(Akaun!$C$5:$C$150,MATCH(A39,Akaun!$A$5:$A$150,0)),"")</f>
        <v/>
      </c>
      <c r="C39" s="19">
        <f t="array" ref="C39">IFERROR(INDEX(Akaun!$D$5:$D$150,MATCH(A39,Akaun!$A$5:$A$150,0)),"")</f>
        <v/>
      </c>
      <c r="D39" s="25" t="n"/>
      <c r="E39" s="25" t="n"/>
      <c r="F39" s="25" t="n"/>
    </row>
    <row r="40" ht="15" customHeight="1" s="60">
      <c r="A40" s="25" t="n"/>
      <c r="B40" s="19">
        <f t="array" ref="B40">IFERROR(INDEX(Akaun!$C$5:$C$150,MATCH(A40,Akaun!$A$5:$A$150,0)),"")</f>
        <v/>
      </c>
      <c r="C40" s="19">
        <f t="array" ref="C40">IFERROR(INDEX(Akaun!$D$5:$D$150,MATCH(A40,Akaun!$A$5:$A$150,0)),"")</f>
        <v/>
      </c>
      <c r="D40" s="25" t="n"/>
      <c r="E40" s="25" t="n"/>
      <c r="F40" s="25" t="n"/>
    </row>
    <row r="41" ht="15" customHeight="1" s="60">
      <c r="A41" s="25" t="n"/>
      <c r="B41" s="19">
        <f t="array" ref="B41">IFERROR(INDEX(Akaun!$C$5:$C$150,MATCH(A41,Akaun!$A$5:$A$150,0)),"")</f>
        <v/>
      </c>
      <c r="C41" s="19">
        <f t="array" ref="C41">IFERROR(INDEX(Akaun!$D$5:$D$150,MATCH(A41,Akaun!$A$5:$A$150,0)),"")</f>
        <v/>
      </c>
      <c r="D41" s="25" t="n"/>
      <c r="E41" s="25" t="n"/>
      <c r="F41" s="25" t="n"/>
    </row>
    <row r="42" ht="15" customHeight="1" s="60">
      <c r="A42" s="25" t="n"/>
      <c r="B42" s="19">
        <f t="array" ref="B42">IFERROR(INDEX(Akaun!$C$5:$C$150,MATCH(A42,Akaun!$A$5:$A$150,0)),"")</f>
        <v/>
      </c>
      <c r="C42" s="19">
        <f t="array" ref="C42">IFERROR(INDEX(Akaun!$D$5:$D$150,MATCH(A42,Akaun!$A$5:$A$150,0)),"")</f>
        <v/>
      </c>
      <c r="D42" s="25" t="n"/>
      <c r="E42" s="25" t="n"/>
      <c r="F42" s="25" t="n"/>
    </row>
    <row r="43" ht="15" customHeight="1" s="60">
      <c r="A43" s="25" t="n"/>
      <c r="B43" s="19">
        <f t="array" ref="B43">IFERROR(INDEX(Akaun!$C$5:$C$150,MATCH(A43,Akaun!$A$5:$A$150,0)),"")</f>
        <v/>
      </c>
      <c r="C43" s="19">
        <f t="array" ref="C43">IFERROR(INDEX(Akaun!$D$5:$D$150,MATCH(A43,Akaun!$A$5:$A$150,0)),"")</f>
        <v/>
      </c>
      <c r="D43" s="25" t="n"/>
      <c r="E43" s="25" t="n"/>
      <c r="F43" s="25" t="n"/>
    </row>
    <row r="44" ht="15" customHeight="1" s="60">
      <c r="A44" s="25" t="n"/>
      <c r="B44" s="19">
        <f t="array" ref="B44">IFERROR(INDEX(Akaun!$C$5:$C$150,MATCH(A44,Akaun!$A$5:$A$150,0)),"")</f>
        <v/>
      </c>
      <c r="C44" s="19">
        <f t="array" ref="C44">IFERROR(INDEX(Akaun!$D$5:$D$150,MATCH(A44,Akaun!$A$5:$A$150,0)),"")</f>
        <v/>
      </c>
      <c r="D44" s="25" t="n"/>
      <c r="E44" s="25" t="n"/>
      <c r="F44" s="25" t="n"/>
    </row>
    <row r="45" ht="15" customHeight="1" s="60">
      <c r="A45" s="25" t="n"/>
      <c r="B45" s="19">
        <f t="array" ref="B45">IFERROR(INDEX(Akaun!$C$5:$C$150,MATCH(A45,Akaun!$A$5:$A$150,0)),"")</f>
        <v/>
      </c>
      <c r="C45" s="19">
        <f t="array" ref="C45">IFERROR(INDEX(Akaun!$D$5:$D$150,MATCH(A45,Akaun!$A$5:$A$150,0)),"")</f>
        <v/>
      </c>
      <c r="D45" s="25" t="n"/>
      <c r="E45" s="25" t="n"/>
      <c r="F45" s="25" t="n"/>
    </row>
    <row r="46" ht="15" customHeight="1" s="60">
      <c r="A46" s="25" t="n"/>
      <c r="B46" s="19">
        <f t="array" ref="B46">IFERROR(INDEX(Akaun!$C$5:$C$150,MATCH(A46,Akaun!$A$5:$A$150,0)),"")</f>
        <v/>
      </c>
      <c r="C46" s="19">
        <f t="array" ref="C46">IFERROR(INDEX(Akaun!$D$5:$D$150,MATCH(A46,Akaun!$A$5:$A$150,0)),"")</f>
        <v/>
      </c>
      <c r="D46" s="25" t="n"/>
      <c r="E46" s="25" t="n"/>
      <c r="F46" s="25" t="n"/>
    </row>
    <row r="47" ht="15" customHeight="1" s="60">
      <c r="A47" s="25" t="n"/>
      <c r="B47" s="19">
        <f t="array" ref="B47">IFERROR(INDEX(Akaun!$C$5:$C$150,MATCH(A47,Akaun!$A$5:$A$150,0)),"")</f>
        <v/>
      </c>
      <c r="C47" s="19">
        <f t="array" ref="C47">IFERROR(INDEX(Akaun!$D$5:$D$150,MATCH(A47,Akaun!$A$5:$A$150,0)),"")</f>
        <v/>
      </c>
      <c r="D47" s="25" t="n"/>
      <c r="E47" s="25" t="n"/>
      <c r="F47" s="25" t="n"/>
    </row>
    <row r="48" ht="15" customHeight="1" s="60">
      <c r="A48" s="25" t="n"/>
      <c r="B48" s="19">
        <f t="array" ref="B48">IFERROR(INDEX(Akaun!$C$5:$C$150,MATCH(A48,Akaun!$A$5:$A$150,0)),"")</f>
        <v/>
      </c>
      <c r="C48" s="19">
        <f t="array" ref="C48">IFERROR(INDEX(Akaun!$D$5:$D$150,MATCH(A48,Akaun!$A$5:$A$150,0)),"")</f>
        <v/>
      </c>
      <c r="D48" s="25" t="n"/>
      <c r="E48" s="25" t="n"/>
      <c r="F48" s="25" t="n"/>
    </row>
    <row r="49" ht="15" customHeight="1" s="60">
      <c r="A49" s="25" t="n"/>
      <c r="B49" s="19">
        <f t="array" ref="B49">IFERROR(INDEX(Akaun!$C$5:$C$150,MATCH(A49,Akaun!$A$5:$A$150,0)),"")</f>
        <v/>
      </c>
      <c r="C49" s="19">
        <f t="array" ref="C49">IFERROR(INDEX(Akaun!$D$5:$D$150,MATCH(A49,Akaun!$A$5:$A$150,0)),"")</f>
        <v/>
      </c>
      <c r="D49" s="25" t="n"/>
      <c r="E49" s="25" t="n"/>
      <c r="F49" s="25" t="n"/>
    </row>
    <row r="50" ht="15" customHeight="1" s="60">
      <c r="A50" s="25" t="n"/>
      <c r="B50" s="19">
        <f t="array" ref="B50">IFERROR(INDEX(Akaun!$C$5:$C$150,MATCH(A50,Akaun!$A$5:$A$150,0)),"")</f>
        <v/>
      </c>
      <c r="C50" s="19">
        <f t="array" ref="C50">IFERROR(INDEX(Akaun!$D$5:$D$150,MATCH(A50,Akaun!$A$5:$A$150,0)),"")</f>
        <v/>
      </c>
      <c r="D50" s="25" t="n"/>
      <c r="E50" s="25" t="n"/>
      <c r="F50" s="25" t="n"/>
    </row>
    <row r="51" ht="15" customHeight="1" s="60">
      <c r="A51" s="25" t="n"/>
      <c r="B51" s="19">
        <f t="array" ref="B51">IFERROR(INDEX(Akaun!$C$5:$C$150,MATCH(A51,Akaun!$A$5:$A$150,0)),"")</f>
        <v/>
      </c>
      <c r="C51" s="19">
        <f t="array" ref="C51">IFERROR(INDEX(Akaun!$D$5:$D$150,MATCH(A51,Akaun!$A$5:$A$150,0)),"")</f>
        <v/>
      </c>
      <c r="D51" s="25" t="n"/>
      <c r="E51" s="25" t="n"/>
      <c r="F51" s="25" t="n"/>
    </row>
    <row r="52" ht="15" customHeight="1" s="60">
      <c r="A52" s="25" t="n"/>
      <c r="B52" s="19">
        <f t="array" ref="B52">IFERROR(INDEX(Akaun!$C$5:$C$150,MATCH(A52,Akaun!$A$5:$A$150,0)),"")</f>
        <v/>
      </c>
      <c r="C52" s="19">
        <f t="array" ref="C52">IFERROR(INDEX(Akaun!$D$5:$D$150,MATCH(A52,Akaun!$A$5:$A$150,0)),"")</f>
        <v/>
      </c>
      <c r="D52" s="25" t="n"/>
      <c r="E52" s="25" t="n"/>
      <c r="F52" s="25" t="n"/>
    </row>
    <row r="53" ht="15" customHeight="1" s="60">
      <c r="A53" s="25" t="n"/>
      <c r="B53" s="19">
        <f t="array" ref="B53">IFERROR(INDEX(Akaun!$C$5:$C$150,MATCH(A53,Akaun!$A$5:$A$150,0)),"")</f>
        <v/>
      </c>
      <c r="C53" s="19">
        <f t="array" ref="C53">IFERROR(INDEX(Akaun!$D$5:$D$150,MATCH(A53,Akaun!$A$5:$A$150,0)),"")</f>
        <v/>
      </c>
      <c r="D53" s="25" t="n"/>
      <c r="E53" s="25" t="n"/>
      <c r="F53" s="25" t="n"/>
    </row>
    <row r="54" ht="15" customHeight="1" s="60">
      <c r="A54" s="25" t="n"/>
      <c r="B54" s="19">
        <f t="array" ref="B54">IFERROR(INDEX(Akaun!$C$5:$C$150,MATCH(A54,Akaun!$A$5:$A$150,0)),"")</f>
        <v/>
      </c>
      <c r="C54" s="19">
        <f t="array" ref="C54">IFERROR(INDEX(Akaun!$D$5:$D$150,MATCH(A54,Akaun!$A$5:$A$150,0)),"")</f>
        <v/>
      </c>
      <c r="D54" s="25" t="n"/>
      <c r="E54" s="25" t="n"/>
      <c r="F54" s="25" t="n"/>
    </row>
    <row r="55" ht="15.75" customHeight="1" s="60">
      <c r="A55" s="41" t="n"/>
      <c r="B55" s="41" t="n"/>
      <c r="C55" s="41" t="n"/>
      <c r="D55" s="41" t="n"/>
      <c r="E55" s="41" t="n"/>
      <c r="F55" s="41" t="n"/>
    </row>
    <row r="56" ht="15.75" customHeight="1" s="60">
      <c r="A56" s="41" t="n"/>
      <c r="B56" s="41" t="n"/>
      <c r="C56" s="41" t="n"/>
      <c r="D56" s="41" t="n"/>
      <c r="E56" s="41" t="n"/>
      <c r="F56" s="41" t="n"/>
    </row>
    <row r="57" ht="15" customHeight="1" s="60">
      <c r="A57" s="32" t="inlineStr">
        <is>
          <t>Jumlah</t>
        </is>
      </c>
      <c r="B57" s="41" t="n"/>
      <c r="C57" s="41" t="n"/>
      <c r="D57" s="33">
        <f>SUM(D5:D54)</f>
        <v/>
      </c>
      <c r="E57" s="33">
        <f>SUM(E5:E54)</f>
        <v/>
      </c>
      <c r="F57" s="41" t="n"/>
    </row>
    <row r="58" ht="15" customHeight="1" s="60">
      <c r="A58" s="41" t="inlineStr">
        <is>
          <t>Semakan (mesti sepadan sebelum pos)</t>
        </is>
      </c>
      <c r="B58" s="32">
        <f>IF(ROUND(D57-E57,2)=0,"SEIMBANG - sedia untuk pos","TIDAK SEIMBANG - beza RM"&amp;TEXT(D57-E57,"#,##0.00"))</f>
        <v/>
      </c>
      <c r="C58" s="41" t="n"/>
      <c r="D58" s="41" t="n"/>
      <c r="E58" s="41" t="n"/>
      <c r="F58" s="41" t="n"/>
    </row>
    <row r="59" ht="15.75" customHeight="1" s="60">
      <c r="A59" s="41" t="n"/>
      <c r="B59" s="41" t="n"/>
      <c r="C59" s="41" t="n"/>
      <c r="D59" s="41" t="n"/>
      <c r="E59" s="41" t="n"/>
      <c r="F59" s="41" t="n"/>
    </row>
    <row r="60" ht="15.75" customHeight="1" s="60">
      <c r="A60" s="41" t="n"/>
      <c r="B60" s="41" t="n"/>
      <c r="C60" s="41" t="n"/>
      <c r="D60" s="41" t="n"/>
      <c r="E60" s="41" t="n"/>
      <c r="F60" s="41" t="n"/>
    </row>
    <row r="61" ht="15.75" customHeight="1" s="60">
      <c r="A61" s="41" t="n"/>
      <c r="B61" s="41" t="n"/>
      <c r="C61" s="41" t="n"/>
      <c r="D61" s="41" t="n"/>
      <c r="E61" s="41" t="n"/>
      <c r="F61" s="41" t="n"/>
    </row>
    <row r="62" ht="15.75" customHeight="1" s="60">
      <c r="A62" s="41" t="n"/>
      <c r="B62" s="41" t="n"/>
      <c r="C62" s="41" t="n"/>
      <c r="D62" s="41" t="n"/>
      <c r="E62" s="41" t="n"/>
      <c r="F62" s="41" t="n"/>
    </row>
    <row r="63" ht="15.75" customHeight="1" s="60">
      <c r="A63" s="41" t="n"/>
      <c r="B63" s="41" t="n"/>
      <c r="C63" s="41" t="n"/>
      <c r="D63" s="41" t="n"/>
      <c r="E63" s="41" t="n"/>
      <c r="F63" s="41" t="n"/>
    </row>
    <row r="64" ht="15.75" customHeight="1" s="60">
      <c r="A64" s="41" t="n"/>
      <c r="B64" s="41" t="n"/>
      <c r="C64" s="41" t="n"/>
      <c r="D64" s="41" t="n"/>
      <c r="E64" s="41" t="n"/>
      <c r="F64" s="41" t="n"/>
    </row>
    <row r="65" ht="15.75" customHeight="1" s="60">
      <c r="A65" s="41" t="n"/>
      <c r="B65" s="41" t="n"/>
      <c r="C65" s="41" t="n"/>
      <c r="D65" s="41" t="n"/>
      <c r="E65" s="41" t="n"/>
      <c r="F65" s="41" t="n"/>
    </row>
    <row r="66" ht="15.75" customHeight="1" s="60">
      <c r="A66" s="41" t="n"/>
      <c r="B66" s="41" t="n"/>
      <c r="C66" s="41" t="n"/>
      <c r="D66" s="41" t="n"/>
      <c r="E66" s="41" t="n"/>
      <c r="F66" s="41" t="n"/>
    </row>
    <row r="67" ht="15.75" customHeight="1" s="60">
      <c r="A67" s="41" t="n"/>
      <c r="B67" s="41" t="n"/>
      <c r="C67" s="41" t="n"/>
      <c r="D67" s="41" t="n"/>
      <c r="E67" s="41" t="n"/>
      <c r="F67" s="41" t="n"/>
    </row>
    <row r="68" ht="15.75" customHeight="1" s="60">
      <c r="A68" s="41" t="n"/>
      <c r="B68" s="41" t="n"/>
      <c r="C68" s="41" t="n"/>
      <c r="D68" s="41" t="n"/>
      <c r="E68" s="41" t="n"/>
      <c r="F68" s="41" t="n"/>
    </row>
    <row r="69" ht="15.75" customHeight="1" s="60">
      <c r="A69" s="41" t="n"/>
      <c r="B69" s="41" t="n"/>
      <c r="C69" s="41" t="n"/>
      <c r="D69" s="41" t="n"/>
      <c r="E69" s="41" t="n"/>
      <c r="F69" s="41" t="n"/>
    </row>
    <row r="70" ht="15.75" customHeight="1" s="60">
      <c r="A70" s="41" t="n"/>
      <c r="B70" s="41" t="n"/>
      <c r="C70" s="41" t="n"/>
      <c r="D70" s="41" t="n"/>
      <c r="E70" s="41" t="n"/>
      <c r="F70" s="41" t="n"/>
    </row>
    <row r="71" ht="15.75" customHeight="1" s="60">
      <c r="A71" s="41" t="n"/>
      <c r="B71" s="41" t="n"/>
      <c r="C71" s="41" t="n"/>
      <c r="D71" s="41" t="n"/>
      <c r="E71" s="41" t="n"/>
      <c r="F71" s="41" t="n"/>
    </row>
    <row r="72" ht="15.75" customHeight="1" s="60">
      <c r="A72" s="41" t="n"/>
      <c r="B72" s="41" t="n"/>
      <c r="C72" s="41" t="n"/>
      <c r="D72" s="41" t="n"/>
      <c r="E72" s="41" t="n"/>
      <c r="F72" s="41" t="n"/>
    </row>
    <row r="73" ht="15.75" customHeight="1" s="60">
      <c r="A73" s="41" t="n"/>
      <c r="B73" s="41" t="n"/>
      <c r="C73" s="41" t="n"/>
      <c r="D73" s="41" t="n"/>
      <c r="E73" s="41" t="n"/>
      <c r="F73" s="41" t="n"/>
    </row>
    <row r="74" ht="15.75" customHeight="1" s="60">
      <c r="A74" s="41" t="n"/>
      <c r="B74" s="41" t="n"/>
      <c r="C74" s="41" t="n"/>
      <c r="D74" s="41" t="n"/>
      <c r="E74" s="41" t="n"/>
      <c r="F74" s="41" t="n"/>
    </row>
    <row r="75" ht="15.75" customHeight="1" s="60">
      <c r="A75" s="41" t="n"/>
      <c r="B75" s="41" t="n"/>
      <c r="C75" s="41" t="n"/>
      <c r="D75" s="41" t="n"/>
      <c r="E75" s="41" t="n"/>
      <c r="F75" s="41" t="n"/>
    </row>
    <row r="76" ht="15.75" customHeight="1" s="60">
      <c r="A76" s="41" t="n"/>
      <c r="B76" s="41" t="n"/>
      <c r="C76" s="41" t="n"/>
      <c r="D76" s="41" t="n"/>
      <c r="E76" s="41" t="n"/>
      <c r="F76" s="41" t="n"/>
    </row>
    <row r="77" ht="15.75" customHeight="1" s="60">
      <c r="A77" s="41" t="n"/>
      <c r="B77" s="41" t="n"/>
      <c r="C77" s="41" t="n"/>
      <c r="D77" s="41" t="n"/>
      <c r="E77" s="41" t="n"/>
      <c r="F77" s="41" t="n"/>
    </row>
    <row r="78" ht="15.75" customHeight="1" s="60">
      <c r="A78" s="41" t="n"/>
      <c r="B78" s="41" t="n"/>
      <c r="C78" s="41" t="n"/>
      <c r="D78" s="41" t="n"/>
      <c r="E78" s="41" t="n"/>
      <c r="F78" s="41" t="n"/>
    </row>
    <row r="79" ht="15.75" customHeight="1" s="60">
      <c r="A79" s="41" t="n"/>
      <c r="B79" s="41" t="n"/>
      <c r="C79" s="41" t="n"/>
      <c r="D79" s="41" t="n"/>
      <c r="E79" s="41" t="n"/>
      <c r="F79" s="41" t="n"/>
    </row>
    <row r="80" ht="15.75" customHeight="1" s="60">
      <c r="A80" s="41" t="n"/>
      <c r="B80" s="41" t="n"/>
      <c r="C80" s="41" t="n"/>
      <c r="D80" s="41" t="n"/>
      <c r="E80" s="41" t="n"/>
      <c r="F80" s="41" t="n"/>
    </row>
    <row r="81" ht="15.75" customHeight="1" s="60">
      <c r="A81" s="41" t="n"/>
      <c r="B81" s="41" t="n"/>
      <c r="C81" s="41" t="n"/>
      <c r="D81" s="41" t="n"/>
      <c r="E81" s="41" t="n"/>
      <c r="F81" s="41" t="n"/>
    </row>
    <row r="82" ht="15.75" customHeight="1" s="60">
      <c r="A82" s="41" t="n"/>
      <c r="B82" s="41" t="n"/>
      <c r="C82" s="41" t="n"/>
      <c r="D82" s="41" t="n"/>
      <c r="E82" s="41" t="n"/>
      <c r="F82" s="41" t="n"/>
    </row>
    <row r="83" ht="15.75" customHeight="1" s="60">
      <c r="A83" s="41" t="n"/>
      <c r="B83" s="41" t="n"/>
      <c r="C83" s="41" t="n"/>
      <c r="D83" s="41" t="n"/>
      <c r="E83" s="41" t="n"/>
      <c r="F83" s="41" t="n"/>
    </row>
    <row r="84" ht="15.75" customHeight="1" s="60">
      <c r="A84" s="41" t="n"/>
      <c r="B84" s="41" t="n"/>
      <c r="C84" s="41" t="n"/>
      <c r="D84" s="41" t="n"/>
      <c r="E84" s="41" t="n"/>
      <c r="F84" s="41" t="n"/>
    </row>
    <row r="85" ht="15.75" customHeight="1" s="60">
      <c r="A85" s="41" t="n"/>
      <c r="B85" s="41" t="n"/>
      <c r="C85" s="41" t="n"/>
      <c r="D85" s="41" t="n"/>
      <c r="E85" s="41" t="n"/>
      <c r="F85" s="41" t="n"/>
    </row>
    <row r="86" ht="15.75" customHeight="1" s="60">
      <c r="A86" s="41" t="n"/>
      <c r="B86" s="41" t="n"/>
      <c r="C86" s="41" t="n"/>
      <c r="D86" s="41" t="n"/>
      <c r="E86" s="41" t="n"/>
      <c r="F86" s="41" t="n"/>
    </row>
    <row r="87" ht="15.75" customHeight="1" s="60">
      <c r="A87" s="41" t="n"/>
      <c r="B87" s="41" t="n"/>
      <c r="C87" s="41" t="n"/>
      <c r="D87" s="41" t="n"/>
      <c r="E87" s="41" t="n"/>
      <c r="F87" s="41" t="n"/>
    </row>
    <row r="88" ht="15.75" customHeight="1" s="60">
      <c r="A88" s="41" t="n"/>
      <c r="B88" s="41" t="n"/>
      <c r="C88" s="41" t="n"/>
      <c r="D88" s="41" t="n"/>
      <c r="E88" s="41" t="n"/>
      <c r="F88" s="41" t="n"/>
    </row>
    <row r="89" ht="15.75" customHeight="1" s="60">
      <c r="A89" s="41" t="n"/>
      <c r="B89" s="41" t="n"/>
      <c r="C89" s="41" t="n"/>
      <c r="D89" s="41" t="n"/>
      <c r="E89" s="41" t="n"/>
      <c r="F89" s="41" t="n"/>
    </row>
    <row r="90" ht="15.75" customHeight="1" s="60">
      <c r="A90" s="41" t="n"/>
      <c r="B90" s="41" t="n"/>
      <c r="C90" s="41" t="n"/>
      <c r="D90" s="41" t="n"/>
      <c r="E90" s="41" t="n"/>
      <c r="F90" s="41" t="n"/>
    </row>
    <row r="91" ht="15.75" customHeight="1" s="60">
      <c r="A91" s="41" t="n"/>
      <c r="B91" s="41" t="n"/>
      <c r="C91" s="41" t="n"/>
      <c r="D91" s="41" t="n"/>
      <c r="E91" s="41" t="n"/>
      <c r="F91" s="41" t="n"/>
    </row>
    <row r="92" ht="15.75" customHeight="1" s="60">
      <c r="A92" s="41" t="n"/>
      <c r="B92" s="41" t="n"/>
      <c r="C92" s="41" t="n"/>
      <c r="D92" s="41" t="n"/>
      <c r="E92" s="41" t="n"/>
      <c r="F92" s="41" t="n"/>
    </row>
    <row r="93" ht="15.75" customHeight="1" s="60">
      <c r="A93" s="41" t="n"/>
      <c r="B93" s="41" t="n"/>
      <c r="C93" s="41" t="n"/>
      <c r="D93" s="41" t="n"/>
      <c r="E93" s="41" t="n"/>
      <c r="F93" s="41" t="n"/>
    </row>
    <row r="94" ht="15.75" customHeight="1" s="60">
      <c r="A94" s="41" t="n"/>
      <c r="B94" s="41" t="n"/>
      <c r="C94" s="41" t="n"/>
      <c r="D94" s="41" t="n"/>
      <c r="E94" s="41" t="n"/>
      <c r="F94" s="41" t="n"/>
    </row>
    <row r="95" ht="15.75" customHeight="1" s="60">
      <c r="A95" s="41" t="n"/>
      <c r="B95" s="41" t="n"/>
      <c r="C95" s="41" t="n"/>
      <c r="D95" s="41" t="n"/>
      <c r="E95" s="41" t="n"/>
      <c r="F95" s="41" t="n"/>
    </row>
    <row r="96" ht="15.75" customHeight="1" s="60">
      <c r="A96" s="41" t="n"/>
      <c r="B96" s="41" t="n"/>
      <c r="C96" s="41" t="n"/>
      <c r="D96" s="41" t="n"/>
      <c r="E96" s="41" t="n"/>
      <c r="F96" s="41" t="n"/>
    </row>
    <row r="97" ht="15.75" customHeight="1" s="60">
      <c r="A97" s="41" t="n"/>
      <c r="B97" s="41" t="n"/>
      <c r="C97" s="41" t="n"/>
      <c r="D97" s="41" t="n"/>
      <c r="E97" s="41" t="n"/>
      <c r="F97" s="41" t="n"/>
    </row>
    <row r="98" ht="15.75" customHeight="1" s="60">
      <c r="A98" s="41" t="n"/>
      <c r="B98" s="41" t="n"/>
      <c r="C98" s="41" t="n"/>
      <c r="D98" s="41" t="n"/>
      <c r="E98" s="41" t="n"/>
      <c r="F98" s="41" t="n"/>
    </row>
    <row r="99" ht="15.75" customHeight="1" s="60">
      <c r="A99" s="41" t="n"/>
      <c r="B99" s="41" t="n"/>
      <c r="C99" s="41" t="n"/>
      <c r="D99" s="41" t="n"/>
      <c r="E99" s="41" t="n"/>
      <c r="F99" s="41" t="n"/>
    </row>
    <row r="100" ht="15.75" customHeight="1" s="60">
      <c r="A100" s="41" t="n"/>
      <c r="B100" s="41" t="n"/>
      <c r="C100" s="41" t="n"/>
      <c r="D100" s="41" t="n"/>
      <c r="E100" s="41" t="n"/>
      <c r="F100" s="41" t="n"/>
    </row>
    <row r="101" ht="15.75" customHeight="1" s="60">
      <c r="A101" s="41" t="n"/>
      <c r="B101" s="41" t="n"/>
      <c r="C101" s="41" t="n"/>
      <c r="D101" s="41" t="n"/>
      <c r="E101" s="41" t="n"/>
      <c r="F101" s="41" t="n"/>
    </row>
    <row r="102" ht="15.75" customHeight="1" s="60">
      <c r="A102" s="41" t="n"/>
      <c r="B102" s="41" t="n"/>
      <c r="C102" s="41" t="n"/>
      <c r="D102" s="41" t="n"/>
      <c r="E102" s="41" t="n"/>
      <c r="F102" s="41" t="n"/>
    </row>
    <row r="103" ht="15.75" customHeight="1" s="60">
      <c r="A103" s="41" t="n"/>
      <c r="B103" s="41" t="n"/>
      <c r="C103" s="41" t="n"/>
      <c r="D103" s="41" t="n"/>
      <c r="E103" s="41" t="n"/>
      <c r="F103" s="41" t="n"/>
    </row>
    <row r="104" ht="15.75" customHeight="1" s="60">
      <c r="A104" s="41" t="n"/>
      <c r="B104" s="41" t="n"/>
      <c r="C104" s="41" t="n"/>
      <c r="D104" s="41" t="n"/>
      <c r="E104" s="41" t="n"/>
      <c r="F104" s="41" t="n"/>
    </row>
    <row r="105" ht="15.75" customHeight="1" s="60">
      <c r="A105" s="41" t="n"/>
      <c r="B105" s="41" t="n"/>
      <c r="C105" s="41" t="n"/>
      <c r="D105" s="41" t="n"/>
      <c r="E105" s="41" t="n"/>
      <c r="F105" s="41" t="n"/>
    </row>
    <row r="106" ht="15.75" customHeight="1" s="60">
      <c r="A106" s="41" t="n"/>
      <c r="B106" s="41" t="n"/>
      <c r="C106" s="41" t="n"/>
      <c r="D106" s="41" t="n"/>
      <c r="E106" s="41" t="n"/>
      <c r="F106" s="41" t="n"/>
    </row>
    <row r="107" ht="15.75" customHeight="1" s="60">
      <c r="A107" s="41" t="n"/>
      <c r="B107" s="41" t="n"/>
      <c r="C107" s="41" t="n"/>
      <c r="D107" s="41" t="n"/>
      <c r="E107" s="41" t="n"/>
      <c r="F107" s="41" t="n"/>
    </row>
    <row r="108" ht="15.75" customHeight="1" s="60">
      <c r="A108" s="41" t="n"/>
      <c r="B108" s="41" t="n"/>
      <c r="C108" s="41" t="n"/>
      <c r="D108" s="41" t="n"/>
      <c r="E108" s="41" t="n"/>
      <c r="F108" s="41" t="n"/>
    </row>
    <row r="109" ht="15.75" customHeight="1" s="60">
      <c r="A109" s="41" t="n"/>
      <c r="B109" s="41" t="n"/>
      <c r="C109" s="41" t="n"/>
      <c r="D109" s="41" t="n"/>
      <c r="E109" s="41" t="n"/>
      <c r="F109" s="41" t="n"/>
    </row>
    <row r="110" ht="15.75" customHeight="1" s="60">
      <c r="A110" s="41" t="n"/>
      <c r="B110" s="41" t="n"/>
      <c r="C110" s="41" t="n"/>
      <c r="D110" s="41" t="n"/>
      <c r="E110" s="41" t="n"/>
      <c r="F110" s="41" t="n"/>
    </row>
    <row r="111" ht="15.75" customHeight="1" s="60">
      <c r="A111" s="41" t="n"/>
      <c r="B111" s="41" t="n"/>
      <c r="C111" s="41" t="n"/>
      <c r="D111" s="41" t="n"/>
      <c r="E111" s="41" t="n"/>
      <c r="F111" s="41" t="n"/>
    </row>
    <row r="112" ht="15.75" customHeight="1" s="60">
      <c r="A112" s="41" t="n"/>
      <c r="B112" s="41" t="n"/>
      <c r="C112" s="41" t="n"/>
      <c r="D112" s="41" t="n"/>
      <c r="E112" s="41" t="n"/>
      <c r="F112" s="41" t="n"/>
    </row>
    <row r="113" ht="15.75" customHeight="1" s="60">
      <c r="A113" s="41" t="n"/>
      <c r="B113" s="41" t="n"/>
      <c r="C113" s="41" t="n"/>
      <c r="D113" s="41" t="n"/>
      <c r="E113" s="41" t="n"/>
      <c r="F113" s="41" t="n"/>
    </row>
    <row r="114" ht="15.75" customHeight="1" s="60">
      <c r="A114" s="41" t="n"/>
      <c r="B114" s="41" t="n"/>
      <c r="C114" s="41" t="n"/>
      <c r="D114" s="41" t="n"/>
      <c r="E114" s="41" t="n"/>
      <c r="F114" s="41" t="n"/>
    </row>
    <row r="115" ht="15.75" customHeight="1" s="60">
      <c r="A115" s="41" t="n"/>
      <c r="B115" s="41" t="n"/>
      <c r="C115" s="41" t="n"/>
      <c r="D115" s="41" t="n"/>
      <c r="E115" s="41" t="n"/>
      <c r="F115" s="41" t="n"/>
    </row>
    <row r="116" ht="15.75" customHeight="1" s="60">
      <c r="A116" s="41" t="n"/>
      <c r="B116" s="41" t="n"/>
      <c r="C116" s="41" t="n"/>
      <c r="D116" s="41" t="n"/>
      <c r="E116" s="41" t="n"/>
      <c r="F116" s="41" t="n"/>
    </row>
    <row r="117" ht="15.75" customHeight="1" s="60">
      <c r="A117" s="41" t="n"/>
      <c r="B117" s="41" t="n"/>
      <c r="C117" s="41" t="n"/>
      <c r="D117" s="41" t="n"/>
      <c r="E117" s="41" t="n"/>
      <c r="F117" s="41" t="n"/>
    </row>
    <row r="118" ht="15.75" customHeight="1" s="60">
      <c r="A118" s="41" t="n"/>
      <c r="B118" s="41" t="n"/>
      <c r="C118" s="41" t="n"/>
      <c r="D118" s="41" t="n"/>
      <c r="E118" s="41" t="n"/>
      <c r="F118" s="41" t="n"/>
    </row>
    <row r="119" ht="15.75" customHeight="1" s="60">
      <c r="A119" s="41" t="n"/>
      <c r="B119" s="41" t="n"/>
      <c r="C119" s="41" t="n"/>
      <c r="D119" s="41" t="n"/>
      <c r="E119" s="41" t="n"/>
      <c r="F119" s="41" t="n"/>
    </row>
    <row r="120" ht="15.75" customHeight="1" s="60">
      <c r="A120" s="41" t="n"/>
      <c r="B120" s="41" t="n"/>
      <c r="C120" s="41" t="n"/>
      <c r="D120" s="41" t="n"/>
      <c r="E120" s="41" t="n"/>
      <c r="F120" s="41" t="n"/>
    </row>
    <row r="121" ht="15.75" customHeight="1" s="60">
      <c r="A121" s="41" t="n"/>
      <c r="B121" s="41" t="n"/>
      <c r="C121" s="41" t="n"/>
      <c r="D121" s="41" t="n"/>
      <c r="E121" s="41" t="n"/>
      <c r="F121" s="41" t="n"/>
    </row>
    <row r="122" ht="15.75" customHeight="1" s="60">
      <c r="A122" s="41" t="n"/>
      <c r="B122" s="41" t="n"/>
      <c r="C122" s="41" t="n"/>
      <c r="D122" s="41" t="n"/>
      <c r="E122" s="41" t="n"/>
      <c r="F122" s="41" t="n"/>
    </row>
    <row r="123" ht="15.75" customHeight="1" s="60">
      <c r="A123" s="41" t="n"/>
      <c r="B123" s="41" t="n"/>
      <c r="C123" s="41" t="n"/>
      <c r="D123" s="41" t="n"/>
      <c r="E123" s="41" t="n"/>
      <c r="F123" s="41" t="n"/>
    </row>
    <row r="124" ht="15.75" customHeight="1" s="60">
      <c r="A124" s="41" t="n"/>
      <c r="B124" s="41" t="n"/>
      <c r="C124" s="41" t="n"/>
      <c r="D124" s="41" t="n"/>
      <c r="E124" s="41" t="n"/>
      <c r="F124" s="41" t="n"/>
    </row>
    <row r="125" ht="15.75" customHeight="1" s="60">
      <c r="A125" s="41" t="n"/>
      <c r="B125" s="41" t="n"/>
      <c r="C125" s="41" t="n"/>
      <c r="D125" s="41" t="n"/>
      <c r="E125" s="41" t="n"/>
      <c r="F125" s="41" t="n"/>
    </row>
    <row r="126" ht="15.75" customHeight="1" s="60">
      <c r="A126" s="41" t="n"/>
      <c r="B126" s="41" t="n"/>
      <c r="C126" s="41" t="n"/>
      <c r="D126" s="41" t="n"/>
      <c r="E126" s="41" t="n"/>
      <c r="F126" s="41" t="n"/>
    </row>
    <row r="127" ht="15.75" customHeight="1" s="60">
      <c r="A127" s="41" t="n"/>
      <c r="B127" s="41" t="n"/>
      <c r="C127" s="41" t="n"/>
      <c r="D127" s="41" t="n"/>
      <c r="E127" s="41" t="n"/>
      <c r="F127" s="41" t="n"/>
    </row>
    <row r="128" ht="15.75" customHeight="1" s="60">
      <c r="A128" s="41" t="n"/>
      <c r="B128" s="41" t="n"/>
      <c r="C128" s="41" t="n"/>
      <c r="D128" s="41" t="n"/>
      <c r="E128" s="41" t="n"/>
      <c r="F128" s="41" t="n"/>
    </row>
    <row r="129" ht="15.75" customHeight="1" s="60">
      <c r="A129" s="41" t="n"/>
      <c r="B129" s="41" t="n"/>
      <c r="C129" s="41" t="n"/>
      <c r="D129" s="41" t="n"/>
      <c r="E129" s="41" t="n"/>
      <c r="F129" s="41" t="n"/>
    </row>
    <row r="130" ht="15.75" customHeight="1" s="60">
      <c r="A130" s="41" t="n"/>
      <c r="B130" s="41" t="n"/>
      <c r="C130" s="41" t="n"/>
      <c r="D130" s="41" t="n"/>
      <c r="E130" s="41" t="n"/>
      <c r="F130" s="41" t="n"/>
    </row>
    <row r="131" ht="15.75" customHeight="1" s="60">
      <c r="A131" s="41" t="n"/>
      <c r="B131" s="41" t="n"/>
      <c r="C131" s="41" t="n"/>
      <c r="D131" s="41" t="n"/>
      <c r="E131" s="41" t="n"/>
      <c r="F131" s="41" t="n"/>
    </row>
    <row r="132" ht="15.75" customHeight="1" s="60">
      <c r="A132" s="41" t="n"/>
      <c r="B132" s="41" t="n"/>
      <c r="C132" s="41" t="n"/>
      <c r="D132" s="41" t="n"/>
      <c r="E132" s="41" t="n"/>
      <c r="F132" s="41" t="n"/>
    </row>
    <row r="133" ht="15.75" customHeight="1" s="60">
      <c r="A133" s="41" t="n"/>
      <c r="B133" s="41" t="n"/>
      <c r="C133" s="41" t="n"/>
      <c r="D133" s="41" t="n"/>
      <c r="E133" s="41" t="n"/>
      <c r="F133" s="41" t="n"/>
    </row>
    <row r="134" ht="15.75" customHeight="1" s="60">
      <c r="A134" s="41" t="n"/>
      <c r="B134" s="41" t="n"/>
      <c r="C134" s="41" t="n"/>
      <c r="D134" s="41" t="n"/>
      <c r="E134" s="41" t="n"/>
      <c r="F134" s="41" t="n"/>
    </row>
    <row r="135" ht="15.75" customHeight="1" s="60">
      <c r="A135" s="41" t="n"/>
      <c r="B135" s="41" t="n"/>
      <c r="C135" s="41" t="n"/>
      <c r="D135" s="41" t="n"/>
      <c r="E135" s="41" t="n"/>
      <c r="F135" s="41" t="n"/>
    </row>
    <row r="136" ht="15.75" customHeight="1" s="60">
      <c r="A136" s="41" t="n"/>
      <c r="B136" s="41" t="n"/>
      <c r="C136" s="41" t="n"/>
      <c r="D136" s="41" t="n"/>
      <c r="E136" s="41" t="n"/>
      <c r="F136" s="41" t="n"/>
    </row>
    <row r="137" ht="15.75" customHeight="1" s="60">
      <c r="A137" s="41" t="n"/>
      <c r="B137" s="41" t="n"/>
      <c r="C137" s="41" t="n"/>
      <c r="D137" s="41" t="n"/>
      <c r="E137" s="41" t="n"/>
      <c r="F137" s="41" t="n"/>
    </row>
    <row r="138" ht="15.75" customHeight="1" s="60">
      <c r="A138" s="41" t="n"/>
      <c r="B138" s="41" t="n"/>
      <c r="C138" s="41" t="n"/>
      <c r="D138" s="41" t="n"/>
      <c r="E138" s="41" t="n"/>
      <c r="F138" s="41" t="n"/>
    </row>
    <row r="139" ht="15.75" customHeight="1" s="60">
      <c r="A139" s="41" t="n"/>
      <c r="B139" s="41" t="n"/>
      <c r="C139" s="41" t="n"/>
      <c r="D139" s="41" t="n"/>
      <c r="E139" s="41" t="n"/>
      <c r="F139" s="41" t="n"/>
    </row>
    <row r="140" ht="15.75" customHeight="1" s="60">
      <c r="A140" s="41" t="n"/>
      <c r="B140" s="41" t="n"/>
      <c r="C140" s="41" t="n"/>
      <c r="D140" s="41" t="n"/>
      <c r="E140" s="41" t="n"/>
      <c r="F140" s="41" t="n"/>
    </row>
    <row r="141" ht="15.75" customHeight="1" s="60">
      <c r="A141" s="41" t="n"/>
      <c r="B141" s="41" t="n"/>
      <c r="C141" s="41" t="n"/>
      <c r="D141" s="41" t="n"/>
      <c r="E141" s="41" t="n"/>
      <c r="F141" s="41" t="n"/>
    </row>
    <row r="142" ht="15.75" customHeight="1" s="60">
      <c r="A142" s="41" t="n"/>
      <c r="B142" s="41" t="n"/>
      <c r="C142" s="41" t="n"/>
      <c r="D142" s="41" t="n"/>
      <c r="E142" s="41" t="n"/>
      <c r="F142" s="41" t="n"/>
    </row>
    <row r="143" ht="15.75" customHeight="1" s="60">
      <c r="A143" s="41" t="n"/>
      <c r="B143" s="41" t="n"/>
      <c r="C143" s="41" t="n"/>
      <c r="D143" s="41" t="n"/>
      <c r="E143" s="41" t="n"/>
      <c r="F143" s="41" t="n"/>
    </row>
    <row r="144" ht="15.75" customHeight="1" s="60">
      <c r="A144" s="41" t="n"/>
      <c r="B144" s="41" t="n"/>
      <c r="C144" s="41" t="n"/>
      <c r="D144" s="41" t="n"/>
      <c r="E144" s="41" t="n"/>
      <c r="F144" s="41" t="n"/>
    </row>
    <row r="145" ht="15.75" customHeight="1" s="60">
      <c r="A145" s="41" t="n"/>
      <c r="B145" s="41" t="n"/>
      <c r="C145" s="41" t="n"/>
      <c r="D145" s="41" t="n"/>
      <c r="E145" s="41" t="n"/>
      <c r="F145" s="41" t="n"/>
    </row>
    <row r="146" ht="15.75" customHeight="1" s="60">
      <c r="A146" s="41" t="n"/>
      <c r="B146" s="41" t="n"/>
      <c r="C146" s="41" t="n"/>
      <c r="D146" s="41" t="n"/>
      <c r="E146" s="41" t="n"/>
      <c r="F146" s="41" t="n"/>
    </row>
    <row r="147" ht="15.75" customHeight="1" s="60">
      <c r="A147" s="41" t="n"/>
      <c r="B147" s="41" t="n"/>
      <c r="C147" s="41" t="n"/>
      <c r="D147" s="41" t="n"/>
      <c r="E147" s="41" t="n"/>
      <c r="F147" s="41" t="n"/>
    </row>
    <row r="148" ht="15.75" customHeight="1" s="60">
      <c r="A148" s="41" t="n"/>
      <c r="B148" s="41" t="n"/>
      <c r="C148" s="41" t="n"/>
      <c r="D148" s="41" t="n"/>
      <c r="E148" s="41" t="n"/>
      <c r="F148" s="41" t="n"/>
    </row>
    <row r="149" ht="15.75" customHeight="1" s="60">
      <c r="A149" s="41" t="n"/>
      <c r="B149" s="41" t="n"/>
      <c r="C149" s="41" t="n"/>
      <c r="D149" s="41" t="n"/>
      <c r="E149" s="41" t="n"/>
      <c r="F149" s="41" t="n"/>
    </row>
    <row r="150" ht="15.75" customHeight="1" s="60">
      <c r="A150" s="41" t="n"/>
      <c r="B150" s="41" t="n"/>
      <c r="C150" s="41" t="n"/>
      <c r="D150" s="41" t="n"/>
      <c r="E150" s="41" t="n"/>
      <c r="F150" s="41" t="n"/>
    </row>
    <row r="151" ht="15.75" customHeight="1" s="60">
      <c r="A151" s="41" t="n"/>
      <c r="B151" s="41" t="n"/>
      <c r="C151" s="41" t="n"/>
      <c r="D151" s="41" t="n"/>
      <c r="E151" s="41" t="n"/>
      <c r="F151" s="41" t="n"/>
    </row>
    <row r="152" ht="15.75" customHeight="1" s="60">
      <c r="A152" s="41" t="n"/>
      <c r="B152" s="41" t="n"/>
      <c r="C152" s="41" t="n"/>
      <c r="D152" s="41" t="n"/>
      <c r="E152" s="41" t="n"/>
      <c r="F152" s="41" t="n"/>
    </row>
    <row r="153" ht="15.75" customHeight="1" s="60">
      <c r="A153" s="41" t="n"/>
      <c r="B153" s="41" t="n"/>
      <c r="C153" s="41" t="n"/>
      <c r="D153" s="41" t="n"/>
      <c r="E153" s="41" t="n"/>
      <c r="F153" s="41" t="n"/>
    </row>
    <row r="154" ht="15.75" customHeight="1" s="60">
      <c r="A154" s="41" t="n"/>
      <c r="B154" s="41" t="n"/>
      <c r="C154" s="41" t="n"/>
      <c r="D154" s="41" t="n"/>
      <c r="E154" s="41" t="n"/>
      <c r="F154" s="41" t="n"/>
    </row>
    <row r="155" ht="15.75" customHeight="1" s="60">
      <c r="A155" s="41" t="n"/>
      <c r="B155" s="41" t="n"/>
      <c r="C155" s="41" t="n"/>
      <c r="D155" s="41" t="n"/>
      <c r="E155" s="41" t="n"/>
      <c r="F155" s="41" t="n"/>
    </row>
    <row r="156" ht="15.75" customHeight="1" s="60">
      <c r="A156" s="41" t="n"/>
      <c r="B156" s="41" t="n"/>
      <c r="C156" s="41" t="n"/>
      <c r="D156" s="41" t="n"/>
      <c r="E156" s="41" t="n"/>
      <c r="F156" s="41" t="n"/>
    </row>
    <row r="157" ht="15.75" customHeight="1" s="60">
      <c r="A157" s="41" t="n"/>
      <c r="B157" s="41" t="n"/>
      <c r="C157" s="41" t="n"/>
      <c r="D157" s="41" t="n"/>
      <c r="E157" s="41" t="n"/>
      <c r="F157" s="41" t="n"/>
    </row>
    <row r="158" ht="15.75" customHeight="1" s="60">
      <c r="A158" s="41" t="n"/>
      <c r="B158" s="41" t="n"/>
      <c r="C158" s="41" t="n"/>
      <c r="D158" s="41" t="n"/>
      <c r="E158" s="41" t="n"/>
      <c r="F158" s="41" t="n"/>
    </row>
    <row r="159" ht="15.75" customHeight="1" s="60">
      <c r="A159" s="41" t="n"/>
      <c r="B159" s="41" t="n"/>
      <c r="C159" s="41" t="n"/>
      <c r="D159" s="41" t="n"/>
      <c r="E159" s="41" t="n"/>
      <c r="F159" s="41" t="n"/>
    </row>
    <row r="160" ht="15.75" customHeight="1" s="60">
      <c r="A160" s="41" t="n"/>
      <c r="B160" s="41" t="n"/>
      <c r="C160" s="41" t="n"/>
      <c r="D160" s="41" t="n"/>
      <c r="E160" s="41" t="n"/>
      <c r="F160" s="41" t="n"/>
    </row>
    <row r="161" ht="15.75" customHeight="1" s="60">
      <c r="A161" s="41" t="n"/>
      <c r="B161" s="41" t="n"/>
      <c r="C161" s="41" t="n"/>
      <c r="D161" s="41" t="n"/>
      <c r="E161" s="41" t="n"/>
      <c r="F161" s="41" t="n"/>
    </row>
    <row r="162" ht="15.75" customHeight="1" s="60">
      <c r="A162" s="41" t="n"/>
      <c r="B162" s="41" t="n"/>
      <c r="C162" s="41" t="n"/>
      <c r="D162" s="41" t="n"/>
      <c r="E162" s="41" t="n"/>
      <c r="F162" s="41" t="n"/>
    </row>
    <row r="163" ht="15.75" customHeight="1" s="60">
      <c r="A163" s="41" t="n"/>
      <c r="B163" s="41" t="n"/>
      <c r="C163" s="41" t="n"/>
      <c r="D163" s="41" t="n"/>
      <c r="E163" s="41" t="n"/>
      <c r="F163" s="41" t="n"/>
    </row>
    <row r="164" ht="15.75" customHeight="1" s="60">
      <c r="A164" s="41" t="n"/>
      <c r="B164" s="41" t="n"/>
      <c r="C164" s="41" t="n"/>
      <c r="D164" s="41" t="n"/>
      <c r="E164" s="41" t="n"/>
      <c r="F164" s="41" t="n"/>
    </row>
    <row r="165" ht="15.75" customHeight="1" s="60">
      <c r="A165" s="41" t="n"/>
      <c r="B165" s="41" t="n"/>
      <c r="C165" s="41" t="n"/>
      <c r="D165" s="41" t="n"/>
      <c r="E165" s="41" t="n"/>
      <c r="F165" s="41" t="n"/>
    </row>
    <row r="166" ht="15.75" customHeight="1" s="60">
      <c r="A166" s="41" t="n"/>
      <c r="B166" s="41" t="n"/>
      <c r="C166" s="41" t="n"/>
      <c r="D166" s="41" t="n"/>
      <c r="E166" s="41" t="n"/>
      <c r="F166" s="41" t="n"/>
    </row>
    <row r="167" ht="15.75" customHeight="1" s="60">
      <c r="A167" s="41" t="n"/>
      <c r="B167" s="41" t="n"/>
      <c r="C167" s="41" t="n"/>
      <c r="D167" s="41" t="n"/>
      <c r="E167" s="41" t="n"/>
      <c r="F167" s="41" t="n"/>
    </row>
    <row r="168" ht="15.75" customHeight="1" s="60">
      <c r="A168" s="41" t="n"/>
      <c r="B168" s="41" t="n"/>
      <c r="C168" s="41" t="n"/>
      <c r="D168" s="41" t="n"/>
      <c r="E168" s="41" t="n"/>
      <c r="F168" s="41" t="n"/>
    </row>
    <row r="169" ht="15.75" customHeight="1" s="60">
      <c r="A169" s="41" t="n"/>
      <c r="B169" s="41" t="n"/>
      <c r="C169" s="41" t="n"/>
      <c r="D169" s="41" t="n"/>
      <c r="E169" s="41" t="n"/>
      <c r="F169" s="41" t="n"/>
    </row>
    <row r="170" ht="15.75" customHeight="1" s="60">
      <c r="A170" s="41" t="n"/>
      <c r="B170" s="41" t="n"/>
      <c r="C170" s="41" t="n"/>
      <c r="D170" s="41" t="n"/>
      <c r="E170" s="41" t="n"/>
      <c r="F170" s="41" t="n"/>
    </row>
    <row r="171" ht="15.75" customHeight="1" s="60">
      <c r="A171" s="41" t="n"/>
      <c r="B171" s="41" t="n"/>
      <c r="C171" s="41" t="n"/>
      <c r="D171" s="41" t="n"/>
      <c r="E171" s="41" t="n"/>
      <c r="F171" s="41" t="n"/>
    </row>
    <row r="172" ht="15.75" customHeight="1" s="60">
      <c r="A172" s="41" t="n"/>
      <c r="B172" s="41" t="n"/>
      <c r="C172" s="41" t="n"/>
      <c r="D172" s="41" t="n"/>
      <c r="E172" s="41" t="n"/>
      <c r="F172" s="41" t="n"/>
    </row>
    <row r="173" ht="15.75" customHeight="1" s="60">
      <c r="A173" s="41" t="n"/>
      <c r="B173" s="41" t="n"/>
      <c r="C173" s="41" t="n"/>
      <c r="D173" s="41" t="n"/>
      <c r="E173" s="41" t="n"/>
      <c r="F173" s="41" t="n"/>
    </row>
    <row r="174" ht="15.75" customHeight="1" s="60">
      <c r="A174" s="41" t="n"/>
      <c r="B174" s="41" t="n"/>
      <c r="C174" s="41" t="n"/>
      <c r="D174" s="41" t="n"/>
      <c r="E174" s="41" t="n"/>
      <c r="F174" s="41" t="n"/>
    </row>
    <row r="175" ht="15.75" customHeight="1" s="60">
      <c r="A175" s="41" t="n"/>
      <c r="B175" s="41" t="n"/>
      <c r="C175" s="41" t="n"/>
      <c r="D175" s="41" t="n"/>
      <c r="E175" s="41" t="n"/>
      <c r="F175" s="41" t="n"/>
    </row>
    <row r="176" ht="15.75" customHeight="1" s="60">
      <c r="A176" s="41" t="n"/>
      <c r="B176" s="41" t="n"/>
      <c r="C176" s="41" t="n"/>
      <c r="D176" s="41" t="n"/>
      <c r="E176" s="41" t="n"/>
      <c r="F176" s="41" t="n"/>
    </row>
    <row r="177" ht="15.75" customHeight="1" s="60">
      <c r="A177" s="41" t="n"/>
      <c r="B177" s="41" t="n"/>
      <c r="C177" s="41" t="n"/>
      <c r="D177" s="41" t="n"/>
      <c r="E177" s="41" t="n"/>
      <c r="F177" s="41" t="n"/>
    </row>
    <row r="178" ht="15.75" customHeight="1" s="60">
      <c r="A178" s="41" t="n"/>
      <c r="B178" s="41" t="n"/>
      <c r="C178" s="41" t="n"/>
      <c r="D178" s="41" t="n"/>
      <c r="E178" s="41" t="n"/>
      <c r="F178" s="41" t="n"/>
    </row>
    <row r="179" ht="15.75" customHeight="1" s="60">
      <c r="A179" s="41" t="n"/>
      <c r="B179" s="41" t="n"/>
      <c r="C179" s="41" t="n"/>
      <c r="D179" s="41" t="n"/>
      <c r="E179" s="41" t="n"/>
      <c r="F179" s="41" t="n"/>
    </row>
    <row r="180" ht="15.75" customHeight="1" s="60">
      <c r="A180" s="41" t="n"/>
      <c r="B180" s="41" t="n"/>
      <c r="C180" s="41" t="n"/>
      <c r="D180" s="41" t="n"/>
      <c r="E180" s="41" t="n"/>
      <c r="F180" s="41" t="n"/>
    </row>
    <row r="181" ht="15.75" customHeight="1" s="60">
      <c r="A181" s="41" t="n"/>
      <c r="B181" s="41" t="n"/>
      <c r="C181" s="41" t="n"/>
      <c r="D181" s="41" t="n"/>
      <c r="E181" s="41" t="n"/>
      <c r="F181" s="41" t="n"/>
    </row>
    <row r="182" ht="15.75" customHeight="1" s="60">
      <c r="A182" s="41" t="n"/>
      <c r="B182" s="41" t="n"/>
      <c r="C182" s="41" t="n"/>
      <c r="D182" s="41" t="n"/>
      <c r="E182" s="41" t="n"/>
      <c r="F182" s="41" t="n"/>
    </row>
    <row r="183" ht="15.75" customHeight="1" s="60">
      <c r="A183" s="41" t="n"/>
      <c r="B183" s="41" t="n"/>
      <c r="C183" s="41" t="n"/>
      <c r="D183" s="41" t="n"/>
      <c r="E183" s="41" t="n"/>
      <c r="F183" s="41" t="n"/>
    </row>
    <row r="184" ht="15.75" customHeight="1" s="60">
      <c r="A184" s="41" t="n"/>
      <c r="B184" s="41" t="n"/>
      <c r="C184" s="41" t="n"/>
      <c r="D184" s="41" t="n"/>
      <c r="E184" s="41" t="n"/>
      <c r="F184" s="41" t="n"/>
    </row>
    <row r="185" ht="15.75" customHeight="1" s="60">
      <c r="A185" s="41" t="n"/>
      <c r="B185" s="41" t="n"/>
      <c r="C185" s="41" t="n"/>
      <c r="D185" s="41" t="n"/>
      <c r="E185" s="41" t="n"/>
      <c r="F185" s="41" t="n"/>
    </row>
    <row r="186" ht="15.75" customHeight="1" s="60">
      <c r="A186" s="41" t="n"/>
      <c r="B186" s="41" t="n"/>
      <c r="C186" s="41" t="n"/>
      <c r="D186" s="41" t="n"/>
      <c r="E186" s="41" t="n"/>
      <c r="F186" s="41" t="n"/>
    </row>
    <row r="187" ht="15.75" customHeight="1" s="60">
      <c r="A187" s="41" t="n"/>
      <c r="B187" s="41" t="n"/>
      <c r="C187" s="41" t="n"/>
      <c r="D187" s="41" t="n"/>
      <c r="E187" s="41" t="n"/>
      <c r="F187" s="41" t="n"/>
    </row>
    <row r="188" ht="15.75" customHeight="1" s="60">
      <c r="A188" s="41" t="n"/>
      <c r="B188" s="41" t="n"/>
      <c r="C188" s="41" t="n"/>
      <c r="D188" s="41" t="n"/>
      <c r="E188" s="41" t="n"/>
      <c r="F188" s="41" t="n"/>
    </row>
    <row r="189" ht="15.75" customHeight="1" s="60">
      <c r="A189" s="41" t="n"/>
      <c r="B189" s="41" t="n"/>
      <c r="C189" s="41" t="n"/>
      <c r="D189" s="41" t="n"/>
      <c r="E189" s="41" t="n"/>
      <c r="F189" s="41" t="n"/>
    </row>
    <row r="190" ht="15.75" customHeight="1" s="60">
      <c r="A190" s="41" t="n"/>
      <c r="B190" s="41" t="n"/>
      <c r="C190" s="41" t="n"/>
      <c r="D190" s="41" t="n"/>
      <c r="E190" s="41" t="n"/>
      <c r="F190" s="41" t="n"/>
    </row>
    <row r="191" ht="15.75" customHeight="1" s="60">
      <c r="A191" s="41" t="n"/>
      <c r="B191" s="41" t="n"/>
      <c r="C191" s="41" t="n"/>
      <c r="D191" s="41" t="n"/>
      <c r="E191" s="41" t="n"/>
      <c r="F191" s="41" t="n"/>
    </row>
    <row r="192" ht="15.75" customHeight="1" s="60">
      <c r="A192" s="41" t="n"/>
      <c r="B192" s="41" t="n"/>
      <c r="C192" s="41" t="n"/>
      <c r="D192" s="41" t="n"/>
      <c r="E192" s="41" t="n"/>
      <c r="F192" s="41" t="n"/>
    </row>
    <row r="193" ht="15.75" customHeight="1" s="60">
      <c r="A193" s="41" t="n"/>
      <c r="B193" s="41" t="n"/>
      <c r="C193" s="41" t="n"/>
      <c r="D193" s="41" t="n"/>
      <c r="E193" s="41" t="n"/>
      <c r="F193" s="41" t="n"/>
    </row>
    <row r="194" ht="15.75" customHeight="1" s="60">
      <c r="A194" s="41" t="n"/>
      <c r="B194" s="41" t="n"/>
      <c r="C194" s="41" t="n"/>
      <c r="D194" s="41" t="n"/>
      <c r="E194" s="41" t="n"/>
      <c r="F194" s="41" t="n"/>
    </row>
    <row r="195" ht="15.75" customHeight="1" s="60">
      <c r="A195" s="41" t="n"/>
      <c r="B195" s="41" t="n"/>
      <c r="C195" s="41" t="n"/>
      <c r="D195" s="41" t="n"/>
      <c r="E195" s="41" t="n"/>
      <c r="F195" s="41" t="n"/>
    </row>
    <row r="196" ht="15.75" customHeight="1" s="60">
      <c r="A196" s="41" t="n"/>
      <c r="B196" s="41" t="n"/>
      <c r="C196" s="41" t="n"/>
      <c r="D196" s="41" t="n"/>
      <c r="E196" s="41" t="n"/>
      <c r="F196" s="41" t="n"/>
    </row>
    <row r="197" ht="15.75" customHeight="1" s="60">
      <c r="A197" s="41" t="n"/>
      <c r="B197" s="41" t="n"/>
      <c r="C197" s="41" t="n"/>
      <c r="D197" s="41" t="n"/>
      <c r="E197" s="41" t="n"/>
      <c r="F197" s="41" t="n"/>
    </row>
    <row r="198" ht="15.75" customHeight="1" s="60">
      <c r="A198" s="41" t="n"/>
      <c r="B198" s="41" t="n"/>
      <c r="C198" s="41" t="n"/>
      <c r="D198" s="41" t="n"/>
      <c r="E198" s="41" t="n"/>
      <c r="F198" s="41" t="n"/>
    </row>
    <row r="199" ht="15.75" customHeight="1" s="60">
      <c r="A199" s="41" t="n"/>
      <c r="B199" s="41" t="n"/>
      <c r="C199" s="41" t="n"/>
      <c r="D199" s="41" t="n"/>
      <c r="E199" s="41" t="n"/>
      <c r="F199" s="41" t="n"/>
    </row>
    <row r="200" ht="15.75" customHeight="1" s="60">
      <c r="A200" s="41" t="n"/>
      <c r="B200" s="41" t="n"/>
      <c r="C200" s="41" t="n"/>
      <c r="D200" s="41" t="n"/>
      <c r="E200" s="41" t="n"/>
      <c r="F200" s="41" t="n"/>
    </row>
    <row r="201" ht="15.75" customHeight="1" s="60">
      <c r="A201" s="41" t="n"/>
      <c r="B201" s="41" t="n"/>
      <c r="C201" s="41" t="n"/>
      <c r="D201" s="41" t="n"/>
      <c r="E201" s="41" t="n"/>
      <c r="F201" s="41" t="n"/>
    </row>
    <row r="202" ht="15.75" customHeight="1" s="60">
      <c r="A202" s="41" t="n"/>
      <c r="B202" s="41" t="n"/>
      <c r="C202" s="41" t="n"/>
      <c r="D202" s="41" t="n"/>
      <c r="E202" s="41" t="n"/>
      <c r="F202" s="41" t="n"/>
    </row>
    <row r="203" ht="15.75" customHeight="1" s="60">
      <c r="A203" s="41" t="n"/>
      <c r="B203" s="41" t="n"/>
      <c r="C203" s="41" t="n"/>
      <c r="D203" s="41" t="n"/>
      <c r="E203" s="41" t="n"/>
      <c r="F203" s="41" t="n"/>
    </row>
    <row r="204" ht="15.75" customHeight="1" s="60">
      <c r="A204" s="41" t="n"/>
      <c r="B204" s="41" t="n"/>
      <c r="C204" s="41" t="n"/>
      <c r="D204" s="41" t="n"/>
      <c r="E204" s="41" t="n"/>
      <c r="F204" s="41" t="n"/>
    </row>
    <row r="205" ht="15.75" customHeight="1" s="60">
      <c r="A205" s="41" t="n"/>
      <c r="B205" s="41" t="n"/>
      <c r="C205" s="41" t="n"/>
      <c r="D205" s="41" t="n"/>
      <c r="E205" s="41" t="n"/>
      <c r="F205" s="41" t="n"/>
    </row>
    <row r="206" ht="15.75" customHeight="1" s="60">
      <c r="A206" s="41" t="n"/>
      <c r="B206" s="41" t="n"/>
      <c r="C206" s="41" t="n"/>
      <c r="D206" s="41" t="n"/>
      <c r="E206" s="41" t="n"/>
      <c r="F206" s="41" t="n"/>
    </row>
    <row r="207" ht="15.75" customHeight="1" s="60">
      <c r="A207" s="41" t="n"/>
      <c r="B207" s="41" t="n"/>
      <c r="C207" s="41" t="n"/>
      <c r="D207" s="41" t="n"/>
      <c r="E207" s="41" t="n"/>
      <c r="F207" s="41" t="n"/>
    </row>
    <row r="208" ht="15.75" customHeight="1" s="60">
      <c r="A208" s="41" t="n"/>
      <c r="B208" s="41" t="n"/>
      <c r="C208" s="41" t="n"/>
      <c r="D208" s="41" t="n"/>
      <c r="E208" s="41" t="n"/>
      <c r="F208" s="41" t="n"/>
    </row>
    <row r="209" ht="15.75" customHeight="1" s="60">
      <c r="A209" s="41" t="n"/>
      <c r="B209" s="41" t="n"/>
      <c r="C209" s="41" t="n"/>
      <c r="D209" s="41" t="n"/>
      <c r="E209" s="41" t="n"/>
      <c r="F209" s="41" t="n"/>
    </row>
    <row r="210" ht="15.75" customHeight="1" s="60">
      <c r="A210" s="41" t="n"/>
      <c r="B210" s="41" t="n"/>
      <c r="C210" s="41" t="n"/>
      <c r="D210" s="41" t="n"/>
      <c r="E210" s="41" t="n"/>
      <c r="F210" s="41" t="n"/>
    </row>
    <row r="211" ht="15.75" customHeight="1" s="60">
      <c r="A211" s="41" t="n"/>
      <c r="B211" s="41" t="n"/>
      <c r="C211" s="41" t="n"/>
      <c r="D211" s="41" t="n"/>
      <c r="E211" s="41" t="n"/>
      <c r="F211" s="41" t="n"/>
    </row>
    <row r="212" ht="15.75" customHeight="1" s="60">
      <c r="A212" s="41" t="n"/>
      <c r="B212" s="41" t="n"/>
      <c r="C212" s="41" t="n"/>
      <c r="D212" s="41" t="n"/>
      <c r="E212" s="41" t="n"/>
      <c r="F212" s="41" t="n"/>
    </row>
    <row r="213" ht="15.75" customHeight="1" s="60">
      <c r="A213" s="41" t="n"/>
      <c r="B213" s="41" t="n"/>
      <c r="C213" s="41" t="n"/>
      <c r="D213" s="41" t="n"/>
      <c r="E213" s="41" t="n"/>
      <c r="F213" s="41" t="n"/>
    </row>
    <row r="214" ht="15.75" customHeight="1" s="60">
      <c r="A214" s="41" t="n"/>
      <c r="B214" s="41" t="n"/>
      <c r="C214" s="41" t="n"/>
      <c r="D214" s="41" t="n"/>
      <c r="E214" s="41" t="n"/>
      <c r="F214" s="41" t="n"/>
    </row>
    <row r="215" ht="15.75" customHeight="1" s="60">
      <c r="A215" s="41" t="n"/>
      <c r="B215" s="41" t="n"/>
      <c r="C215" s="41" t="n"/>
      <c r="D215" s="41" t="n"/>
      <c r="E215" s="41" t="n"/>
      <c r="F215" s="41" t="n"/>
    </row>
    <row r="216" ht="15.75" customHeight="1" s="60">
      <c r="A216" s="41" t="n"/>
      <c r="B216" s="41" t="n"/>
      <c r="C216" s="41" t="n"/>
      <c r="D216" s="41" t="n"/>
      <c r="E216" s="41" t="n"/>
      <c r="F216" s="41" t="n"/>
    </row>
    <row r="217" ht="15.75" customHeight="1" s="60">
      <c r="A217" s="41" t="n"/>
      <c r="B217" s="41" t="n"/>
      <c r="C217" s="41" t="n"/>
      <c r="D217" s="41" t="n"/>
      <c r="E217" s="41" t="n"/>
      <c r="F217" s="41" t="n"/>
    </row>
    <row r="218" ht="15.75" customHeight="1" s="60">
      <c r="A218" s="41" t="n"/>
      <c r="B218" s="41" t="n"/>
      <c r="C218" s="41" t="n"/>
      <c r="D218" s="41" t="n"/>
      <c r="E218" s="41" t="n"/>
      <c r="F218" s="41" t="n"/>
    </row>
    <row r="219" ht="15.75" customHeight="1" s="60">
      <c r="A219" s="41" t="n"/>
      <c r="B219" s="41" t="n"/>
      <c r="C219" s="41" t="n"/>
      <c r="D219" s="41" t="n"/>
      <c r="E219" s="41" t="n"/>
      <c r="F219" s="41" t="n"/>
    </row>
    <row r="220" ht="15.75" customHeight="1" s="60">
      <c r="A220" s="41" t="n"/>
      <c r="B220" s="41" t="n"/>
      <c r="C220" s="41" t="n"/>
      <c r="D220" s="41" t="n"/>
      <c r="E220" s="41" t="n"/>
      <c r="F220" s="41" t="n"/>
    </row>
    <row r="221" ht="15.75" customHeight="1" s="60">
      <c r="A221" s="41" t="n"/>
      <c r="B221" s="41" t="n"/>
      <c r="C221" s="41" t="n"/>
      <c r="D221" s="41" t="n"/>
      <c r="E221" s="41" t="n"/>
      <c r="F221" s="41" t="n"/>
    </row>
    <row r="222" ht="15.75" customHeight="1" s="60">
      <c r="A222" s="41" t="n"/>
      <c r="B222" s="41" t="n"/>
      <c r="C222" s="41" t="n"/>
      <c r="D222" s="41" t="n"/>
      <c r="E222" s="41" t="n"/>
      <c r="F222" s="41" t="n"/>
    </row>
    <row r="223" ht="15.75" customHeight="1" s="60">
      <c r="A223" s="41" t="n"/>
      <c r="B223" s="41" t="n"/>
      <c r="C223" s="41" t="n"/>
      <c r="D223" s="41" t="n"/>
      <c r="E223" s="41" t="n"/>
      <c r="F223" s="41" t="n"/>
    </row>
    <row r="224" ht="15.75" customHeight="1" s="60">
      <c r="A224" s="41" t="n"/>
      <c r="B224" s="41" t="n"/>
      <c r="C224" s="41" t="n"/>
      <c r="D224" s="41" t="n"/>
      <c r="E224" s="41" t="n"/>
      <c r="F224" s="41" t="n"/>
    </row>
    <row r="225" ht="15.75" customHeight="1" s="60">
      <c r="A225" s="41" t="n"/>
      <c r="B225" s="41" t="n"/>
      <c r="C225" s="41" t="n"/>
      <c r="D225" s="41" t="n"/>
      <c r="E225" s="41" t="n"/>
      <c r="F225" s="41" t="n"/>
    </row>
    <row r="226" ht="15.75" customHeight="1" s="60">
      <c r="A226" s="41" t="n"/>
      <c r="B226" s="41" t="n"/>
      <c r="C226" s="41" t="n"/>
      <c r="D226" s="41" t="n"/>
      <c r="E226" s="41" t="n"/>
      <c r="F226" s="41" t="n"/>
    </row>
    <row r="227" ht="15.75" customHeight="1" s="60">
      <c r="A227" s="41" t="n"/>
      <c r="B227" s="41" t="n"/>
      <c r="C227" s="41" t="n"/>
      <c r="D227" s="41" t="n"/>
      <c r="E227" s="41" t="n"/>
      <c r="F227" s="41" t="n"/>
    </row>
    <row r="228" ht="15.75" customHeight="1" s="60">
      <c r="A228" s="41" t="n"/>
      <c r="B228" s="41" t="n"/>
      <c r="C228" s="41" t="n"/>
      <c r="D228" s="41" t="n"/>
      <c r="E228" s="41" t="n"/>
      <c r="F228" s="41" t="n"/>
    </row>
    <row r="229" ht="15.75" customHeight="1" s="60">
      <c r="A229" s="41" t="n"/>
      <c r="B229" s="41" t="n"/>
      <c r="C229" s="41" t="n"/>
      <c r="D229" s="41" t="n"/>
      <c r="E229" s="41" t="n"/>
      <c r="F229" s="41" t="n"/>
    </row>
    <row r="230" ht="15.75" customHeight="1" s="60">
      <c r="A230" s="41" t="n"/>
      <c r="B230" s="41" t="n"/>
      <c r="C230" s="41" t="n"/>
      <c r="D230" s="41" t="n"/>
      <c r="E230" s="41" t="n"/>
      <c r="F230" s="41" t="n"/>
    </row>
    <row r="231" ht="15.75" customHeight="1" s="60">
      <c r="A231" s="41" t="n"/>
      <c r="B231" s="41" t="n"/>
      <c r="C231" s="41" t="n"/>
      <c r="D231" s="41" t="n"/>
      <c r="E231" s="41" t="n"/>
      <c r="F231" s="41" t="n"/>
    </row>
    <row r="232" ht="15.75" customHeight="1" s="60">
      <c r="A232" s="41" t="n"/>
      <c r="B232" s="41" t="n"/>
      <c r="C232" s="41" t="n"/>
      <c r="D232" s="41" t="n"/>
      <c r="E232" s="41" t="n"/>
      <c r="F232" s="41" t="n"/>
    </row>
    <row r="233" ht="15.75" customHeight="1" s="60">
      <c r="A233" s="41" t="n"/>
      <c r="B233" s="41" t="n"/>
      <c r="C233" s="41" t="n"/>
      <c r="D233" s="41" t="n"/>
      <c r="E233" s="41" t="n"/>
      <c r="F233" s="41" t="n"/>
    </row>
    <row r="234" ht="15.75" customHeight="1" s="60">
      <c r="A234" s="41" t="n"/>
      <c r="B234" s="41" t="n"/>
      <c r="C234" s="41" t="n"/>
      <c r="D234" s="41" t="n"/>
      <c r="E234" s="41" t="n"/>
      <c r="F234" s="41" t="n"/>
    </row>
    <row r="235" ht="15.75" customHeight="1" s="60">
      <c r="A235" s="41" t="n"/>
      <c r="B235" s="41" t="n"/>
      <c r="C235" s="41" t="n"/>
      <c r="D235" s="41" t="n"/>
      <c r="E235" s="41" t="n"/>
      <c r="F235" s="41" t="n"/>
    </row>
    <row r="236" ht="15.75" customHeight="1" s="60">
      <c r="A236" s="41" t="n"/>
      <c r="B236" s="41" t="n"/>
      <c r="C236" s="41" t="n"/>
      <c r="D236" s="41" t="n"/>
      <c r="E236" s="41" t="n"/>
      <c r="F236" s="41" t="n"/>
    </row>
    <row r="237" ht="15.75" customHeight="1" s="60">
      <c r="A237" s="41" t="n"/>
      <c r="B237" s="41" t="n"/>
      <c r="C237" s="41" t="n"/>
      <c r="D237" s="41" t="n"/>
      <c r="E237" s="41" t="n"/>
      <c r="F237" s="41" t="n"/>
    </row>
    <row r="238" ht="15.75" customHeight="1" s="60">
      <c r="A238" s="41" t="n"/>
      <c r="B238" s="41" t="n"/>
      <c r="C238" s="41" t="n"/>
      <c r="D238" s="41" t="n"/>
      <c r="E238" s="41" t="n"/>
      <c r="F238" s="41" t="n"/>
    </row>
    <row r="239" ht="15.75" customHeight="1" s="60">
      <c r="A239" s="41" t="n"/>
      <c r="B239" s="41" t="n"/>
      <c r="C239" s="41" t="n"/>
      <c r="D239" s="41" t="n"/>
      <c r="E239" s="41" t="n"/>
      <c r="F239" s="41" t="n"/>
    </row>
    <row r="240" ht="15.75" customHeight="1" s="60">
      <c r="A240" s="41" t="n"/>
      <c r="B240" s="41" t="n"/>
      <c r="C240" s="41" t="n"/>
      <c r="D240" s="41" t="n"/>
      <c r="E240" s="41" t="n"/>
      <c r="F240" s="41" t="n"/>
    </row>
    <row r="241" ht="15.75" customHeight="1" s="60">
      <c r="A241" s="41" t="n"/>
      <c r="B241" s="41" t="n"/>
      <c r="C241" s="41" t="n"/>
      <c r="D241" s="41" t="n"/>
      <c r="E241" s="41" t="n"/>
      <c r="F241" s="41" t="n"/>
    </row>
    <row r="242" ht="15.75" customHeight="1" s="60">
      <c r="A242" s="41" t="n"/>
      <c r="B242" s="41" t="n"/>
      <c r="C242" s="41" t="n"/>
      <c r="D242" s="41" t="n"/>
      <c r="E242" s="41" t="n"/>
      <c r="F242" s="41" t="n"/>
    </row>
    <row r="243" ht="15.75" customHeight="1" s="60">
      <c r="A243" s="41" t="n"/>
      <c r="B243" s="41" t="n"/>
      <c r="C243" s="41" t="n"/>
      <c r="D243" s="41" t="n"/>
      <c r="E243" s="41" t="n"/>
      <c r="F243" s="41" t="n"/>
    </row>
    <row r="244" ht="15.75" customHeight="1" s="60">
      <c r="A244" s="41" t="n"/>
      <c r="B244" s="41" t="n"/>
      <c r="C244" s="41" t="n"/>
      <c r="D244" s="41" t="n"/>
      <c r="E244" s="41" t="n"/>
      <c r="F244" s="41" t="n"/>
    </row>
    <row r="245" ht="15.75" customHeight="1" s="60">
      <c r="A245" s="41" t="n"/>
      <c r="B245" s="41" t="n"/>
      <c r="C245" s="41" t="n"/>
      <c r="D245" s="41" t="n"/>
      <c r="E245" s="41" t="n"/>
      <c r="F245" s="41" t="n"/>
    </row>
    <row r="246" ht="15.75" customHeight="1" s="60">
      <c r="A246" s="41" t="n"/>
      <c r="B246" s="41" t="n"/>
      <c r="C246" s="41" t="n"/>
      <c r="D246" s="41" t="n"/>
      <c r="E246" s="41" t="n"/>
      <c r="F246" s="41" t="n"/>
    </row>
    <row r="247" ht="15.75" customHeight="1" s="60">
      <c r="A247" s="41" t="n"/>
      <c r="B247" s="41" t="n"/>
      <c r="C247" s="41" t="n"/>
      <c r="D247" s="41" t="n"/>
      <c r="E247" s="41" t="n"/>
      <c r="F247" s="41" t="n"/>
    </row>
    <row r="248" ht="15.75" customHeight="1" s="60">
      <c r="A248" s="41" t="n"/>
      <c r="B248" s="41" t="n"/>
      <c r="C248" s="41" t="n"/>
      <c r="D248" s="41" t="n"/>
      <c r="E248" s="41" t="n"/>
      <c r="F248" s="41" t="n"/>
    </row>
    <row r="249" ht="15.75" customHeight="1" s="60">
      <c r="A249" s="41" t="n"/>
      <c r="B249" s="41" t="n"/>
      <c r="C249" s="41" t="n"/>
      <c r="D249" s="41" t="n"/>
      <c r="E249" s="41" t="n"/>
      <c r="F249" s="41" t="n"/>
    </row>
    <row r="250" ht="15.75" customHeight="1" s="60">
      <c r="A250" s="41" t="n"/>
      <c r="B250" s="41" t="n"/>
      <c r="C250" s="41" t="n"/>
      <c r="D250" s="41" t="n"/>
      <c r="E250" s="41" t="n"/>
      <c r="F250" s="41" t="n"/>
    </row>
    <row r="251" ht="15.75" customHeight="1" s="60">
      <c r="A251" s="41" t="n"/>
      <c r="B251" s="41" t="n"/>
      <c r="C251" s="41" t="n"/>
      <c r="D251" s="41" t="n"/>
      <c r="E251" s="41" t="n"/>
      <c r="F251" s="41" t="n"/>
    </row>
    <row r="252" ht="15.75" customHeight="1" s="60">
      <c r="A252" s="41" t="n"/>
      <c r="B252" s="41" t="n"/>
      <c r="C252" s="41" t="n"/>
      <c r="D252" s="41" t="n"/>
      <c r="E252" s="41" t="n"/>
      <c r="F252" s="41" t="n"/>
    </row>
    <row r="253" ht="15.75" customHeight="1" s="60">
      <c r="A253" s="41" t="n"/>
      <c r="B253" s="41" t="n"/>
      <c r="C253" s="41" t="n"/>
      <c r="D253" s="41" t="n"/>
      <c r="E253" s="41" t="n"/>
      <c r="F253" s="41" t="n"/>
    </row>
    <row r="254" ht="15.75" customHeight="1" s="60">
      <c r="A254" s="41" t="n"/>
      <c r="B254" s="41" t="n"/>
      <c r="C254" s="41" t="n"/>
      <c r="D254" s="41" t="n"/>
      <c r="E254" s="41" t="n"/>
      <c r="F254" s="41" t="n"/>
    </row>
    <row r="255" ht="15.75" customHeight="1" s="60">
      <c r="A255" s="41" t="n"/>
      <c r="B255" s="41" t="n"/>
      <c r="C255" s="41" t="n"/>
      <c r="D255" s="41" t="n"/>
      <c r="E255" s="41" t="n"/>
      <c r="F255" s="41" t="n"/>
    </row>
    <row r="256" ht="15.75" customHeight="1" s="60">
      <c r="A256" s="41" t="n"/>
      <c r="B256" s="41" t="n"/>
      <c r="C256" s="41" t="n"/>
      <c r="D256" s="41" t="n"/>
      <c r="E256" s="41" t="n"/>
      <c r="F256" s="41" t="n"/>
    </row>
    <row r="257" ht="15.75" customHeight="1" s="60">
      <c r="A257" s="41" t="n"/>
      <c r="B257" s="41" t="n"/>
      <c r="C257" s="41" t="n"/>
      <c r="D257" s="41" t="n"/>
      <c r="E257" s="41" t="n"/>
      <c r="F257" s="41" t="n"/>
    </row>
    <row r="258" ht="15.75" customHeight="1" s="60">
      <c r="A258" s="41" t="n"/>
      <c r="B258" s="41" t="n"/>
      <c r="C258" s="41" t="n"/>
      <c r="D258" s="41" t="n"/>
      <c r="E258" s="41" t="n"/>
      <c r="F258" s="41" t="n"/>
    </row>
    <row r="259" ht="15.75" customHeight="1" s="60">
      <c r="A259" s="41" t="n"/>
      <c r="B259" s="41" t="n"/>
      <c r="C259" s="41" t="n"/>
      <c r="D259" s="41" t="n"/>
      <c r="E259" s="41" t="n"/>
      <c r="F259" s="41" t="n"/>
    </row>
    <row r="260" ht="15.75" customHeight="1" s="60">
      <c r="A260" s="41" t="n"/>
      <c r="B260" s="41" t="n"/>
      <c r="C260" s="41" t="n"/>
      <c r="D260" s="41" t="n"/>
      <c r="E260" s="41" t="n"/>
      <c r="F260" s="41" t="n"/>
    </row>
    <row r="261" ht="15.75" customHeight="1" s="60">
      <c r="A261" s="41" t="n"/>
      <c r="B261" s="41" t="n"/>
      <c r="C261" s="41" t="n"/>
      <c r="D261" s="41" t="n"/>
      <c r="E261" s="41" t="n"/>
      <c r="F261" s="41" t="n"/>
    </row>
    <row r="262" ht="15.75" customHeight="1" s="60">
      <c r="A262" s="41" t="n"/>
      <c r="B262" s="41" t="n"/>
      <c r="C262" s="41" t="n"/>
      <c r="D262" s="41" t="n"/>
      <c r="E262" s="41" t="n"/>
      <c r="F262" s="41" t="n"/>
    </row>
    <row r="263" ht="15.75" customHeight="1" s="60">
      <c r="A263" s="41" t="n"/>
      <c r="B263" s="41" t="n"/>
      <c r="C263" s="41" t="n"/>
      <c r="D263" s="41" t="n"/>
      <c r="E263" s="41" t="n"/>
      <c r="F263" s="41" t="n"/>
    </row>
    <row r="264" ht="15.75" customHeight="1" s="60">
      <c r="A264" s="41" t="n"/>
      <c r="B264" s="41" t="n"/>
      <c r="C264" s="41" t="n"/>
      <c r="D264" s="41" t="n"/>
      <c r="E264" s="41" t="n"/>
      <c r="F264" s="41" t="n"/>
    </row>
    <row r="265" ht="15.75" customHeight="1" s="60">
      <c r="A265" s="41" t="n"/>
      <c r="B265" s="41" t="n"/>
      <c r="C265" s="41" t="n"/>
      <c r="D265" s="41" t="n"/>
      <c r="E265" s="41" t="n"/>
      <c r="F265" s="41" t="n"/>
    </row>
    <row r="266" ht="15.75" customHeight="1" s="60">
      <c r="A266" s="41" t="n"/>
      <c r="B266" s="41" t="n"/>
      <c r="C266" s="41" t="n"/>
      <c r="D266" s="41" t="n"/>
      <c r="E266" s="41" t="n"/>
      <c r="F266" s="41" t="n"/>
    </row>
    <row r="267" ht="15.75" customHeight="1" s="60">
      <c r="A267" s="41" t="n"/>
      <c r="B267" s="41" t="n"/>
      <c r="C267" s="41" t="n"/>
      <c r="D267" s="41" t="n"/>
      <c r="E267" s="41" t="n"/>
      <c r="F267" s="41" t="n"/>
    </row>
    <row r="268" ht="15.75" customHeight="1" s="60">
      <c r="A268" s="41" t="n"/>
      <c r="B268" s="41" t="n"/>
      <c r="C268" s="41" t="n"/>
      <c r="D268" s="41" t="n"/>
      <c r="E268" s="41" t="n"/>
      <c r="F268" s="41" t="n"/>
    </row>
    <row r="269" ht="15.75" customHeight="1" s="60">
      <c r="A269" s="41" t="n"/>
      <c r="B269" s="41" t="n"/>
      <c r="C269" s="41" t="n"/>
      <c r="D269" s="41" t="n"/>
      <c r="E269" s="41" t="n"/>
      <c r="F269" s="41" t="n"/>
    </row>
    <row r="270" ht="15.75" customHeight="1" s="60">
      <c r="A270" s="41" t="n"/>
      <c r="B270" s="41" t="n"/>
      <c r="C270" s="41" t="n"/>
      <c r="D270" s="41" t="n"/>
      <c r="E270" s="41" t="n"/>
      <c r="F270" s="41" t="n"/>
    </row>
    <row r="271" ht="15.75" customHeight="1" s="60">
      <c r="A271" s="41" t="n"/>
      <c r="B271" s="41" t="n"/>
      <c r="C271" s="41" t="n"/>
      <c r="D271" s="41" t="n"/>
      <c r="E271" s="41" t="n"/>
      <c r="F271" s="41" t="n"/>
    </row>
    <row r="272" ht="15.75" customHeight="1" s="60">
      <c r="A272" s="41" t="n"/>
      <c r="B272" s="41" t="n"/>
      <c r="C272" s="41" t="n"/>
      <c r="D272" s="41" t="n"/>
      <c r="E272" s="41" t="n"/>
      <c r="F272" s="41" t="n"/>
    </row>
    <row r="273" ht="15.75" customHeight="1" s="60">
      <c r="A273" s="41" t="n"/>
      <c r="B273" s="41" t="n"/>
      <c r="C273" s="41" t="n"/>
      <c r="D273" s="41" t="n"/>
      <c r="E273" s="41" t="n"/>
      <c r="F273" s="41" t="n"/>
    </row>
    <row r="274" ht="15.75" customHeight="1" s="60">
      <c r="A274" s="41" t="n"/>
      <c r="B274" s="41" t="n"/>
      <c r="C274" s="41" t="n"/>
      <c r="D274" s="41" t="n"/>
      <c r="E274" s="41" t="n"/>
      <c r="F274" s="41" t="n"/>
    </row>
    <row r="275" ht="15.75" customHeight="1" s="60">
      <c r="A275" s="41" t="n"/>
      <c r="B275" s="41" t="n"/>
      <c r="C275" s="41" t="n"/>
      <c r="D275" s="41" t="n"/>
      <c r="E275" s="41" t="n"/>
      <c r="F275" s="41" t="n"/>
    </row>
    <row r="276" ht="15.75" customHeight="1" s="60">
      <c r="A276" s="41" t="n"/>
      <c r="B276" s="41" t="n"/>
      <c r="C276" s="41" t="n"/>
      <c r="D276" s="41" t="n"/>
      <c r="E276" s="41" t="n"/>
      <c r="F276" s="41" t="n"/>
    </row>
    <row r="277" ht="15.75" customHeight="1" s="60">
      <c r="A277" s="41" t="n"/>
      <c r="B277" s="41" t="n"/>
      <c r="C277" s="41" t="n"/>
      <c r="D277" s="41" t="n"/>
      <c r="E277" s="41" t="n"/>
      <c r="F277" s="41" t="n"/>
    </row>
    <row r="278" ht="15.75" customHeight="1" s="60">
      <c r="A278" s="41" t="n"/>
      <c r="B278" s="41" t="n"/>
      <c r="C278" s="41" t="n"/>
      <c r="D278" s="41" t="n"/>
      <c r="E278" s="41" t="n"/>
      <c r="F278" s="41" t="n"/>
    </row>
    <row r="279" ht="15.75" customHeight="1" s="60">
      <c r="A279" s="41" t="n"/>
      <c r="B279" s="41" t="n"/>
      <c r="C279" s="41" t="n"/>
      <c r="D279" s="41" t="n"/>
      <c r="E279" s="41" t="n"/>
      <c r="F279" s="41" t="n"/>
    </row>
    <row r="280" ht="15.75" customHeight="1" s="60">
      <c r="A280" s="41" t="n"/>
      <c r="B280" s="41" t="n"/>
      <c r="C280" s="41" t="n"/>
      <c r="D280" s="41" t="n"/>
      <c r="E280" s="41" t="n"/>
      <c r="F280" s="41" t="n"/>
    </row>
    <row r="281" ht="15.75" customHeight="1" s="60">
      <c r="A281" s="41" t="n"/>
      <c r="B281" s="41" t="n"/>
      <c r="C281" s="41" t="n"/>
      <c r="D281" s="41" t="n"/>
      <c r="E281" s="41" t="n"/>
      <c r="F281" s="41" t="n"/>
    </row>
    <row r="282" ht="15.75" customHeight="1" s="60">
      <c r="A282" s="41" t="n"/>
      <c r="B282" s="41" t="n"/>
      <c r="C282" s="41" t="n"/>
      <c r="D282" s="41" t="n"/>
      <c r="E282" s="41" t="n"/>
      <c r="F282" s="41" t="n"/>
    </row>
    <row r="283" ht="15.75" customHeight="1" s="60">
      <c r="A283" s="41" t="n"/>
      <c r="B283" s="41" t="n"/>
      <c r="C283" s="41" t="n"/>
      <c r="D283" s="41" t="n"/>
      <c r="E283" s="41" t="n"/>
      <c r="F283" s="41" t="n"/>
    </row>
    <row r="284" ht="15.75" customHeight="1" s="60">
      <c r="A284" s="41" t="n"/>
      <c r="B284" s="41" t="n"/>
      <c r="C284" s="41" t="n"/>
      <c r="D284" s="41" t="n"/>
      <c r="E284" s="41" t="n"/>
      <c r="F284" s="41" t="n"/>
    </row>
    <row r="285" ht="15.75" customHeight="1" s="60">
      <c r="A285" s="41" t="n"/>
      <c r="B285" s="41" t="n"/>
      <c r="C285" s="41" t="n"/>
      <c r="D285" s="41" t="n"/>
      <c r="E285" s="41" t="n"/>
      <c r="F285" s="41" t="n"/>
    </row>
    <row r="286" ht="15.75" customHeight="1" s="60">
      <c r="A286" s="41" t="n"/>
      <c r="B286" s="41" t="n"/>
      <c r="C286" s="41" t="n"/>
      <c r="D286" s="41" t="n"/>
      <c r="E286" s="41" t="n"/>
      <c r="F286" s="41" t="n"/>
    </row>
    <row r="287" ht="15.75" customHeight="1" s="60">
      <c r="A287" s="41" t="n"/>
      <c r="B287" s="41" t="n"/>
      <c r="C287" s="41" t="n"/>
      <c r="D287" s="41" t="n"/>
      <c r="E287" s="41" t="n"/>
      <c r="F287" s="41" t="n"/>
    </row>
    <row r="288" ht="15.75" customHeight="1" s="60">
      <c r="A288" s="41" t="n"/>
      <c r="B288" s="41" t="n"/>
      <c r="C288" s="41" t="n"/>
      <c r="D288" s="41" t="n"/>
      <c r="E288" s="41" t="n"/>
      <c r="F288" s="41" t="n"/>
    </row>
    <row r="289" ht="15.75" customHeight="1" s="60">
      <c r="A289" s="41" t="n"/>
      <c r="B289" s="41" t="n"/>
      <c r="C289" s="41" t="n"/>
      <c r="D289" s="41" t="n"/>
      <c r="E289" s="41" t="n"/>
      <c r="F289" s="41" t="n"/>
    </row>
    <row r="290" ht="15.75" customHeight="1" s="60">
      <c r="A290" s="41" t="n"/>
      <c r="B290" s="41" t="n"/>
      <c r="C290" s="41" t="n"/>
      <c r="D290" s="41" t="n"/>
      <c r="E290" s="41" t="n"/>
      <c r="F290" s="41" t="n"/>
    </row>
    <row r="291" ht="15.75" customHeight="1" s="60">
      <c r="A291" s="41" t="n"/>
      <c r="B291" s="41" t="n"/>
      <c r="C291" s="41" t="n"/>
      <c r="D291" s="41" t="n"/>
      <c r="E291" s="41" t="n"/>
      <c r="F291" s="41" t="n"/>
    </row>
    <row r="292" ht="15.75" customHeight="1" s="60">
      <c r="A292" s="41" t="n"/>
      <c r="B292" s="41" t="n"/>
      <c r="C292" s="41" t="n"/>
      <c r="D292" s="41" t="n"/>
      <c r="E292" s="41" t="n"/>
      <c r="F292" s="41" t="n"/>
    </row>
    <row r="293" ht="15.75" customHeight="1" s="60">
      <c r="A293" s="41" t="n"/>
      <c r="B293" s="41" t="n"/>
      <c r="C293" s="41" t="n"/>
      <c r="D293" s="41" t="n"/>
      <c r="E293" s="41" t="n"/>
      <c r="F293" s="41" t="n"/>
    </row>
    <row r="294" ht="15.75" customHeight="1" s="60">
      <c r="A294" s="41" t="n"/>
      <c r="B294" s="41" t="n"/>
      <c r="C294" s="41" t="n"/>
      <c r="D294" s="41" t="n"/>
      <c r="E294" s="41" t="n"/>
      <c r="F294" s="41" t="n"/>
    </row>
    <row r="295" ht="15.75" customHeight="1" s="60">
      <c r="A295" s="41" t="n"/>
      <c r="B295" s="41" t="n"/>
      <c r="C295" s="41" t="n"/>
      <c r="D295" s="41" t="n"/>
      <c r="E295" s="41" t="n"/>
      <c r="F295" s="41" t="n"/>
    </row>
    <row r="296" ht="15.75" customHeight="1" s="60">
      <c r="A296" s="41" t="n"/>
      <c r="B296" s="41" t="n"/>
      <c r="C296" s="41" t="n"/>
      <c r="D296" s="41" t="n"/>
      <c r="E296" s="41" t="n"/>
      <c r="F296" s="41" t="n"/>
    </row>
    <row r="297" ht="15.75" customHeight="1" s="60">
      <c r="A297" s="41" t="n"/>
      <c r="B297" s="41" t="n"/>
      <c r="C297" s="41" t="n"/>
      <c r="D297" s="41" t="n"/>
      <c r="E297" s="41" t="n"/>
      <c r="F297" s="41" t="n"/>
    </row>
    <row r="298" ht="15.75" customHeight="1" s="60">
      <c r="A298" s="41" t="n"/>
      <c r="B298" s="41" t="n"/>
      <c r="C298" s="41" t="n"/>
      <c r="D298" s="41" t="n"/>
      <c r="E298" s="41" t="n"/>
      <c r="F298" s="41" t="n"/>
    </row>
    <row r="299" ht="15.75" customHeight="1" s="60">
      <c r="A299" s="41" t="n"/>
      <c r="B299" s="41" t="n"/>
      <c r="C299" s="41" t="n"/>
      <c r="D299" s="41" t="n"/>
      <c r="E299" s="41" t="n"/>
      <c r="F299" s="41" t="n"/>
    </row>
    <row r="300" ht="15.75" customHeight="1" s="60">
      <c r="A300" s="41" t="n"/>
      <c r="B300" s="41" t="n"/>
      <c r="C300" s="41" t="n"/>
      <c r="D300" s="41" t="n"/>
      <c r="E300" s="41" t="n"/>
      <c r="F300" s="41" t="n"/>
    </row>
    <row r="301" ht="15.75" customHeight="1" s="60">
      <c r="A301" s="41" t="n"/>
      <c r="B301" s="41" t="n"/>
      <c r="C301" s="41" t="n"/>
      <c r="D301" s="41" t="n"/>
      <c r="E301" s="41" t="n"/>
      <c r="F301" s="41" t="n"/>
    </row>
    <row r="302" ht="15.75" customHeight="1" s="60">
      <c r="A302" s="41" t="n"/>
      <c r="B302" s="41" t="n"/>
      <c r="C302" s="41" t="n"/>
      <c r="D302" s="41" t="n"/>
      <c r="E302" s="41" t="n"/>
      <c r="F302" s="41" t="n"/>
    </row>
    <row r="303" ht="15.75" customHeight="1" s="60">
      <c r="A303" s="41" t="n"/>
      <c r="B303" s="41" t="n"/>
      <c r="C303" s="41" t="n"/>
      <c r="D303" s="41" t="n"/>
      <c r="E303" s="41" t="n"/>
      <c r="F303" s="41" t="n"/>
    </row>
    <row r="304" ht="15.75" customHeight="1" s="60">
      <c r="A304" s="41" t="n"/>
      <c r="B304" s="41" t="n"/>
      <c r="C304" s="41" t="n"/>
      <c r="D304" s="41" t="n"/>
      <c r="E304" s="41" t="n"/>
      <c r="F304" s="41" t="n"/>
    </row>
    <row r="305" ht="15.75" customHeight="1" s="60">
      <c r="A305" s="41" t="n"/>
      <c r="B305" s="41" t="n"/>
      <c r="C305" s="41" t="n"/>
      <c r="D305" s="41" t="n"/>
      <c r="E305" s="41" t="n"/>
      <c r="F305" s="41" t="n"/>
    </row>
    <row r="306" ht="15.75" customHeight="1" s="60">
      <c r="A306" s="41" t="n"/>
      <c r="B306" s="41" t="n"/>
      <c r="C306" s="41" t="n"/>
      <c r="D306" s="41" t="n"/>
      <c r="E306" s="41" t="n"/>
      <c r="F306" s="41" t="n"/>
    </row>
    <row r="307" ht="15.75" customHeight="1" s="60">
      <c r="A307" s="41" t="n"/>
      <c r="B307" s="41" t="n"/>
      <c r="C307" s="41" t="n"/>
      <c r="D307" s="41" t="n"/>
      <c r="E307" s="41" t="n"/>
      <c r="F307" s="41" t="n"/>
    </row>
    <row r="308" ht="15.75" customHeight="1" s="60">
      <c r="A308" s="41" t="n"/>
      <c r="B308" s="41" t="n"/>
      <c r="C308" s="41" t="n"/>
      <c r="D308" s="41" t="n"/>
      <c r="E308" s="41" t="n"/>
      <c r="F308" s="41" t="n"/>
    </row>
    <row r="309" ht="15.75" customHeight="1" s="60">
      <c r="A309" s="41" t="n"/>
      <c r="B309" s="41" t="n"/>
      <c r="C309" s="41" t="n"/>
      <c r="D309" s="41" t="n"/>
      <c r="E309" s="41" t="n"/>
      <c r="F309" s="41" t="n"/>
    </row>
    <row r="310" ht="15.75" customHeight="1" s="60">
      <c r="A310" s="41" t="n"/>
      <c r="B310" s="41" t="n"/>
      <c r="C310" s="41" t="n"/>
      <c r="D310" s="41" t="n"/>
      <c r="E310" s="41" t="n"/>
      <c r="F310" s="41" t="n"/>
    </row>
    <row r="311" ht="15.75" customHeight="1" s="60">
      <c r="A311" s="41" t="n"/>
      <c r="B311" s="41" t="n"/>
      <c r="C311" s="41" t="n"/>
      <c r="D311" s="41" t="n"/>
      <c r="E311" s="41" t="n"/>
      <c r="F311" s="41" t="n"/>
    </row>
    <row r="312" ht="15.75" customHeight="1" s="60">
      <c r="A312" s="41" t="n"/>
      <c r="B312" s="41" t="n"/>
      <c r="C312" s="41" t="n"/>
      <c r="D312" s="41" t="n"/>
      <c r="E312" s="41" t="n"/>
      <c r="F312" s="41" t="n"/>
    </row>
    <row r="313" ht="15.75" customHeight="1" s="60">
      <c r="A313" s="41" t="n"/>
      <c r="B313" s="41" t="n"/>
      <c r="C313" s="41" t="n"/>
      <c r="D313" s="41" t="n"/>
      <c r="E313" s="41" t="n"/>
      <c r="F313" s="41" t="n"/>
    </row>
    <row r="314" ht="15.75" customHeight="1" s="60">
      <c r="A314" s="41" t="n"/>
      <c r="B314" s="41" t="n"/>
      <c r="C314" s="41" t="n"/>
      <c r="D314" s="41" t="n"/>
      <c r="E314" s="41" t="n"/>
      <c r="F314" s="41" t="n"/>
    </row>
    <row r="315" ht="15.75" customHeight="1" s="60">
      <c r="A315" s="41" t="n"/>
      <c r="B315" s="41" t="n"/>
      <c r="C315" s="41" t="n"/>
      <c r="D315" s="41" t="n"/>
      <c r="E315" s="41" t="n"/>
      <c r="F315" s="41" t="n"/>
    </row>
    <row r="316" ht="15.75" customHeight="1" s="60">
      <c r="A316" s="41" t="n"/>
      <c r="B316" s="41" t="n"/>
      <c r="C316" s="41" t="n"/>
      <c r="D316" s="41" t="n"/>
      <c r="E316" s="41" t="n"/>
      <c r="F316" s="41" t="n"/>
    </row>
    <row r="317" ht="15.75" customHeight="1" s="60">
      <c r="A317" s="41" t="n"/>
      <c r="B317" s="41" t="n"/>
      <c r="C317" s="41" t="n"/>
      <c r="D317" s="41" t="n"/>
      <c r="E317" s="41" t="n"/>
      <c r="F317" s="41" t="n"/>
    </row>
    <row r="318" ht="15.75" customHeight="1" s="60">
      <c r="A318" s="41" t="n"/>
      <c r="B318" s="41" t="n"/>
      <c r="C318" s="41" t="n"/>
      <c r="D318" s="41" t="n"/>
      <c r="E318" s="41" t="n"/>
      <c r="F318" s="41" t="n"/>
    </row>
    <row r="319" ht="15.75" customHeight="1" s="60">
      <c r="A319" s="41" t="n"/>
      <c r="B319" s="41" t="n"/>
      <c r="C319" s="41" t="n"/>
      <c r="D319" s="41" t="n"/>
      <c r="E319" s="41" t="n"/>
      <c r="F319" s="41" t="n"/>
    </row>
    <row r="320" ht="15.75" customHeight="1" s="60">
      <c r="A320" s="41" t="n"/>
      <c r="B320" s="41" t="n"/>
      <c r="C320" s="41" t="n"/>
      <c r="D320" s="41" t="n"/>
      <c r="E320" s="41" t="n"/>
      <c r="F320" s="41" t="n"/>
    </row>
    <row r="321" ht="15.75" customHeight="1" s="60">
      <c r="A321" s="41" t="n"/>
      <c r="B321" s="41" t="n"/>
      <c r="C321" s="41" t="n"/>
      <c r="D321" s="41" t="n"/>
      <c r="E321" s="41" t="n"/>
      <c r="F321" s="41" t="n"/>
    </row>
    <row r="322" ht="15.75" customHeight="1" s="60">
      <c r="A322" s="41" t="n"/>
      <c r="B322" s="41" t="n"/>
      <c r="C322" s="41" t="n"/>
      <c r="D322" s="41" t="n"/>
      <c r="E322" s="41" t="n"/>
      <c r="F322" s="41" t="n"/>
    </row>
    <row r="323" ht="15.75" customHeight="1" s="60">
      <c r="A323" s="41" t="n"/>
      <c r="B323" s="41" t="n"/>
      <c r="C323" s="41" t="n"/>
      <c r="D323" s="41" t="n"/>
      <c r="E323" s="41" t="n"/>
      <c r="F323" s="41" t="n"/>
    </row>
    <row r="324" ht="15.75" customHeight="1" s="60">
      <c r="A324" s="41" t="n"/>
      <c r="B324" s="41" t="n"/>
      <c r="C324" s="41" t="n"/>
      <c r="D324" s="41" t="n"/>
      <c r="E324" s="41" t="n"/>
      <c r="F324" s="41" t="n"/>
    </row>
    <row r="325" ht="15.75" customHeight="1" s="60">
      <c r="A325" s="41" t="n"/>
      <c r="B325" s="41" t="n"/>
      <c r="C325" s="41" t="n"/>
      <c r="D325" s="41" t="n"/>
      <c r="E325" s="41" t="n"/>
      <c r="F325" s="41" t="n"/>
    </row>
    <row r="326" ht="15.75" customHeight="1" s="60">
      <c r="A326" s="41" t="n"/>
      <c r="B326" s="41" t="n"/>
      <c r="C326" s="41" t="n"/>
      <c r="D326" s="41" t="n"/>
      <c r="E326" s="41" t="n"/>
      <c r="F326" s="41" t="n"/>
    </row>
    <row r="327" ht="15.75" customHeight="1" s="60">
      <c r="A327" s="41" t="n"/>
      <c r="B327" s="41" t="n"/>
      <c r="C327" s="41" t="n"/>
      <c r="D327" s="41" t="n"/>
      <c r="E327" s="41" t="n"/>
      <c r="F327" s="41" t="n"/>
    </row>
    <row r="328" ht="15.75" customHeight="1" s="60">
      <c r="A328" s="41" t="n"/>
      <c r="B328" s="41" t="n"/>
      <c r="C328" s="41" t="n"/>
      <c r="D328" s="41" t="n"/>
      <c r="E328" s="41" t="n"/>
      <c r="F328" s="41" t="n"/>
    </row>
    <row r="329" ht="15.75" customHeight="1" s="60">
      <c r="A329" s="41" t="n"/>
      <c r="B329" s="41" t="n"/>
      <c r="C329" s="41" t="n"/>
      <c r="D329" s="41" t="n"/>
      <c r="E329" s="41" t="n"/>
      <c r="F329" s="41" t="n"/>
    </row>
    <row r="330" ht="15.75" customHeight="1" s="60">
      <c r="A330" s="41" t="n"/>
      <c r="B330" s="41" t="n"/>
      <c r="C330" s="41" t="n"/>
      <c r="D330" s="41" t="n"/>
      <c r="E330" s="41" t="n"/>
      <c r="F330" s="41" t="n"/>
    </row>
    <row r="331" ht="15.75" customHeight="1" s="60">
      <c r="A331" s="41" t="n"/>
      <c r="B331" s="41" t="n"/>
      <c r="C331" s="41" t="n"/>
      <c r="D331" s="41" t="n"/>
      <c r="E331" s="41" t="n"/>
      <c r="F331" s="41" t="n"/>
    </row>
    <row r="332" ht="15.75" customHeight="1" s="60">
      <c r="A332" s="41" t="n"/>
      <c r="B332" s="41" t="n"/>
      <c r="C332" s="41" t="n"/>
      <c r="D332" s="41" t="n"/>
      <c r="E332" s="41" t="n"/>
      <c r="F332" s="41" t="n"/>
    </row>
    <row r="333" ht="15.75" customHeight="1" s="60">
      <c r="A333" s="41" t="n"/>
      <c r="B333" s="41" t="n"/>
      <c r="C333" s="41" t="n"/>
      <c r="D333" s="41" t="n"/>
      <c r="E333" s="41" t="n"/>
      <c r="F333" s="41" t="n"/>
    </row>
    <row r="334" ht="15.75" customHeight="1" s="60">
      <c r="A334" s="41" t="n"/>
      <c r="B334" s="41" t="n"/>
      <c r="C334" s="41" t="n"/>
      <c r="D334" s="41" t="n"/>
      <c r="E334" s="41" t="n"/>
      <c r="F334" s="41" t="n"/>
    </row>
    <row r="335" ht="15.75" customHeight="1" s="60">
      <c r="A335" s="41" t="n"/>
      <c r="B335" s="41" t="n"/>
      <c r="C335" s="41" t="n"/>
      <c r="D335" s="41" t="n"/>
      <c r="E335" s="41" t="n"/>
      <c r="F335" s="41" t="n"/>
    </row>
    <row r="336" ht="15.75" customHeight="1" s="60">
      <c r="A336" s="41" t="n"/>
      <c r="B336" s="41" t="n"/>
      <c r="C336" s="41" t="n"/>
      <c r="D336" s="41" t="n"/>
      <c r="E336" s="41" t="n"/>
      <c r="F336" s="41" t="n"/>
    </row>
    <row r="337" ht="15.75" customHeight="1" s="60">
      <c r="A337" s="41" t="n"/>
      <c r="B337" s="41" t="n"/>
      <c r="C337" s="41" t="n"/>
      <c r="D337" s="41" t="n"/>
      <c r="E337" s="41" t="n"/>
      <c r="F337" s="41" t="n"/>
    </row>
    <row r="338" ht="15.75" customHeight="1" s="60">
      <c r="A338" s="41" t="n"/>
      <c r="B338" s="41" t="n"/>
      <c r="C338" s="41" t="n"/>
      <c r="D338" s="41" t="n"/>
      <c r="E338" s="41" t="n"/>
      <c r="F338" s="41" t="n"/>
    </row>
    <row r="339" ht="15.75" customHeight="1" s="60">
      <c r="A339" s="41" t="n"/>
      <c r="B339" s="41" t="n"/>
      <c r="C339" s="41" t="n"/>
      <c r="D339" s="41" t="n"/>
      <c r="E339" s="41" t="n"/>
      <c r="F339" s="41" t="n"/>
    </row>
    <row r="340" ht="15.75" customHeight="1" s="60">
      <c r="A340" s="41" t="n"/>
      <c r="B340" s="41" t="n"/>
      <c r="C340" s="41" t="n"/>
      <c r="D340" s="41" t="n"/>
      <c r="E340" s="41" t="n"/>
      <c r="F340" s="41" t="n"/>
    </row>
    <row r="341" ht="15.75" customHeight="1" s="60">
      <c r="A341" s="41" t="n"/>
      <c r="B341" s="41" t="n"/>
      <c r="C341" s="41" t="n"/>
      <c r="D341" s="41" t="n"/>
      <c r="E341" s="41" t="n"/>
      <c r="F341" s="41" t="n"/>
    </row>
    <row r="342" ht="15.75" customHeight="1" s="60">
      <c r="A342" s="41" t="n"/>
      <c r="B342" s="41" t="n"/>
      <c r="C342" s="41" t="n"/>
      <c r="D342" s="41" t="n"/>
      <c r="E342" s="41" t="n"/>
      <c r="F342" s="41" t="n"/>
    </row>
    <row r="343" ht="15.75" customHeight="1" s="60">
      <c r="A343" s="41" t="n"/>
      <c r="B343" s="41" t="n"/>
      <c r="C343" s="41" t="n"/>
      <c r="D343" s="41" t="n"/>
      <c r="E343" s="41" t="n"/>
      <c r="F343" s="41" t="n"/>
    </row>
    <row r="344" ht="15.75" customHeight="1" s="60">
      <c r="A344" s="41" t="n"/>
      <c r="B344" s="41" t="n"/>
      <c r="C344" s="41" t="n"/>
      <c r="D344" s="41" t="n"/>
      <c r="E344" s="41" t="n"/>
      <c r="F344" s="41" t="n"/>
    </row>
    <row r="345" ht="15.75" customHeight="1" s="60">
      <c r="A345" s="41" t="n"/>
      <c r="B345" s="41" t="n"/>
      <c r="C345" s="41" t="n"/>
      <c r="D345" s="41" t="n"/>
      <c r="E345" s="41" t="n"/>
      <c r="F345" s="41" t="n"/>
    </row>
    <row r="346" ht="15.75" customHeight="1" s="60">
      <c r="A346" s="41" t="n"/>
      <c r="B346" s="41" t="n"/>
      <c r="C346" s="41" t="n"/>
      <c r="D346" s="41" t="n"/>
      <c r="E346" s="41" t="n"/>
      <c r="F346" s="41" t="n"/>
    </row>
    <row r="347" ht="15.75" customHeight="1" s="60">
      <c r="A347" s="41" t="n"/>
      <c r="B347" s="41" t="n"/>
      <c r="C347" s="41" t="n"/>
      <c r="D347" s="41" t="n"/>
      <c r="E347" s="41" t="n"/>
      <c r="F347" s="41" t="n"/>
    </row>
    <row r="348" ht="15.75" customHeight="1" s="60">
      <c r="A348" s="41" t="n"/>
      <c r="B348" s="41" t="n"/>
      <c r="C348" s="41" t="n"/>
      <c r="D348" s="41" t="n"/>
      <c r="E348" s="41" t="n"/>
      <c r="F348" s="41" t="n"/>
    </row>
    <row r="349" ht="15.75" customHeight="1" s="60">
      <c r="A349" s="41" t="n"/>
      <c r="B349" s="41" t="n"/>
      <c r="C349" s="41" t="n"/>
      <c r="D349" s="41" t="n"/>
      <c r="E349" s="41" t="n"/>
      <c r="F349" s="41" t="n"/>
    </row>
    <row r="350" ht="15.75" customHeight="1" s="60">
      <c r="A350" s="41" t="n"/>
      <c r="B350" s="41" t="n"/>
      <c r="C350" s="41" t="n"/>
      <c r="D350" s="41" t="n"/>
      <c r="E350" s="41" t="n"/>
      <c r="F350" s="41" t="n"/>
    </row>
    <row r="351" ht="15.75" customHeight="1" s="60">
      <c r="A351" s="41" t="n"/>
      <c r="B351" s="41" t="n"/>
      <c r="C351" s="41" t="n"/>
      <c r="D351" s="41" t="n"/>
      <c r="E351" s="41" t="n"/>
      <c r="F351" s="41" t="n"/>
    </row>
    <row r="352" ht="15.75" customHeight="1" s="60">
      <c r="A352" s="41" t="n"/>
      <c r="B352" s="41" t="n"/>
      <c r="C352" s="41" t="n"/>
      <c r="D352" s="41" t="n"/>
      <c r="E352" s="41" t="n"/>
      <c r="F352" s="41" t="n"/>
    </row>
    <row r="353" ht="15.75" customHeight="1" s="60">
      <c r="A353" s="41" t="n"/>
      <c r="B353" s="41" t="n"/>
      <c r="C353" s="41" t="n"/>
      <c r="D353" s="41" t="n"/>
      <c r="E353" s="41" t="n"/>
      <c r="F353" s="41" t="n"/>
    </row>
    <row r="354" ht="15.75" customHeight="1" s="60">
      <c r="A354" s="41" t="n"/>
      <c r="B354" s="41" t="n"/>
      <c r="C354" s="41" t="n"/>
      <c r="D354" s="41" t="n"/>
      <c r="E354" s="41" t="n"/>
      <c r="F354" s="41" t="n"/>
    </row>
    <row r="355" ht="15.75" customHeight="1" s="60">
      <c r="A355" s="41" t="n"/>
      <c r="B355" s="41" t="n"/>
      <c r="C355" s="41" t="n"/>
      <c r="D355" s="41" t="n"/>
      <c r="E355" s="41" t="n"/>
      <c r="F355" s="41" t="n"/>
    </row>
    <row r="356" ht="15.75" customHeight="1" s="60">
      <c r="A356" s="41" t="n"/>
      <c r="B356" s="41" t="n"/>
      <c r="C356" s="41" t="n"/>
      <c r="D356" s="41" t="n"/>
      <c r="E356" s="41" t="n"/>
      <c r="F356" s="41" t="n"/>
    </row>
    <row r="357" ht="15.75" customHeight="1" s="60">
      <c r="A357" s="41" t="n"/>
      <c r="B357" s="41" t="n"/>
      <c r="C357" s="41" t="n"/>
      <c r="D357" s="41" t="n"/>
      <c r="E357" s="41" t="n"/>
      <c r="F357" s="41" t="n"/>
    </row>
    <row r="358" ht="15.75" customHeight="1" s="60">
      <c r="A358" s="41" t="n"/>
      <c r="B358" s="41" t="n"/>
      <c r="C358" s="41" t="n"/>
      <c r="D358" s="41" t="n"/>
      <c r="E358" s="41" t="n"/>
      <c r="F358" s="41" t="n"/>
    </row>
    <row r="359" ht="15.75" customHeight="1" s="60">
      <c r="A359" s="41" t="n"/>
      <c r="B359" s="41" t="n"/>
      <c r="C359" s="41" t="n"/>
      <c r="D359" s="41" t="n"/>
      <c r="E359" s="41" t="n"/>
      <c r="F359" s="41" t="n"/>
    </row>
    <row r="360" ht="15.75" customHeight="1" s="60">
      <c r="A360" s="41" t="n"/>
      <c r="B360" s="41" t="n"/>
      <c r="C360" s="41" t="n"/>
      <c r="D360" s="41" t="n"/>
      <c r="E360" s="41" t="n"/>
      <c r="F360" s="41" t="n"/>
    </row>
    <row r="361" ht="15.75" customHeight="1" s="60">
      <c r="A361" s="41" t="n"/>
      <c r="B361" s="41" t="n"/>
      <c r="C361" s="41" t="n"/>
      <c r="D361" s="41" t="n"/>
      <c r="E361" s="41" t="n"/>
      <c r="F361" s="41" t="n"/>
    </row>
    <row r="362" ht="15.75" customHeight="1" s="60">
      <c r="A362" s="41" t="n"/>
      <c r="B362" s="41" t="n"/>
      <c r="C362" s="41" t="n"/>
      <c r="D362" s="41" t="n"/>
      <c r="E362" s="41" t="n"/>
      <c r="F362" s="41" t="n"/>
    </row>
    <row r="363" ht="15.75" customHeight="1" s="60">
      <c r="A363" s="41" t="n"/>
      <c r="B363" s="41" t="n"/>
      <c r="C363" s="41" t="n"/>
      <c r="D363" s="41" t="n"/>
      <c r="E363" s="41" t="n"/>
      <c r="F363" s="41" t="n"/>
    </row>
    <row r="364" ht="15.75" customHeight="1" s="60">
      <c r="A364" s="41" t="n"/>
      <c r="B364" s="41" t="n"/>
      <c r="C364" s="41" t="n"/>
      <c r="D364" s="41" t="n"/>
      <c r="E364" s="41" t="n"/>
      <c r="F364" s="41" t="n"/>
    </row>
    <row r="365" ht="15.75" customHeight="1" s="60">
      <c r="A365" s="41" t="n"/>
      <c r="B365" s="41" t="n"/>
      <c r="C365" s="41" t="n"/>
      <c r="D365" s="41" t="n"/>
      <c r="E365" s="41" t="n"/>
      <c r="F365" s="41" t="n"/>
    </row>
    <row r="366" ht="15.75" customHeight="1" s="60">
      <c r="A366" s="41" t="n"/>
      <c r="B366" s="41" t="n"/>
      <c r="C366" s="41" t="n"/>
      <c r="D366" s="41" t="n"/>
      <c r="E366" s="41" t="n"/>
      <c r="F366" s="41" t="n"/>
    </row>
    <row r="367" ht="15.75" customHeight="1" s="60">
      <c r="A367" s="41" t="n"/>
      <c r="B367" s="41" t="n"/>
      <c r="C367" s="41" t="n"/>
      <c r="D367" s="41" t="n"/>
      <c r="E367" s="41" t="n"/>
      <c r="F367" s="41" t="n"/>
    </row>
    <row r="368" ht="15.75" customHeight="1" s="60">
      <c r="A368" s="41" t="n"/>
      <c r="B368" s="41" t="n"/>
      <c r="C368" s="41" t="n"/>
      <c r="D368" s="41" t="n"/>
      <c r="E368" s="41" t="n"/>
      <c r="F368" s="41" t="n"/>
    </row>
    <row r="369" ht="15.75" customHeight="1" s="60">
      <c r="A369" s="41" t="n"/>
      <c r="B369" s="41" t="n"/>
      <c r="C369" s="41" t="n"/>
      <c r="D369" s="41" t="n"/>
      <c r="E369" s="41" t="n"/>
      <c r="F369" s="41" t="n"/>
    </row>
    <row r="370" ht="15.75" customHeight="1" s="60">
      <c r="A370" s="41" t="n"/>
      <c r="B370" s="41" t="n"/>
      <c r="C370" s="41" t="n"/>
      <c r="D370" s="41" t="n"/>
      <c r="E370" s="41" t="n"/>
      <c r="F370" s="41" t="n"/>
    </row>
    <row r="371" ht="15.75" customHeight="1" s="60">
      <c r="A371" s="41" t="n"/>
      <c r="B371" s="41" t="n"/>
      <c r="C371" s="41" t="n"/>
      <c r="D371" s="41" t="n"/>
      <c r="E371" s="41" t="n"/>
      <c r="F371" s="41" t="n"/>
    </row>
    <row r="372" ht="15.75" customHeight="1" s="60">
      <c r="A372" s="41" t="n"/>
      <c r="B372" s="41" t="n"/>
      <c r="C372" s="41" t="n"/>
      <c r="D372" s="41" t="n"/>
      <c r="E372" s="41" t="n"/>
      <c r="F372" s="41" t="n"/>
    </row>
    <row r="373" ht="15.75" customHeight="1" s="60">
      <c r="A373" s="41" t="n"/>
      <c r="B373" s="41" t="n"/>
      <c r="C373" s="41" t="n"/>
      <c r="D373" s="41" t="n"/>
      <c r="E373" s="41" t="n"/>
      <c r="F373" s="41" t="n"/>
    </row>
    <row r="374" ht="15.75" customHeight="1" s="60">
      <c r="A374" s="41" t="n"/>
      <c r="B374" s="41" t="n"/>
      <c r="C374" s="41" t="n"/>
      <c r="D374" s="41" t="n"/>
      <c r="E374" s="41" t="n"/>
      <c r="F374" s="41" t="n"/>
    </row>
    <row r="375" ht="15.75" customHeight="1" s="60">
      <c r="A375" s="41" t="n"/>
      <c r="B375" s="41" t="n"/>
      <c r="C375" s="41" t="n"/>
      <c r="D375" s="41" t="n"/>
      <c r="E375" s="41" t="n"/>
      <c r="F375" s="41" t="n"/>
    </row>
    <row r="376" ht="15.75" customHeight="1" s="60">
      <c r="A376" s="41" t="n"/>
      <c r="B376" s="41" t="n"/>
      <c r="C376" s="41" t="n"/>
      <c r="D376" s="41" t="n"/>
      <c r="E376" s="41" t="n"/>
      <c r="F376" s="41" t="n"/>
    </row>
    <row r="377" ht="15.75" customHeight="1" s="60">
      <c r="A377" s="41" t="n"/>
      <c r="B377" s="41" t="n"/>
      <c r="C377" s="41" t="n"/>
      <c r="D377" s="41" t="n"/>
      <c r="E377" s="41" t="n"/>
      <c r="F377" s="41" t="n"/>
    </row>
    <row r="378" ht="15.75" customHeight="1" s="60">
      <c r="A378" s="41" t="n"/>
      <c r="B378" s="41" t="n"/>
      <c r="C378" s="41" t="n"/>
      <c r="D378" s="41" t="n"/>
      <c r="E378" s="41" t="n"/>
      <c r="F378" s="41" t="n"/>
    </row>
    <row r="379" ht="15.75" customHeight="1" s="60">
      <c r="A379" s="41" t="n"/>
      <c r="B379" s="41" t="n"/>
      <c r="C379" s="41" t="n"/>
      <c r="D379" s="41" t="n"/>
      <c r="E379" s="41" t="n"/>
      <c r="F379" s="41" t="n"/>
    </row>
    <row r="380" ht="15.75" customHeight="1" s="60">
      <c r="A380" s="41" t="n"/>
      <c r="B380" s="41" t="n"/>
      <c r="C380" s="41" t="n"/>
      <c r="D380" s="41" t="n"/>
      <c r="E380" s="41" t="n"/>
      <c r="F380" s="41" t="n"/>
    </row>
    <row r="381" ht="15.75" customHeight="1" s="60">
      <c r="A381" s="41" t="n"/>
      <c r="B381" s="41" t="n"/>
      <c r="C381" s="41" t="n"/>
      <c r="D381" s="41" t="n"/>
      <c r="E381" s="41" t="n"/>
      <c r="F381" s="41" t="n"/>
    </row>
    <row r="382" ht="15.75" customHeight="1" s="60">
      <c r="A382" s="41" t="n"/>
      <c r="B382" s="41" t="n"/>
      <c r="C382" s="41" t="n"/>
      <c r="D382" s="41" t="n"/>
      <c r="E382" s="41" t="n"/>
      <c r="F382" s="41" t="n"/>
    </row>
    <row r="383" ht="15.75" customHeight="1" s="60">
      <c r="A383" s="41" t="n"/>
      <c r="B383" s="41" t="n"/>
      <c r="C383" s="41" t="n"/>
      <c r="D383" s="41" t="n"/>
      <c r="E383" s="41" t="n"/>
      <c r="F383" s="41" t="n"/>
    </row>
    <row r="384" ht="15.75" customHeight="1" s="60">
      <c r="A384" s="41" t="n"/>
      <c r="B384" s="41" t="n"/>
      <c r="C384" s="41" t="n"/>
      <c r="D384" s="41" t="n"/>
      <c r="E384" s="41" t="n"/>
      <c r="F384" s="41" t="n"/>
    </row>
    <row r="385" ht="15.75" customHeight="1" s="60">
      <c r="A385" s="41" t="n"/>
      <c r="B385" s="41" t="n"/>
      <c r="C385" s="41" t="n"/>
      <c r="D385" s="41" t="n"/>
      <c r="E385" s="41" t="n"/>
      <c r="F385" s="41" t="n"/>
    </row>
    <row r="386" ht="15.75" customHeight="1" s="60">
      <c r="A386" s="41" t="n"/>
      <c r="B386" s="41" t="n"/>
      <c r="C386" s="41" t="n"/>
      <c r="D386" s="41" t="n"/>
      <c r="E386" s="41" t="n"/>
      <c r="F386" s="41" t="n"/>
    </row>
    <row r="387" ht="15.75" customHeight="1" s="60">
      <c r="A387" s="41" t="n"/>
      <c r="B387" s="41" t="n"/>
      <c r="C387" s="41" t="n"/>
      <c r="D387" s="41" t="n"/>
      <c r="E387" s="41" t="n"/>
      <c r="F387" s="41" t="n"/>
    </row>
    <row r="388" ht="15.75" customHeight="1" s="60">
      <c r="A388" s="41" t="n"/>
      <c r="B388" s="41" t="n"/>
      <c r="C388" s="41" t="n"/>
      <c r="D388" s="41" t="n"/>
      <c r="E388" s="41" t="n"/>
      <c r="F388" s="41" t="n"/>
    </row>
    <row r="389" ht="15.75" customHeight="1" s="60">
      <c r="A389" s="41" t="n"/>
      <c r="B389" s="41" t="n"/>
      <c r="C389" s="41" t="n"/>
      <c r="D389" s="41" t="n"/>
      <c r="E389" s="41" t="n"/>
      <c r="F389" s="41" t="n"/>
    </row>
    <row r="390" ht="15.75" customHeight="1" s="60">
      <c r="A390" s="41" t="n"/>
      <c r="B390" s="41" t="n"/>
      <c r="C390" s="41" t="n"/>
      <c r="D390" s="41" t="n"/>
      <c r="E390" s="41" t="n"/>
      <c r="F390" s="41" t="n"/>
    </row>
    <row r="391" ht="15.75" customHeight="1" s="60">
      <c r="A391" s="41" t="n"/>
      <c r="B391" s="41" t="n"/>
      <c r="C391" s="41" t="n"/>
      <c r="D391" s="41" t="n"/>
      <c r="E391" s="41" t="n"/>
      <c r="F391" s="41" t="n"/>
    </row>
    <row r="392" ht="15.75" customHeight="1" s="60">
      <c r="A392" s="41" t="n"/>
      <c r="B392" s="41" t="n"/>
      <c r="C392" s="41" t="n"/>
      <c r="D392" s="41" t="n"/>
      <c r="E392" s="41" t="n"/>
      <c r="F392" s="41" t="n"/>
    </row>
    <row r="393" ht="15.75" customHeight="1" s="60">
      <c r="A393" s="41" t="n"/>
      <c r="B393" s="41" t="n"/>
      <c r="C393" s="41" t="n"/>
      <c r="D393" s="41" t="n"/>
      <c r="E393" s="41" t="n"/>
      <c r="F393" s="41" t="n"/>
    </row>
    <row r="394" ht="15.75" customHeight="1" s="60">
      <c r="A394" s="41" t="n"/>
      <c r="B394" s="41" t="n"/>
      <c r="C394" s="41" t="n"/>
      <c r="D394" s="41" t="n"/>
      <c r="E394" s="41" t="n"/>
      <c r="F394" s="41" t="n"/>
    </row>
    <row r="395" ht="15.75" customHeight="1" s="60">
      <c r="A395" s="41" t="n"/>
      <c r="B395" s="41" t="n"/>
      <c r="C395" s="41" t="n"/>
      <c r="D395" s="41" t="n"/>
      <c r="E395" s="41" t="n"/>
      <c r="F395" s="41" t="n"/>
    </row>
    <row r="396" ht="15.75" customHeight="1" s="60">
      <c r="A396" s="41" t="n"/>
      <c r="B396" s="41" t="n"/>
      <c r="C396" s="41" t="n"/>
      <c r="D396" s="41" t="n"/>
      <c r="E396" s="41" t="n"/>
      <c r="F396" s="41" t="n"/>
    </row>
    <row r="397" ht="15.75" customHeight="1" s="60">
      <c r="A397" s="41" t="n"/>
      <c r="B397" s="41" t="n"/>
      <c r="C397" s="41" t="n"/>
      <c r="D397" s="41" t="n"/>
      <c r="E397" s="41" t="n"/>
      <c r="F397" s="41" t="n"/>
    </row>
    <row r="398" ht="15.75" customHeight="1" s="60">
      <c r="A398" s="41" t="n"/>
      <c r="B398" s="41" t="n"/>
      <c r="C398" s="41" t="n"/>
      <c r="D398" s="41" t="n"/>
      <c r="E398" s="41" t="n"/>
      <c r="F398" s="41" t="n"/>
    </row>
    <row r="399" ht="15.75" customHeight="1" s="60">
      <c r="A399" s="41" t="n"/>
      <c r="B399" s="41" t="n"/>
      <c r="C399" s="41" t="n"/>
      <c r="D399" s="41" t="n"/>
      <c r="E399" s="41" t="n"/>
      <c r="F399" s="41" t="n"/>
    </row>
    <row r="400" ht="15.75" customHeight="1" s="60">
      <c r="A400" s="41" t="n"/>
      <c r="B400" s="41" t="n"/>
      <c r="C400" s="41" t="n"/>
      <c r="D400" s="41" t="n"/>
      <c r="E400" s="41" t="n"/>
      <c r="F400" s="41" t="n"/>
    </row>
    <row r="401" ht="15.75" customHeight="1" s="60">
      <c r="A401" s="41" t="n"/>
      <c r="B401" s="41" t="n"/>
      <c r="C401" s="41" t="n"/>
      <c r="D401" s="41" t="n"/>
      <c r="E401" s="41" t="n"/>
      <c r="F401" s="41" t="n"/>
    </row>
    <row r="402" ht="15.75" customHeight="1" s="60">
      <c r="A402" s="41" t="n"/>
      <c r="B402" s="41" t="n"/>
      <c r="C402" s="41" t="n"/>
      <c r="D402" s="41" t="n"/>
      <c r="E402" s="41" t="n"/>
      <c r="F402" s="41" t="n"/>
    </row>
    <row r="403" ht="15.75" customHeight="1" s="60">
      <c r="A403" s="41" t="n"/>
      <c r="B403" s="41" t="n"/>
      <c r="C403" s="41" t="n"/>
      <c r="D403" s="41" t="n"/>
      <c r="E403" s="41" t="n"/>
      <c r="F403" s="41" t="n"/>
    </row>
    <row r="404" ht="15.75" customHeight="1" s="60">
      <c r="A404" s="41" t="n"/>
      <c r="B404" s="41" t="n"/>
      <c r="C404" s="41" t="n"/>
      <c r="D404" s="41" t="n"/>
      <c r="E404" s="41" t="n"/>
      <c r="F404" s="41" t="n"/>
    </row>
    <row r="405" ht="15.75" customHeight="1" s="60">
      <c r="A405" s="41" t="n"/>
      <c r="B405" s="41" t="n"/>
      <c r="C405" s="41" t="n"/>
      <c r="D405" s="41" t="n"/>
      <c r="E405" s="41" t="n"/>
      <c r="F405" s="41" t="n"/>
    </row>
    <row r="406" ht="15.75" customHeight="1" s="60">
      <c r="A406" s="41" t="n"/>
      <c r="B406" s="41" t="n"/>
      <c r="C406" s="41" t="n"/>
      <c r="D406" s="41" t="n"/>
      <c r="E406" s="41" t="n"/>
      <c r="F406" s="41" t="n"/>
    </row>
    <row r="407" ht="15.75" customHeight="1" s="60">
      <c r="A407" s="41" t="n"/>
      <c r="B407" s="41" t="n"/>
      <c r="C407" s="41" t="n"/>
      <c r="D407" s="41" t="n"/>
      <c r="E407" s="41" t="n"/>
      <c r="F407" s="41" t="n"/>
    </row>
    <row r="408" ht="15.75" customHeight="1" s="60">
      <c r="A408" s="41" t="n"/>
      <c r="B408" s="41" t="n"/>
      <c r="C408" s="41" t="n"/>
      <c r="D408" s="41" t="n"/>
      <c r="E408" s="41" t="n"/>
      <c r="F408" s="41" t="n"/>
    </row>
    <row r="409" ht="15.75" customHeight="1" s="60">
      <c r="A409" s="41" t="n"/>
      <c r="B409" s="41" t="n"/>
      <c r="C409" s="41" t="n"/>
      <c r="D409" s="41" t="n"/>
      <c r="E409" s="41" t="n"/>
      <c r="F409" s="41" t="n"/>
    </row>
    <row r="410" ht="15.75" customHeight="1" s="60">
      <c r="A410" s="41" t="n"/>
      <c r="B410" s="41" t="n"/>
      <c r="C410" s="41" t="n"/>
      <c r="D410" s="41" t="n"/>
      <c r="E410" s="41" t="n"/>
      <c r="F410" s="41" t="n"/>
    </row>
    <row r="411" ht="15.75" customHeight="1" s="60">
      <c r="A411" s="41" t="n"/>
      <c r="B411" s="41" t="n"/>
      <c r="C411" s="41" t="n"/>
      <c r="D411" s="41" t="n"/>
      <c r="E411" s="41" t="n"/>
      <c r="F411" s="41" t="n"/>
    </row>
    <row r="412" ht="15.75" customHeight="1" s="60">
      <c r="A412" s="41" t="n"/>
      <c r="B412" s="41" t="n"/>
      <c r="C412" s="41" t="n"/>
      <c r="D412" s="41" t="n"/>
      <c r="E412" s="41" t="n"/>
      <c r="F412" s="41" t="n"/>
    </row>
    <row r="413" ht="15.75" customHeight="1" s="60">
      <c r="A413" s="41" t="n"/>
      <c r="B413" s="41" t="n"/>
      <c r="C413" s="41" t="n"/>
      <c r="D413" s="41" t="n"/>
      <c r="E413" s="41" t="n"/>
      <c r="F413" s="41" t="n"/>
    </row>
    <row r="414" ht="15.75" customHeight="1" s="60">
      <c r="A414" s="41" t="n"/>
      <c r="B414" s="41" t="n"/>
      <c r="C414" s="41" t="n"/>
      <c r="D414" s="41" t="n"/>
      <c r="E414" s="41" t="n"/>
      <c r="F414" s="41" t="n"/>
    </row>
    <row r="415" ht="15.75" customHeight="1" s="60">
      <c r="A415" s="41" t="n"/>
      <c r="B415" s="41" t="n"/>
      <c r="C415" s="41" t="n"/>
      <c r="D415" s="41" t="n"/>
      <c r="E415" s="41" t="n"/>
      <c r="F415" s="41" t="n"/>
    </row>
    <row r="416" ht="15.75" customHeight="1" s="60">
      <c r="A416" s="41" t="n"/>
      <c r="B416" s="41" t="n"/>
      <c r="C416" s="41" t="n"/>
      <c r="D416" s="41" t="n"/>
      <c r="E416" s="41" t="n"/>
      <c r="F416" s="41" t="n"/>
    </row>
    <row r="417" ht="15.75" customHeight="1" s="60">
      <c r="A417" s="41" t="n"/>
      <c r="B417" s="41" t="n"/>
      <c r="C417" s="41" t="n"/>
      <c r="D417" s="41" t="n"/>
      <c r="E417" s="41" t="n"/>
      <c r="F417" s="41" t="n"/>
    </row>
    <row r="418" ht="15.75" customHeight="1" s="60">
      <c r="A418" s="41" t="n"/>
      <c r="B418" s="41" t="n"/>
      <c r="C418" s="41" t="n"/>
      <c r="D418" s="41" t="n"/>
      <c r="E418" s="41" t="n"/>
      <c r="F418" s="41" t="n"/>
    </row>
    <row r="419" ht="15.75" customHeight="1" s="60">
      <c r="A419" s="41" t="n"/>
      <c r="B419" s="41" t="n"/>
      <c r="C419" s="41" t="n"/>
      <c r="D419" s="41" t="n"/>
      <c r="E419" s="41" t="n"/>
      <c r="F419" s="41" t="n"/>
    </row>
    <row r="420" ht="15.75" customHeight="1" s="60">
      <c r="A420" s="41" t="n"/>
      <c r="B420" s="41" t="n"/>
      <c r="C420" s="41" t="n"/>
      <c r="D420" s="41" t="n"/>
      <c r="E420" s="41" t="n"/>
      <c r="F420" s="41" t="n"/>
    </row>
    <row r="421" ht="15.75" customHeight="1" s="60">
      <c r="A421" s="41" t="n"/>
      <c r="B421" s="41" t="n"/>
      <c r="C421" s="41" t="n"/>
      <c r="D421" s="41" t="n"/>
      <c r="E421" s="41" t="n"/>
      <c r="F421" s="41" t="n"/>
    </row>
    <row r="422" ht="15.75" customHeight="1" s="60">
      <c r="A422" s="41" t="n"/>
      <c r="B422" s="41" t="n"/>
      <c r="C422" s="41" t="n"/>
      <c r="D422" s="41" t="n"/>
      <c r="E422" s="41" t="n"/>
      <c r="F422" s="41" t="n"/>
    </row>
    <row r="423" ht="15.75" customHeight="1" s="60">
      <c r="A423" s="41" t="n"/>
      <c r="B423" s="41" t="n"/>
      <c r="C423" s="41" t="n"/>
      <c r="D423" s="41" t="n"/>
      <c r="E423" s="41" t="n"/>
      <c r="F423" s="41" t="n"/>
    </row>
    <row r="424" ht="15.75" customHeight="1" s="60">
      <c r="A424" s="41" t="n"/>
      <c r="B424" s="41" t="n"/>
      <c r="C424" s="41" t="n"/>
      <c r="D424" s="41" t="n"/>
      <c r="E424" s="41" t="n"/>
      <c r="F424" s="41" t="n"/>
    </row>
    <row r="425" ht="15.75" customHeight="1" s="60">
      <c r="A425" s="41" t="n"/>
      <c r="B425" s="41" t="n"/>
      <c r="C425" s="41" t="n"/>
      <c r="D425" s="41" t="n"/>
      <c r="E425" s="41" t="n"/>
      <c r="F425" s="41" t="n"/>
    </row>
    <row r="426" ht="15.75" customHeight="1" s="60">
      <c r="A426" s="41" t="n"/>
      <c r="B426" s="41" t="n"/>
      <c r="C426" s="41" t="n"/>
      <c r="D426" s="41" t="n"/>
      <c r="E426" s="41" t="n"/>
      <c r="F426" s="41" t="n"/>
    </row>
    <row r="427" ht="15.75" customHeight="1" s="60">
      <c r="A427" s="41" t="n"/>
      <c r="B427" s="41" t="n"/>
      <c r="C427" s="41" t="n"/>
      <c r="D427" s="41" t="n"/>
      <c r="E427" s="41" t="n"/>
      <c r="F427" s="41" t="n"/>
    </row>
    <row r="428" ht="15.75" customHeight="1" s="60">
      <c r="A428" s="41" t="n"/>
      <c r="B428" s="41" t="n"/>
      <c r="C428" s="41" t="n"/>
      <c r="D428" s="41" t="n"/>
      <c r="E428" s="41" t="n"/>
      <c r="F428" s="41" t="n"/>
    </row>
    <row r="429" ht="15.75" customHeight="1" s="60">
      <c r="A429" s="41" t="n"/>
      <c r="B429" s="41" t="n"/>
      <c r="C429" s="41" t="n"/>
      <c r="D429" s="41" t="n"/>
      <c r="E429" s="41" t="n"/>
      <c r="F429" s="41" t="n"/>
    </row>
    <row r="430" ht="15.75" customHeight="1" s="60">
      <c r="A430" s="41" t="n"/>
      <c r="B430" s="41" t="n"/>
      <c r="C430" s="41" t="n"/>
      <c r="D430" s="41" t="n"/>
      <c r="E430" s="41" t="n"/>
      <c r="F430" s="41" t="n"/>
    </row>
    <row r="431" ht="15.75" customHeight="1" s="60">
      <c r="A431" s="41" t="n"/>
      <c r="B431" s="41" t="n"/>
      <c r="C431" s="41" t="n"/>
      <c r="D431" s="41" t="n"/>
      <c r="E431" s="41" t="n"/>
      <c r="F431" s="41" t="n"/>
    </row>
    <row r="432" ht="15.75" customHeight="1" s="60">
      <c r="A432" s="41" t="n"/>
      <c r="B432" s="41" t="n"/>
      <c r="C432" s="41" t="n"/>
      <c r="D432" s="41" t="n"/>
      <c r="E432" s="41" t="n"/>
      <c r="F432" s="41" t="n"/>
    </row>
    <row r="433" ht="15.75" customHeight="1" s="60">
      <c r="A433" s="41" t="n"/>
      <c r="B433" s="41" t="n"/>
      <c r="C433" s="41" t="n"/>
      <c r="D433" s="41" t="n"/>
      <c r="E433" s="41" t="n"/>
      <c r="F433" s="41" t="n"/>
    </row>
    <row r="434" ht="15.75" customHeight="1" s="60">
      <c r="A434" s="41" t="n"/>
      <c r="B434" s="41" t="n"/>
      <c r="C434" s="41" t="n"/>
      <c r="D434" s="41" t="n"/>
      <c r="E434" s="41" t="n"/>
      <c r="F434" s="41" t="n"/>
    </row>
    <row r="435" ht="15.75" customHeight="1" s="60">
      <c r="A435" s="41" t="n"/>
      <c r="B435" s="41" t="n"/>
      <c r="C435" s="41" t="n"/>
      <c r="D435" s="41" t="n"/>
      <c r="E435" s="41" t="n"/>
      <c r="F435" s="41" t="n"/>
    </row>
    <row r="436" ht="15.75" customHeight="1" s="60">
      <c r="A436" s="41" t="n"/>
      <c r="B436" s="41" t="n"/>
      <c r="C436" s="41" t="n"/>
      <c r="D436" s="41" t="n"/>
      <c r="E436" s="41" t="n"/>
      <c r="F436" s="41" t="n"/>
    </row>
    <row r="437" ht="15.75" customHeight="1" s="60">
      <c r="A437" s="41" t="n"/>
      <c r="B437" s="41" t="n"/>
      <c r="C437" s="41" t="n"/>
      <c r="D437" s="41" t="n"/>
      <c r="E437" s="41" t="n"/>
      <c r="F437" s="41" t="n"/>
    </row>
    <row r="438" ht="15.75" customHeight="1" s="60">
      <c r="A438" s="41" t="n"/>
      <c r="B438" s="41" t="n"/>
      <c r="C438" s="41" t="n"/>
      <c r="D438" s="41" t="n"/>
      <c r="E438" s="41" t="n"/>
      <c r="F438" s="41" t="n"/>
    </row>
    <row r="439" ht="15.75" customHeight="1" s="60">
      <c r="A439" s="41" t="n"/>
      <c r="B439" s="41" t="n"/>
      <c r="C439" s="41" t="n"/>
      <c r="D439" s="41" t="n"/>
      <c r="E439" s="41" t="n"/>
      <c r="F439" s="41" t="n"/>
    </row>
    <row r="440" ht="15.75" customHeight="1" s="60">
      <c r="A440" s="41" t="n"/>
      <c r="B440" s="41" t="n"/>
      <c r="C440" s="41" t="n"/>
      <c r="D440" s="41" t="n"/>
      <c r="E440" s="41" t="n"/>
      <c r="F440" s="41" t="n"/>
    </row>
    <row r="441" ht="15.75" customHeight="1" s="60">
      <c r="A441" s="41" t="n"/>
      <c r="B441" s="41" t="n"/>
      <c r="C441" s="41" t="n"/>
      <c r="D441" s="41" t="n"/>
      <c r="E441" s="41" t="n"/>
      <c r="F441" s="41" t="n"/>
    </row>
    <row r="442" ht="15.75" customHeight="1" s="60">
      <c r="A442" s="41" t="n"/>
      <c r="B442" s="41" t="n"/>
      <c r="C442" s="41" t="n"/>
      <c r="D442" s="41" t="n"/>
      <c r="E442" s="41" t="n"/>
      <c r="F442" s="41" t="n"/>
    </row>
    <row r="443" ht="15.75" customHeight="1" s="60">
      <c r="A443" s="41" t="n"/>
      <c r="B443" s="41" t="n"/>
      <c r="C443" s="41" t="n"/>
      <c r="D443" s="41" t="n"/>
      <c r="E443" s="41" t="n"/>
      <c r="F443" s="41" t="n"/>
    </row>
    <row r="444" ht="15.75" customHeight="1" s="60">
      <c r="A444" s="41" t="n"/>
      <c r="B444" s="41" t="n"/>
      <c r="C444" s="41" t="n"/>
      <c r="D444" s="41" t="n"/>
      <c r="E444" s="41" t="n"/>
      <c r="F444" s="41" t="n"/>
    </row>
    <row r="445" ht="15.75" customHeight="1" s="60">
      <c r="A445" s="41" t="n"/>
      <c r="B445" s="41" t="n"/>
      <c r="C445" s="41" t="n"/>
      <c r="D445" s="41" t="n"/>
      <c r="E445" s="41" t="n"/>
      <c r="F445" s="41" t="n"/>
    </row>
    <row r="446" ht="15.75" customHeight="1" s="60">
      <c r="A446" s="41" t="n"/>
      <c r="B446" s="41" t="n"/>
      <c r="C446" s="41" t="n"/>
      <c r="D446" s="41" t="n"/>
      <c r="E446" s="41" t="n"/>
      <c r="F446" s="41" t="n"/>
    </row>
    <row r="447" ht="15.75" customHeight="1" s="60">
      <c r="A447" s="41" t="n"/>
      <c r="B447" s="41" t="n"/>
      <c r="C447" s="41" t="n"/>
      <c r="D447" s="41" t="n"/>
      <c r="E447" s="41" t="n"/>
      <c r="F447" s="41" t="n"/>
    </row>
    <row r="448" ht="15.75" customHeight="1" s="60">
      <c r="A448" s="41" t="n"/>
      <c r="B448" s="41" t="n"/>
      <c r="C448" s="41" t="n"/>
      <c r="D448" s="41" t="n"/>
      <c r="E448" s="41" t="n"/>
      <c r="F448" s="41" t="n"/>
    </row>
    <row r="449" ht="15.75" customHeight="1" s="60">
      <c r="A449" s="41" t="n"/>
      <c r="B449" s="41" t="n"/>
      <c r="C449" s="41" t="n"/>
      <c r="D449" s="41" t="n"/>
      <c r="E449" s="41" t="n"/>
      <c r="F449" s="41" t="n"/>
    </row>
    <row r="450" ht="15.75" customHeight="1" s="60">
      <c r="A450" s="41" t="n"/>
      <c r="B450" s="41" t="n"/>
      <c r="C450" s="41" t="n"/>
      <c r="D450" s="41" t="n"/>
      <c r="E450" s="41" t="n"/>
      <c r="F450" s="41" t="n"/>
    </row>
    <row r="451" ht="15.75" customHeight="1" s="60">
      <c r="A451" s="41" t="n"/>
      <c r="B451" s="41" t="n"/>
      <c r="C451" s="41" t="n"/>
      <c r="D451" s="41" t="n"/>
      <c r="E451" s="41" t="n"/>
      <c r="F451" s="41" t="n"/>
    </row>
    <row r="452" ht="15.75" customHeight="1" s="60">
      <c r="A452" s="41" t="n"/>
      <c r="B452" s="41" t="n"/>
      <c r="C452" s="41" t="n"/>
      <c r="D452" s="41" t="n"/>
      <c r="E452" s="41" t="n"/>
      <c r="F452" s="41" t="n"/>
    </row>
    <row r="453" ht="15.75" customHeight="1" s="60">
      <c r="A453" s="41" t="n"/>
      <c r="B453" s="41" t="n"/>
      <c r="C453" s="41" t="n"/>
      <c r="D453" s="41" t="n"/>
      <c r="E453" s="41" t="n"/>
      <c r="F453" s="41" t="n"/>
    </row>
    <row r="454" ht="15.75" customHeight="1" s="60">
      <c r="A454" s="41" t="n"/>
      <c r="B454" s="41" t="n"/>
      <c r="C454" s="41" t="n"/>
      <c r="D454" s="41" t="n"/>
      <c r="E454" s="41" t="n"/>
      <c r="F454" s="41" t="n"/>
    </row>
    <row r="455" ht="15.75" customHeight="1" s="60">
      <c r="A455" s="41" t="n"/>
      <c r="B455" s="41" t="n"/>
      <c r="C455" s="41" t="n"/>
      <c r="D455" s="41" t="n"/>
      <c r="E455" s="41" t="n"/>
      <c r="F455" s="41" t="n"/>
    </row>
    <row r="456" ht="15.75" customHeight="1" s="60">
      <c r="A456" s="41" t="n"/>
      <c r="B456" s="41" t="n"/>
      <c r="C456" s="41" t="n"/>
      <c r="D456" s="41" t="n"/>
      <c r="E456" s="41" t="n"/>
      <c r="F456" s="41" t="n"/>
    </row>
    <row r="457" ht="15.75" customHeight="1" s="60">
      <c r="A457" s="41" t="n"/>
      <c r="B457" s="41" t="n"/>
      <c r="C457" s="41" t="n"/>
      <c r="D457" s="41" t="n"/>
      <c r="E457" s="41" t="n"/>
      <c r="F457" s="41" t="n"/>
    </row>
    <row r="458" ht="15.75" customHeight="1" s="60">
      <c r="A458" s="41" t="n"/>
      <c r="B458" s="41" t="n"/>
      <c r="C458" s="41" t="n"/>
      <c r="D458" s="41" t="n"/>
      <c r="E458" s="41" t="n"/>
      <c r="F458" s="41" t="n"/>
    </row>
    <row r="459" ht="15.75" customHeight="1" s="60">
      <c r="A459" s="41" t="n"/>
      <c r="B459" s="41" t="n"/>
      <c r="C459" s="41" t="n"/>
      <c r="D459" s="41" t="n"/>
      <c r="E459" s="41" t="n"/>
      <c r="F459" s="41" t="n"/>
    </row>
    <row r="460" ht="15.75" customHeight="1" s="60">
      <c r="A460" s="41" t="n"/>
      <c r="B460" s="41" t="n"/>
      <c r="C460" s="41" t="n"/>
      <c r="D460" s="41" t="n"/>
      <c r="E460" s="41" t="n"/>
      <c r="F460" s="41" t="n"/>
    </row>
    <row r="461" ht="15.75" customHeight="1" s="60">
      <c r="A461" s="41" t="n"/>
      <c r="B461" s="41" t="n"/>
      <c r="C461" s="41" t="n"/>
      <c r="D461" s="41" t="n"/>
      <c r="E461" s="41" t="n"/>
      <c r="F461" s="41" t="n"/>
    </row>
    <row r="462" ht="15.75" customHeight="1" s="60">
      <c r="A462" s="41" t="n"/>
      <c r="B462" s="41" t="n"/>
      <c r="C462" s="41" t="n"/>
      <c r="D462" s="41" t="n"/>
      <c r="E462" s="41" t="n"/>
      <c r="F462" s="41" t="n"/>
    </row>
    <row r="463" ht="15.75" customHeight="1" s="60">
      <c r="A463" s="41" t="n"/>
      <c r="B463" s="41" t="n"/>
      <c r="C463" s="41" t="n"/>
      <c r="D463" s="41" t="n"/>
      <c r="E463" s="41" t="n"/>
      <c r="F463" s="41" t="n"/>
    </row>
    <row r="464" ht="15.75" customHeight="1" s="60">
      <c r="A464" s="41" t="n"/>
      <c r="B464" s="41" t="n"/>
      <c r="C464" s="41" t="n"/>
      <c r="D464" s="41" t="n"/>
      <c r="E464" s="41" t="n"/>
      <c r="F464" s="41" t="n"/>
    </row>
    <row r="465" ht="15.75" customHeight="1" s="60">
      <c r="A465" s="41" t="n"/>
      <c r="B465" s="41" t="n"/>
      <c r="C465" s="41" t="n"/>
      <c r="D465" s="41" t="n"/>
      <c r="E465" s="41" t="n"/>
      <c r="F465" s="41" t="n"/>
    </row>
    <row r="466" ht="15.75" customHeight="1" s="60">
      <c r="A466" s="41" t="n"/>
      <c r="B466" s="41" t="n"/>
      <c r="C466" s="41" t="n"/>
      <c r="D466" s="41" t="n"/>
      <c r="E466" s="41" t="n"/>
      <c r="F466" s="41" t="n"/>
    </row>
    <row r="467" ht="15.75" customHeight="1" s="60">
      <c r="A467" s="41" t="n"/>
      <c r="B467" s="41" t="n"/>
      <c r="C467" s="41" t="n"/>
      <c r="D467" s="41" t="n"/>
      <c r="E467" s="41" t="n"/>
      <c r="F467" s="41" t="n"/>
    </row>
    <row r="468" ht="15.75" customHeight="1" s="60">
      <c r="A468" s="41" t="n"/>
      <c r="B468" s="41" t="n"/>
      <c r="C468" s="41" t="n"/>
      <c r="D468" s="41" t="n"/>
      <c r="E468" s="41" t="n"/>
      <c r="F468" s="41" t="n"/>
    </row>
    <row r="469" ht="15.75" customHeight="1" s="60">
      <c r="A469" s="41" t="n"/>
      <c r="B469" s="41" t="n"/>
      <c r="C469" s="41" t="n"/>
      <c r="D469" s="41" t="n"/>
      <c r="E469" s="41" t="n"/>
      <c r="F469" s="41" t="n"/>
    </row>
    <row r="470" ht="15.75" customHeight="1" s="60">
      <c r="A470" s="41" t="n"/>
      <c r="B470" s="41" t="n"/>
      <c r="C470" s="41" t="n"/>
      <c r="D470" s="41" t="n"/>
      <c r="E470" s="41" t="n"/>
      <c r="F470" s="41" t="n"/>
    </row>
    <row r="471" ht="15.75" customHeight="1" s="60">
      <c r="A471" s="41" t="n"/>
      <c r="B471" s="41" t="n"/>
      <c r="C471" s="41" t="n"/>
      <c r="D471" s="41" t="n"/>
      <c r="E471" s="41" t="n"/>
      <c r="F471" s="41" t="n"/>
    </row>
    <row r="472" ht="15.75" customHeight="1" s="60">
      <c r="A472" s="41" t="n"/>
      <c r="B472" s="41" t="n"/>
      <c r="C472" s="41" t="n"/>
      <c r="D472" s="41" t="n"/>
      <c r="E472" s="41" t="n"/>
      <c r="F472" s="41" t="n"/>
    </row>
    <row r="473" ht="15.75" customHeight="1" s="60">
      <c r="A473" s="41" t="n"/>
      <c r="B473" s="41" t="n"/>
      <c r="C473" s="41" t="n"/>
      <c r="D473" s="41" t="n"/>
      <c r="E473" s="41" t="n"/>
      <c r="F473" s="41" t="n"/>
    </row>
    <row r="474" ht="15.75" customHeight="1" s="60">
      <c r="A474" s="41" t="n"/>
      <c r="B474" s="41" t="n"/>
      <c r="C474" s="41" t="n"/>
      <c r="D474" s="41" t="n"/>
      <c r="E474" s="41" t="n"/>
      <c r="F474" s="41" t="n"/>
    </row>
    <row r="475" ht="15.75" customHeight="1" s="60">
      <c r="A475" s="41" t="n"/>
      <c r="B475" s="41" t="n"/>
      <c r="C475" s="41" t="n"/>
      <c r="D475" s="41" t="n"/>
      <c r="E475" s="41" t="n"/>
      <c r="F475" s="41" t="n"/>
    </row>
    <row r="476" ht="15.75" customHeight="1" s="60">
      <c r="A476" s="41" t="n"/>
      <c r="B476" s="41" t="n"/>
      <c r="C476" s="41" t="n"/>
      <c r="D476" s="41" t="n"/>
      <c r="E476" s="41" t="n"/>
      <c r="F476" s="41" t="n"/>
    </row>
    <row r="477" ht="15.75" customHeight="1" s="60">
      <c r="A477" s="41" t="n"/>
      <c r="B477" s="41" t="n"/>
      <c r="C477" s="41" t="n"/>
      <c r="D477" s="41" t="n"/>
      <c r="E477" s="41" t="n"/>
      <c r="F477" s="41" t="n"/>
    </row>
    <row r="478" ht="15.75" customHeight="1" s="60">
      <c r="A478" s="41" t="n"/>
      <c r="B478" s="41" t="n"/>
      <c r="C478" s="41" t="n"/>
      <c r="D478" s="41" t="n"/>
      <c r="E478" s="41" t="n"/>
      <c r="F478" s="41" t="n"/>
    </row>
    <row r="479" ht="15.75" customHeight="1" s="60">
      <c r="A479" s="41" t="n"/>
      <c r="B479" s="41" t="n"/>
      <c r="C479" s="41" t="n"/>
      <c r="D479" s="41" t="n"/>
      <c r="E479" s="41" t="n"/>
      <c r="F479" s="41" t="n"/>
    </row>
    <row r="480" ht="15.75" customHeight="1" s="60">
      <c r="A480" s="41" t="n"/>
      <c r="B480" s="41" t="n"/>
      <c r="C480" s="41" t="n"/>
      <c r="D480" s="41" t="n"/>
      <c r="E480" s="41" t="n"/>
      <c r="F480" s="41" t="n"/>
    </row>
    <row r="481" ht="15.75" customHeight="1" s="60">
      <c r="A481" s="41" t="n"/>
      <c r="B481" s="41" t="n"/>
      <c r="C481" s="41" t="n"/>
      <c r="D481" s="41" t="n"/>
      <c r="E481" s="41" t="n"/>
      <c r="F481" s="41" t="n"/>
    </row>
    <row r="482" ht="15.75" customHeight="1" s="60">
      <c r="A482" s="41" t="n"/>
      <c r="B482" s="41" t="n"/>
      <c r="C482" s="41" t="n"/>
      <c r="D482" s="41" t="n"/>
      <c r="E482" s="41" t="n"/>
      <c r="F482" s="41" t="n"/>
    </row>
    <row r="483" ht="15.75" customHeight="1" s="60">
      <c r="A483" s="41" t="n"/>
      <c r="B483" s="41" t="n"/>
      <c r="C483" s="41" t="n"/>
      <c r="D483" s="41" t="n"/>
      <c r="E483" s="41" t="n"/>
      <c r="F483" s="41" t="n"/>
    </row>
    <row r="484" ht="15.75" customHeight="1" s="60">
      <c r="A484" s="41" t="n"/>
      <c r="B484" s="41" t="n"/>
      <c r="C484" s="41" t="n"/>
      <c r="D484" s="41" t="n"/>
      <c r="E484" s="41" t="n"/>
      <c r="F484" s="41" t="n"/>
    </row>
    <row r="485" ht="15.75" customHeight="1" s="60">
      <c r="A485" s="41" t="n"/>
      <c r="B485" s="41" t="n"/>
      <c r="C485" s="41" t="n"/>
      <c r="D485" s="41" t="n"/>
      <c r="E485" s="41" t="n"/>
      <c r="F485" s="41" t="n"/>
    </row>
    <row r="486" ht="15.75" customHeight="1" s="60">
      <c r="A486" s="41" t="n"/>
      <c r="B486" s="41" t="n"/>
      <c r="C486" s="41" t="n"/>
      <c r="D486" s="41" t="n"/>
      <c r="E486" s="41" t="n"/>
      <c r="F486" s="41" t="n"/>
    </row>
    <row r="487" ht="15.75" customHeight="1" s="60">
      <c r="A487" s="41" t="n"/>
      <c r="B487" s="41" t="n"/>
      <c r="C487" s="41" t="n"/>
      <c r="D487" s="41" t="n"/>
      <c r="E487" s="41" t="n"/>
      <c r="F487" s="41" t="n"/>
    </row>
    <row r="488" ht="15.75" customHeight="1" s="60">
      <c r="A488" s="41" t="n"/>
      <c r="B488" s="41" t="n"/>
      <c r="C488" s="41" t="n"/>
      <c r="D488" s="41" t="n"/>
      <c r="E488" s="41" t="n"/>
      <c r="F488" s="41" t="n"/>
    </row>
    <row r="489" ht="15.75" customHeight="1" s="60">
      <c r="A489" s="41" t="n"/>
      <c r="B489" s="41" t="n"/>
      <c r="C489" s="41" t="n"/>
      <c r="D489" s="41" t="n"/>
      <c r="E489" s="41" t="n"/>
      <c r="F489" s="41" t="n"/>
    </row>
    <row r="490" ht="15.75" customHeight="1" s="60">
      <c r="A490" s="41" t="n"/>
      <c r="B490" s="41" t="n"/>
      <c r="C490" s="41" t="n"/>
      <c r="D490" s="41" t="n"/>
      <c r="E490" s="41" t="n"/>
      <c r="F490" s="41" t="n"/>
    </row>
    <row r="491" ht="15.75" customHeight="1" s="60">
      <c r="A491" s="41" t="n"/>
      <c r="B491" s="41" t="n"/>
      <c r="C491" s="41" t="n"/>
      <c r="D491" s="41" t="n"/>
      <c r="E491" s="41" t="n"/>
      <c r="F491" s="41" t="n"/>
    </row>
    <row r="492" ht="15.75" customHeight="1" s="60">
      <c r="A492" s="41" t="n"/>
      <c r="B492" s="41" t="n"/>
      <c r="C492" s="41" t="n"/>
      <c r="D492" s="41" t="n"/>
      <c r="E492" s="41" t="n"/>
      <c r="F492" s="41" t="n"/>
    </row>
    <row r="493" ht="15.75" customHeight="1" s="60">
      <c r="A493" s="41" t="n"/>
      <c r="B493" s="41" t="n"/>
      <c r="C493" s="41" t="n"/>
      <c r="D493" s="41" t="n"/>
      <c r="E493" s="41" t="n"/>
      <c r="F493" s="41" t="n"/>
    </row>
    <row r="494" ht="15.75" customHeight="1" s="60">
      <c r="A494" s="41" t="n"/>
      <c r="B494" s="41" t="n"/>
      <c r="C494" s="41" t="n"/>
      <c r="D494" s="41" t="n"/>
      <c r="E494" s="41" t="n"/>
      <c r="F494" s="41" t="n"/>
    </row>
    <row r="495" ht="15.75" customHeight="1" s="60">
      <c r="A495" s="41" t="n"/>
      <c r="B495" s="41" t="n"/>
      <c r="C495" s="41" t="n"/>
      <c r="D495" s="41" t="n"/>
      <c r="E495" s="41" t="n"/>
      <c r="F495" s="41" t="n"/>
    </row>
    <row r="496" ht="15.75" customHeight="1" s="60">
      <c r="A496" s="41" t="n"/>
      <c r="B496" s="41" t="n"/>
      <c r="C496" s="41" t="n"/>
      <c r="D496" s="41" t="n"/>
      <c r="E496" s="41" t="n"/>
      <c r="F496" s="41" t="n"/>
    </row>
    <row r="497" ht="15.75" customHeight="1" s="60">
      <c r="A497" s="41" t="n"/>
      <c r="B497" s="41" t="n"/>
      <c r="C497" s="41" t="n"/>
      <c r="D497" s="41" t="n"/>
      <c r="E497" s="41" t="n"/>
      <c r="F497" s="41" t="n"/>
    </row>
    <row r="498" ht="15.75" customHeight="1" s="60">
      <c r="A498" s="41" t="n"/>
      <c r="B498" s="41" t="n"/>
      <c r="C498" s="41" t="n"/>
      <c r="D498" s="41" t="n"/>
      <c r="E498" s="41" t="n"/>
      <c r="F498" s="41" t="n"/>
    </row>
    <row r="499" ht="15.75" customHeight="1" s="60">
      <c r="A499" s="41" t="n"/>
      <c r="B499" s="41" t="n"/>
      <c r="C499" s="41" t="n"/>
      <c r="D499" s="41" t="n"/>
      <c r="E499" s="41" t="n"/>
      <c r="F499" s="41" t="n"/>
    </row>
    <row r="500" ht="15.75" customHeight="1" s="60">
      <c r="A500" s="41" t="n"/>
      <c r="B500" s="41" t="n"/>
      <c r="C500" s="41" t="n"/>
      <c r="D500" s="41" t="n"/>
      <c r="E500" s="41" t="n"/>
      <c r="F500" s="41" t="n"/>
    </row>
    <row r="501" ht="15.75" customHeight="1" s="60">
      <c r="A501" s="41" t="n"/>
      <c r="B501" s="41" t="n"/>
      <c r="C501" s="41" t="n"/>
      <c r="D501" s="41" t="n"/>
      <c r="E501" s="41" t="n"/>
      <c r="F501" s="41" t="n"/>
    </row>
    <row r="502" ht="15.75" customHeight="1" s="60">
      <c r="A502" s="41" t="n"/>
      <c r="B502" s="41" t="n"/>
      <c r="C502" s="41" t="n"/>
      <c r="D502" s="41" t="n"/>
      <c r="E502" s="41" t="n"/>
      <c r="F502" s="41" t="n"/>
    </row>
    <row r="503" ht="15.75" customHeight="1" s="60">
      <c r="A503" s="41" t="n"/>
      <c r="B503" s="41" t="n"/>
      <c r="C503" s="41" t="n"/>
      <c r="D503" s="41" t="n"/>
      <c r="E503" s="41" t="n"/>
      <c r="F503" s="41" t="n"/>
    </row>
    <row r="504" ht="15.75" customHeight="1" s="60">
      <c r="A504" s="41" t="n"/>
      <c r="B504" s="41" t="n"/>
      <c r="C504" s="41" t="n"/>
      <c r="D504" s="41" t="n"/>
      <c r="E504" s="41" t="n"/>
      <c r="F504" s="41" t="n"/>
    </row>
    <row r="505" ht="15.75" customHeight="1" s="60">
      <c r="A505" s="41" t="n"/>
      <c r="B505" s="41" t="n"/>
      <c r="C505" s="41" t="n"/>
      <c r="D505" s="41" t="n"/>
      <c r="E505" s="41" t="n"/>
      <c r="F505" s="41" t="n"/>
    </row>
    <row r="506" ht="15.75" customHeight="1" s="60">
      <c r="A506" s="41" t="n"/>
      <c r="B506" s="41" t="n"/>
      <c r="C506" s="41" t="n"/>
      <c r="D506" s="41" t="n"/>
      <c r="E506" s="41" t="n"/>
      <c r="F506" s="41" t="n"/>
    </row>
    <row r="507" ht="15.75" customHeight="1" s="60">
      <c r="A507" s="41" t="n"/>
      <c r="B507" s="41" t="n"/>
      <c r="C507" s="41" t="n"/>
      <c r="D507" s="41" t="n"/>
      <c r="E507" s="41" t="n"/>
      <c r="F507" s="41" t="n"/>
    </row>
    <row r="508" ht="15.75" customHeight="1" s="60">
      <c r="A508" s="41" t="n"/>
      <c r="B508" s="41" t="n"/>
      <c r="C508" s="41" t="n"/>
      <c r="D508" s="41" t="n"/>
      <c r="E508" s="41" t="n"/>
      <c r="F508" s="41" t="n"/>
    </row>
    <row r="509" ht="15.75" customHeight="1" s="60">
      <c r="A509" s="41" t="n"/>
      <c r="B509" s="41" t="n"/>
      <c r="C509" s="41" t="n"/>
      <c r="D509" s="41" t="n"/>
      <c r="E509" s="41" t="n"/>
      <c r="F509" s="41" t="n"/>
    </row>
    <row r="510" ht="15.75" customHeight="1" s="60">
      <c r="A510" s="41" t="n"/>
      <c r="B510" s="41" t="n"/>
      <c r="C510" s="41" t="n"/>
      <c r="D510" s="41" t="n"/>
      <c r="E510" s="41" t="n"/>
      <c r="F510" s="41" t="n"/>
    </row>
    <row r="511" ht="15.75" customHeight="1" s="60">
      <c r="A511" s="41" t="n"/>
      <c r="B511" s="41" t="n"/>
      <c r="C511" s="41" t="n"/>
      <c r="D511" s="41" t="n"/>
      <c r="E511" s="41" t="n"/>
      <c r="F511" s="41" t="n"/>
    </row>
    <row r="512" ht="15.75" customHeight="1" s="60">
      <c r="A512" s="41" t="n"/>
      <c r="B512" s="41" t="n"/>
      <c r="C512" s="41" t="n"/>
      <c r="D512" s="41" t="n"/>
      <c r="E512" s="41" t="n"/>
      <c r="F512" s="41" t="n"/>
    </row>
    <row r="513" ht="15.75" customHeight="1" s="60">
      <c r="A513" s="41" t="n"/>
      <c r="B513" s="41" t="n"/>
      <c r="C513" s="41" t="n"/>
      <c r="D513" s="41" t="n"/>
      <c r="E513" s="41" t="n"/>
      <c r="F513" s="41" t="n"/>
    </row>
    <row r="514" ht="15.75" customHeight="1" s="60">
      <c r="A514" s="41" t="n"/>
      <c r="B514" s="41" t="n"/>
      <c r="C514" s="41" t="n"/>
      <c r="D514" s="41" t="n"/>
      <c r="E514" s="41" t="n"/>
      <c r="F514" s="41" t="n"/>
    </row>
    <row r="515" ht="15.75" customHeight="1" s="60">
      <c r="A515" s="41" t="n"/>
      <c r="B515" s="41" t="n"/>
      <c r="C515" s="41" t="n"/>
      <c r="D515" s="41" t="n"/>
      <c r="E515" s="41" t="n"/>
      <c r="F515" s="41" t="n"/>
    </row>
    <row r="516" ht="15.75" customHeight="1" s="60">
      <c r="A516" s="41" t="n"/>
      <c r="B516" s="41" t="n"/>
      <c r="C516" s="41" t="n"/>
      <c r="D516" s="41" t="n"/>
      <c r="E516" s="41" t="n"/>
      <c r="F516" s="41" t="n"/>
    </row>
    <row r="517" ht="15.75" customHeight="1" s="60">
      <c r="A517" s="41" t="n"/>
      <c r="B517" s="41" t="n"/>
      <c r="C517" s="41" t="n"/>
      <c r="D517" s="41" t="n"/>
      <c r="E517" s="41" t="n"/>
      <c r="F517" s="41" t="n"/>
    </row>
    <row r="518" ht="15.75" customHeight="1" s="60">
      <c r="A518" s="41" t="n"/>
      <c r="B518" s="41" t="n"/>
      <c r="C518" s="41" t="n"/>
      <c r="D518" s="41" t="n"/>
      <c r="E518" s="41" t="n"/>
      <c r="F518" s="41" t="n"/>
    </row>
    <row r="519" ht="15.75" customHeight="1" s="60">
      <c r="A519" s="41" t="n"/>
      <c r="B519" s="41" t="n"/>
      <c r="C519" s="41" t="n"/>
      <c r="D519" s="41" t="n"/>
      <c r="E519" s="41" t="n"/>
      <c r="F519" s="41" t="n"/>
    </row>
    <row r="520" ht="15.75" customHeight="1" s="60">
      <c r="A520" s="41" t="n"/>
      <c r="B520" s="41" t="n"/>
      <c r="C520" s="41" t="n"/>
      <c r="D520" s="41" t="n"/>
      <c r="E520" s="41" t="n"/>
      <c r="F520" s="41" t="n"/>
    </row>
    <row r="521" ht="15.75" customHeight="1" s="60">
      <c r="A521" s="41" t="n"/>
      <c r="B521" s="41" t="n"/>
      <c r="C521" s="41" t="n"/>
      <c r="D521" s="41" t="n"/>
      <c r="E521" s="41" t="n"/>
      <c r="F521" s="41" t="n"/>
    </row>
    <row r="522" ht="15.75" customHeight="1" s="60">
      <c r="A522" s="41" t="n"/>
      <c r="B522" s="41" t="n"/>
      <c r="C522" s="41" t="n"/>
      <c r="D522" s="41" t="n"/>
      <c r="E522" s="41" t="n"/>
      <c r="F522" s="41" t="n"/>
    </row>
    <row r="523" ht="15.75" customHeight="1" s="60">
      <c r="A523" s="41" t="n"/>
      <c r="B523" s="41" t="n"/>
      <c r="C523" s="41" t="n"/>
      <c r="D523" s="41" t="n"/>
      <c r="E523" s="41" t="n"/>
      <c r="F523" s="41" t="n"/>
    </row>
    <row r="524" ht="15.75" customHeight="1" s="60">
      <c r="A524" s="41" t="n"/>
      <c r="B524" s="41" t="n"/>
      <c r="C524" s="41" t="n"/>
      <c r="D524" s="41" t="n"/>
      <c r="E524" s="41" t="n"/>
      <c r="F524" s="41" t="n"/>
    </row>
    <row r="525" ht="15.75" customHeight="1" s="60">
      <c r="A525" s="41" t="n"/>
      <c r="B525" s="41" t="n"/>
      <c r="C525" s="41" t="n"/>
      <c r="D525" s="41" t="n"/>
      <c r="E525" s="41" t="n"/>
      <c r="F525" s="41" t="n"/>
    </row>
    <row r="526" ht="15.75" customHeight="1" s="60">
      <c r="A526" s="41" t="n"/>
      <c r="B526" s="41" t="n"/>
      <c r="C526" s="41" t="n"/>
      <c r="D526" s="41" t="n"/>
      <c r="E526" s="41" t="n"/>
      <c r="F526" s="41" t="n"/>
    </row>
    <row r="527" ht="15.75" customHeight="1" s="60">
      <c r="A527" s="41" t="n"/>
      <c r="B527" s="41" t="n"/>
      <c r="C527" s="41" t="n"/>
      <c r="D527" s="41" t="n"/>
      <c r="E527" s="41" t="n"/>
      <c r="F527" s="41" t="n"/>
    </row>
    <row r="528" ht="15.75" customHeight="1" s="60">
      <c r="A528" s="41" t="n"/>
      <c r="B528" s="41" t="n"/>
      <c r="C528" s="41" t="n"/>
      <c r="D528" s="41" t="n"/>
      <c r="E528" s="41" t="n"/>
      <c r="F528" s="41" t="n"/>
    </row>
    <row r="529" ht="15.75" customHeight="1" s="60">
      <c r="A529" s="41" t="n"/>
      <c r="B529" s="41" t="n"/>
      <c r="C529" s="41" t="n"/>
      <c r="D529" s="41" t="n"/>
      <c r="E529" s="41" t="n"/>
      <c r="F529" s="41" t="n"/>
    </row>
    <row r="530" ht="15.75" customHeight="1" s="60">
      <c r="A530" s="41" t="n"/>
      <c r="B530" s="41" t="n"/>
      <c r="C530" s="41" t="n"/>
      <c r="D530" s="41" t="n"/>
      <c r="E530" s="41" t="n"/>
      <c r="F530" s="41" t="n"/>
    </row>
    <row r="531" ht="15.75" customHeight="1" s="60">
      <c r="A531" s="41" t="n"/>
      <c r="B531" s="41" t="n"/>
      <c r="C531" s="41" t="n"/>
      <c r="D531" s="41" t="n"/>
      <c r="E531" s="41" t="n"/>
      <c r="F531" s="41" t="n"/>
    </row>
    <row r="532" ht="15.75" customHeight="1" s="60">
      <c r="A532" s="41" t="n"/>
      <c r="B532" s="41" t="n"/>
      <c r="C532" s="41" t="n"/>
      <c r="D532" s="41" t="n"/>
      <c r="E532" s="41" t="n"/>
      <c r="F532" s="41" t="n"/>
    </row>
    <row r="533" ht="15.75" customHeight="1" s="60">
      <c r="A533" s="41" t="n"/>
      <c r="B533" s="41" t="n"/>
      <c r="C533" s="41" t="n"/>
      <c r="D533" s="41" t="n"/>
      <c r="E533" s="41" t="n"/>
      <c r="F533" s="41" t="n"/>
    </row>
    <row r="534" ht="15.75" customHeight="1" s="60">
      <c r="A534" s="41" t="n"/>
      <c r="B534" s="41" t="n"/>
      <c r="C534" s="41" t="n"/>
      <c r="D534" s="41" t="n"/>
      <c r="E534" s="41" t="n"/>
      <c r="F534" s="41" t="n"/>
    </row>
    <row r="535" ht="15.75" customHeight="1" s="60">
      <c r="A535" s="41" t="n"/>
      <c r="B535" s="41" t="n"/>
      <c r="C535" s="41" t="n"/>
      <c r="D535" s="41" t="n"/>
      <c r="E535" s="41" t="n"/>
      <c r="F535" s="41" t="n"/>
    </row>
    <row r="536" ht="15.75" customHeight="1" s="60">
      <c r="A536" s="41" t="n"/>
      <c r="B536" s="41" t="n"/>
      <c r="C536" s="41" t="n"/>
      <c r="D536" s="41" t="n"/>
      <c r="E536" s="41" t="n"/>
      <c r="F536" s="41" t="n"/>
    </row>
    <row r="537" ht="15.75" customHeight="1" s="60">
      <c r="A537" s="41" t="n"/>
      <c r="B537" s="41" t="n"/>
      <c r="C537" s="41" t="n"/>
      <c r="D537" s="41" t="n"/>
      <c r="E537" s="41" t="n"/>
      <c r="F537" s="41" t="n"/>
    </row>
    <row r="538" ht="15.75" customHeight="1" s="60">
      <c r="A538" s="41" t="n"/>
      <c r="B538" s="41" t="n"/>
      <c r="C538" s="41" t="n"/>
      <c r="D538" s="41" t="n"/>
      <c r="E538" s="41" t="n"/>
      <c r="F538" s="41" t="n"/>
    </row>
    <row r="539" ht="15.75" customHeight="1" s="60">
      <c r="A539" s="41" t="n"/>
      <c r="B539" s="41" t="n"/>
      <c r="C539" s="41" t="n"/>
      <c r="D539" s="41" t="n"/>
      <c r="E539" s="41" t="n"/>
      <c r="F539" s="41" t="n"/>
    </row>
    <row r="540" ht="15.75" customHeight="1" s="60">
      <c r="A540" s="41" t="n"/>
      <c r="B540" s="41" t="n"/>
      <c r="C540" s="41" t="n"/>
      <c r="D540" s="41" t="n"/>
      <c r="E540" s="41" t="n"/>
      <c r="F540" s="41" t="n"/>
    </row>
    <row r="541" ht="15.75" customHeight="1" s="60">
      <c r="A541" s="41" t="n"/>
      <c r="B541" s="41" t="n"/>
      <c r="C541" s="41" t="n"/>
      <c r="D541" s="41" t="n"/>
      <c r="E541" s="41" t="n"/>
      <c r="F541" s="41" t="n"/>
    </row>
    <row r="542" ht="15.75" customHeight="1" s="60">
      <c r="A542" s="41" t="n"/>
      <c r="B542" s="41" t="n"/>
      <c r="C542" s="41" t="n"/>
      <c r="D542" s="41" t="n"/>
      <c r="E542" s="41" t="n"/>
      <c r="F542" s="41" t="n"/>
    </row>
    <row r="543" ht="15.75" customHeight="1" s="60">
      <c r="A543" s="41" t="n"/>
      <c r="B543" s="41" t="n"/>
      <c r="C543" s="41" t="n"/>
      <c r="D543" s="41" t="n"/>
      <c r="E543" s="41" t="n"/>
      <c r="F543" s="41" t="n"/>
    </row>
    <row r="544" ht="15.75" customHeight="1" s="60">
      <c r="A544" s="41" t="n"/>
      <c r="B544" s="41" t="n"/>
      <c r="C544" s="41" t="n"/>
      <c r="D544" s="41" t="n"/>
      <c r="E544" s="41" t="n"/>
      <c r="F544" s="41" t="n"/>
    </row>
    <row r="545" ht="15.75" customHeight="1" s="60">
      <c r="A545" s="41" t="n"/>
      <c r="B545" s="41" t="n"/>
      <c r="C545" s="41" t="n"/>
      <c r="D545" s="41" t="n"/>
      <c r="E545" s="41" t="n"/>
      <c r="F545" s="41" t="n"/>
    </row>
    <row r="546" ht="15.75" customHeight="1" s="60">
      <c r="A546" s="41" t="n"/>
      <c r="B546" s="41" t="n"/>
      <c r="C546" s="41" t="n"/>
      <c r="D546" s="41" t="n"/>
      <c r="E546" s="41" t="n"/>
      <c r="F546" s="41" t="n"/>
    </row>
    <row r="547" ht="15.75" customHeight="1" s="60">
      <c r="A547" s="41" t="n"/>
      <c r="B547" s="41" t="n"/>
      <c r="C547" s="41" t="n"/>
      <c r="D547" s="41" t="n"/>
      <c r="E547" s="41" t="n"/>
      <c r="F547" s="41" t="n"/>
    </row>
    <row r="548" ht="15.75" customHeight="1" s="60">
      <c r="A548" s="41" t="n"/>
      <c r="B548" s="41" t="n"/>
      <c r="C548" s="41" t="n"/>
      <c r="D548" s="41" t="n"/>
      <c r="E548" s="41" t="n"/>
      <c r="F548" s="41" t="n"/>
    </row>
    <row r="549" ht="15.75" customHeight="1" s="60">
      <c r="A549" s="41" t="n"/>
      <c r="B549" s="41" t="n"/>
      <c r="C549" s="41" t="n"/>
      <c r="D549" s="41" t="n"/>
      <c r="E549" s="41" t="n"/>
      <c r="F549" s="41" t="n"/>
    </row>
    <row r="550" ht="15.75" customHeight="1" s="60">
      <c r="A550" s="41" t="n"/>
      <c r="B550" s="41" t="n"/>
      <c r="C550" s="41" t="n"/>
      <c r="D550" s="41" t="n"/>
      <c r="E550" s="41" t="n"/>
      <c r="F550" s="41" t="n"/>
    </row>
    <row r="551" ht="15.75" customHeight="1" s="60">
      <c r="A551" s="41" t="n"/>
      <c r="B551" s="41" t="n"/>
      <c r="C551" s="41" t="n"/>
      <c r="D551" s="41" t="n"/>
      <c r="E551" s="41" t="n"/>
      <c r="F551" s="41" t="n"/>
    </row>
    <row r="552" ht="15.75" customHeight="1" s="60">
      <c r="A552" s="41" t="n"/>
      <c r="B552" s="41" t="n"/>
      <c r="C552" s="41" t="n"/>
      <c r="D552" s="41" t="n"/>
      <c r="E552" s="41" t="n"/>
      <c r="F552" s="41" t="n"/>
    </row>
    <row r="553" ht="15.75" customHeight="1" s="60">
      <c r="A553" s="41" t="n"/>
      <c r="B553" s="41" t="n"/>
      <c r="C553" s="41" t="n"/>
      <c r="D553" s="41" t="n"/>
      <c r="E553" s="41" t="n"/>
      <c r="F553" s="41" t="n"/>
    </row>
    <row r="554" ht="15.75" customHeight="1" s="60">
      <c r="A554" s="41" t="n"/>
      <c r="B554" s="41" t="n"/>
      <c r="C554" s="41" t="n"/>
      <c r="D554" s="41" t="n"/>
      <c r="E554" s="41" t="n"/>
      <c r="F554" s="41" t="n"/>
    </row>
    <row r="555" ht="15.75" customHeight="1" s="60">
      <c r="A555" s="41" t="n"/>
      <c r="B555" s="41" t="n"/>
      <c r="C555" s="41" t="n"/>
      <c r="D555" s="41" t="n"/>
      <c r="E555" s="41" t="n"/>
      <c r="F555" s="41" t="n"/>
    </row>
    <row r="556" ht="15.75" customHeight="1" s="60">
      <c r="A556" s="41" t="n"/>
      <c r="B556" s="41" t="n"/>
      <c r="C556" s="41" t="n"/>
      <c r="D556" s="41" t="n"/>
      <c r="E556" s="41" t="n"/>
      <c r="F556" s="41" t="n"/>
    </row>
    <row r="557" ht="15.75" customHeight="1" s="60">
      <c r="A557" s="41" t="n"/>
      <c r="B557" s="41" t="n"/>
      <c r="C557" s="41" t="n"/>
      <c r="D557" s="41" t="n"/>
      <c r="E557" s="41" t="n"/>
      <c r="F557" s="41" t="n"/>
    </row>
    <row r="558" ht="15.75" customHeight="1" s="60">
      <c r="A558" s="41" t="n"/>
      <c r="B558" s="41" t="n"/>
      <c r="C558" s="41" t="n"/>
      <c r="D558" s="41" t="n"/>
      <c r="E558" s="41" t="n"/>
      <c r="F558" s="41" t="n"/>
    </row>
    <row r="559" ht="15.75" customHeight="1" s="60">
      <c r="A559" s="41" t="n"/>
      <c r="B559" s="41" t="n"/>
      <c r="C559" s="41" t="n"/>
      <c r="D559" s="41" t="n"/>
      <c r="E559" s="41" t="n"/>
      <c r="F559" s="41" t="n"/>
    </row>
    <row r="560" ht="15.75" customHeight="1" s="60">
      <c r="A560" s="41" t="n"/>
      <c r="B560" s="41" t="n"/>
      <c r="C560" s="41" t="n"/>
      <c r="D560" s="41" t="n"/>
      <c r="E560" s="41" t="n"/>
      <c r="F560" s="41" t="n"/>
    </row>
    <row r="561" ht="15.75" customHeight="1" s="60">
      <c r="A561" s="41" t="n"/>
      <c r="B561" s="41" t="n"/>
      <c r="C561" s="41" t="n"/>
      <c r="D561" s="41" t="n"/>
      <c r="E561" s="41" t="n"/>
      <c r="F561" s="41" t="n"/>
    </row>
    <row r="562" ht="15.75" customHeight="1" s="60">
      <c r="A562" s="41" t="n"/>
      <c r="B562" s="41" t="n"/>
      <c r="C562" s="41" t="n"/>
      <c r="D562" s="41" t="n"/>
      <c r="E562" s="41" t="n"/>
      <c r="F562" s="41" t="n"/>
    </row>
    <row r="563" ht="15.75" customHeight="1" s="60">
      <c r="A563" s="41" t="n"/>
      <c r="B563" s="41" t="n"/>
      <c r="C563" s="41" t="n"/>
      <c r="D563" s="41" t="n"/>
      <c r="E563" s="41" t="n"/>
      <c r="F563" s="41" t="n"/>
    </row>
    <row r="564" ht="15.75" customHeight="1" s="60">
      <c r="A564" s="41" t="n"/>
      <c r="B564" s="41" t="n"/>
      <c r="C564" s="41" t="n"/>
      <c r="D564" s="41" t="n"/>
      <c r="E564" s="41" t="n"/>
      <c r="F564" s="41" t="n"/>
    </row>
    <row r="565" ht="15.75" customHeight="1" s="60">
      <c r="A565" s="41" t="n"/>
      <c r="B565" s="41" t="n"/>
      <c r="C565" s="41" t="n"/>
      <c r="D565" s="41" t="n"/>
      <c r="E565" s="41" t="n"/>
      <c r="F565" s="41" t="n"/>
    </row>
    <row r="566" ht="15.75" customHeight="1" s="60">
      <c r="A566" s="41" t="n"/>
      <c r="B566" s="41" t="n"/>
      <c r="C566" s="41" t="n"/>
      <c r="D566" s="41" t="n"/>
      <c r="E566" s="41" t="n"/>
      <c r="F566" s="41" t="n"/>
    </row>
    <row r="567" ht="15.75" customHeight="1" s="60">
      <c r="A567" s="41" t="n"/>
      <c r="B567" s="41" t="n"/>
      <c r="C567" s="41" t="n"/>
      <c r="D567" s="41" t="n"/>
      <c r="E567" s="41" t="n"/>
      <c r="F567" s="41" t="n"/>
    </row>
    <row r="568" ht="15.75" customHeight="1" s="60">
      <c r="A568" s="41" t="n"/>
      <c r="B568" s="41" t="n"/>
      <c r="C568" s="41" t="n"/>
      <c r="D568" s="41" t="n"/>
      <c r="E568" s="41" t="n"/>
      <c r="F568" s="41" t="n"/>
    </row>
    <row r="569" ht="15.75" customHeight="1" s="60">
      <c r="A569" s="41" t="n"/>
      <c r="B569" s="41" t="n"/>
      <c r="C569" s="41" t="n"/>
      <c r="D569" s="41" t="n"/>
      <c r="E569" s="41" t="n"/>
      <c r="F569" s="41" t="n"/>
    </row>
    <row r="570" ht="15.75" customHeight="1" s="60">
      <c r="A570" s="41" t="n"/>
      <c r="B570" s="41" t="n"/>
      <c r="C570" s="41" t="n"/>
      <c r="D570" s="41" t="n"/>
      <c r="E570" s="41" t="n"/>
      <c r="F570" s="41" t="n"/>
    </row>
    <row r="571" ht="15.75" customHeight="1" s="60">
      <c r="A571" s="41" t="n"/>
      <c r="B571" s="41" t="n"/>
      <c r="C571" s="41" t="n"/>
      <c r="D571" s="41" t="n"/>
      <c r="E571" s="41" t="n"/>
      <c r="F571" s="41" t="n"/>
    </row>
    <row r="572" ht="15.75" customHeight="1" s="60">
      <c r="A572" s="41" t="n"/>
      <c r="B572" s="41" t="n"/>
      <c r="C572" s="41" t="n"/>
      <c r="D572" s="41" t="n"/>
      <c r="E572" s="41" t="n"/>
      <c r="F572" s="41" t="n"/>
    </row>
    <row r="573" ht="15.75" customHeight="1" s="60">
      <c r="A573" s="41" t="n"/>
      <c r="B573" s="41" t="n"/>
      <c r="C573" s="41" t="n"/>
      <c r="D573" s="41" t="n"/>
      <c r="E573" s="41" t="n"/>
      <c r="F573" s="41" t="n"/>
    </row>
    <row r="574" ht="15.75" customHeight="1" s="60">
      <c r="A574" s="41" t="n"/>
      <c r="B574" s="41" t="n"/>
      <c r="C574" s="41" t="n"/>
      <c r="D574" s="41" t="n"/>
      <c r="E574" s="41" t="n"/>
      <c r="F574" s="41" t="n"/>
    </row>
    <row r="575" ht="15.75" customHeight="1" s="60">
      <c r="A575" s="41" t="n"/>
      <c r="B575" s="41" t="n"/>
      <c r="C575" s="41" t="n"/>
      <c r="D575" s="41" t="n"/>
      <c r="E575" s="41" t="n"/>
      <c r="F575" s="41" t="n"/>
    </row>
    <row r="576" ht="15.75" customHeight="1" s="60">
      <c r="A576" s="41" t="n"/>
      <c r="B576" s="41" t="n"/>
      <c r="C576" s="41" t="n"/>
      <c r="D576" s="41" t="n"/>
      <c r="E576" s="41" t="n"/>
      <c r="F576" s="41" t="n"/>
    </row>
    <row r="577" ht="15.75" customHeight="1" s="60">
      <c r="A577" s="41" t="n"/>
      <c r="B577" s="41" t="n"/>
      <c r="C577" s="41" t="n"/>
      <c r="D577" s="41" t="n"/>
      <c r="E577" s="41" t="n"/>
      <c r="F577" s="41" t="n"/>
    </row>
    <row r="578" ht="15.75" customHeight="1" s="60">
      <c r="A578" s="41" t="n"/>
      <c r="B578" s="41" t="n"/>
      <c r="C578" s="41" t="n"/>
      <c r="D578" s="41" t="n"/>
      <c r="E578" s="41" t="n"/>
      <c r="F578" s="41" t="n"/>
    </row>
    <row r="579" ht="15.75" customHeight="1" s="60">
      <c r="A579" s="41" t="n"/>
      <c r="B579" s="41" t="n"/>
      <c r="C579" s="41" t="n"/>
      <c r="D579" s="41" t="n"/>
      <c r="E579" s="41" t="n"/>
      <c r="F579" s="41" t="n"/>
    </row>
    <row r="580" ht="15.75" customHeight="1" s="60">
      <c r="A580" s="41" t="n"/>
      <c r="B580" s="41" t="n"/>
      <c r="C580" s="41" t="n"/>
      <c r="D580" s="41" t="n"/>
      <c r="E580" s="41" t="n"/>
      <c r="F580" s="41" t="n"/>
    </row>
    <row r="581" ht="15.75" customHeight="1" s="60">
      <c r="A581" s="41" t="n"/>
      <c r="B581" s="41" t="n"/>
      <c r="C581" s="41" t="n"/>
      <c r="D581" s="41" t="n"/>
      <c r="E581" s="41" t="n"/>
      <c r="F581" s="41" t="n"/>
    </row>
    <row r="582" ht="15.75" customHeight="1" s="60">
      <c r="A582" s="41" t="n"/>
      <c r="B582" s="41" t="n"/>
      <c r="C582" s="41" t="n"/>
      <c r="D582" s="41" t="n"/>
      <c r="E582" s="41" t="n"/>
      <c r="F582" s="41" t="n"/>
    </row>
    <row r="583" ht="15.75" customHeight="1" s="60">
      <c r="A583" s="41" t="n"/>
      <c r="B583" s="41" t="n"/>
      <c r="C583" s="41" t="n"/>
      <c r="D583" s="41" t="n"/>
      <c r="E583" s="41" t="n"/>
      <c r="F583" s="41" t="n"/>
    </row>
    <row r="584" ht="15.75" customHeight="1" s="60">
      <c r="A584" s="41" t="n"/>
      <c r="B584" s="41" t="n"/>
      <c r="C584" s="41" t="n"/>
      <c r="D584" s="41" t="n"/>
      <c r="E584" s="41" t="n"/>
      <c r="F584" s="41" t="n"/>
    </row>
    <row r="585" ht="15.75" customHeight="1" s="60">
      <c r="A585" s="41" t="n"/>
      <c r="B585" s="41" t="n"/>
      <c r="C585" s="41" t="n"/>
      <c r="D585" s="41" t="n"/>
      <c r="E585" s="41" t="n"/>
      <c r="F585" s="41" t="n"/>
    </row>
    <row r="586" ht="15.75" customHeight="1" s="60">
      <c r="A586" s="41" t="n"/>
      <c r="B586" s="41" t="n"/>
      <c r="C586" s="41" t="n"/>
      <c r="D586" s="41" t="n"/>
      <c r="E586" s="41" t="n"/>
      <c r="F586" s="41" t="n"/>
    </row>
    <row r="587" ht="15.75" customHeight="1" s="60">
      <c r="A587" s="41" t="n"/>
      <c r="B587" s="41" t="n"/>
      <c r="C587" s="41" t="n"/>
      <c r="D587" s="41" t="n"/>
      <c r="E587" s="41" t="n"/>
      <c r="F587" s="41" t="n"/>
    </row>
    <row r="588" ht="15.75" customHeight="1" s="60">
      <c r="A588" s="41" t="n"/>
      <c r="B588" s="41" t="n"/>
      <c r="C588" s="41" t="n"/>
      <c r="D588" s="41" t="n"/>
      <c r="E588" s="41" t="n"/>
      <c r="F588" s="41" t="n"/>
    </row>
    <row r="589" ht="15.75" customHeight="1" s="60">
      <c r="A589" s="41" t="n"/>
      <c r="B589" s="41" t="n"/>
      <c r="C589" s="41" t="n"/>
      <c r="D589" s="41" t="n"/>
      <c r="E589" s="41" t="n"/>
      <c r="F589" s="41" t="n"/>
    </row>
    <row r="590" ht="15.75" customHeight="1" s="60">
      <c r="A590" s="41" t="n"/>
      <c r="B590" s="41" t="n"/>
      <c r="C590" s="41" t="n"/>
      <c r="D590" s="41" t="n"/>
      <c r="E590" s="41" t="n"/>
      <c r="F590" s="41" t="n"/>
    </row>
    <row r="591" ht="15.75" customHeight="1" s="60">
      <c r="A591" s="41" t="n"/>
      <c r="B591" s="41" t="n"/>
      <c r="C591" s="41" t="n"/>
      <c r="D591" s="41" t="n"/>
      <c r="E591" s="41" t="n"/>
      <c r="F591" s="41" t="n"/>
    </row>
    <row r="592" ht="15.75" customHeight="1" s="60">
      <c r="A592" s="41" t="n"/>
      <c r="B592" s="41" t="n"/>
      <c r="C592" s="41" t="n"/>
      <c r="D592" s="41" t="n"/>
      <c r="E592" s="41" t="n"/>
      <c r="F592" s="41" t="n"/>
    </row>
    <row r="593" ht="15.75" customHeight="1" s="60">
      <c r="A593" s="41" t="n"/>
      <c r="B593" s="41" t="n"/>
      <c r="C593" s="41" t="n"/>
      <c r="D593" s="41" t="n"/>
      <c r="E593" s="41" t="n"/>
      <c r="F593" s="41" t="n"/>
    </row>
    <row r="594" ht="15.75" customHeight="1" s="60">
      <c r="A594" s="41" t="n"/>
      <c r="B594" s="41" t="n"/>
      <c r="C594" s="41" t="n"/>
      <c r="D594" s="41" t="n"/>
      <c r="E594" s="41" t="n"/>
      <c r="F594" s="41" t="n"/>
    </row>
    <row r="595" ht="15.75" customHeight="1" s="60">
      <c r="A595" s="41" t="n"/>
      <c r="B595" s="41" t="n"/>
      <c r="C595" s="41" t="n"/>
      <c r="D595" s="41" t="n"/>
      <c r="E595" s="41" t="n"/>
      <c r="F595" s="41" t="n"/>
    </row>
    <row r="596" ht="15.75" customHeight="1" s="60">
      <c r="A596" s="41" t="n"/>
      <c r="B596" s="41" t="n"/>
      <c r="C596" s="41" t="n"/>
      <c r="D596" s="41" t="n"/>
      <c r="E596" s="41" t="n"/>
      <c r="F596" s="41" t="n"/>
    </row>
    <row r="597" ht="15.75" customHeight="1" s="60">
      <c r="A597" s="41" t="n"/>
      <c r="B597" s="41" t="n"/>
      <c r="C597" s="41" t="n"/>
      <c r="D597" s="41" t="n"/>
      <c r="E597" s="41" t="n"/>
      <c r="F597" s="41" t="n"/>
    </row>
    <row r="598" ht="15.75" customHeight="1" s="60">
      <c r="A598" s="41" t="n"/>
      <c r="B598" s="41" t="n"/>
      <c r="C598" s="41" t="n"/>
      <c r="D598" s="41" t="n"/>
      <c r="E598" s="41" t="n"/>
      <c r="F598" s="41" t="n"/>
    </row>
    <row r="599" ht="15.75" customHeight="1" s="60">
      <c r="A599" s="41" t="n"/>
      <c r="B599" s="41" t="n"/>
      <c r="C599" s="41" t="n"/>
      <c r="D599" s="41" t="n"/>
      <c r="E599" s="41" t="n"/>
      <c r="F599" s="41" t="n"/>
    </row>
    <row r="600" ht="15.75" customHeight="1" s="60">
      <c r="A600" s="41" t="n"/>
      <c r="B600" s="41" t="n"/>
      <c r="C600" s="41" t="n"/>
      <c r="D600" s="41" t="n"/>
      <c r="E600" s="41" t="n"/>
      <c r="F600" s="41" t="n"/>
    </row>
    <row r="601" ht="15.75" customHeight="1" s="60">
      <c r="A601" s="41" t="n"/>
      <c r="B601" s="41" t="n"/>
      <c r="C601" s="41" t="n"/>
      <c r="D601" s="41" t="n"/>
      <c r="E601" s="41" t="n"/>
      <c r="F601" s="41" t="n"/>
    </row>
    <row r="602" ht="15.75" customHeight="1" s="60">
      <c r="A602" s="41" t="n"/>
      <c r="B602" s="41" t="n"/>
      <c r="C602" s="41" t="n"/>
      <c r="D602" s="41" t="n"/>
      <c r="E602" s="41" t="n"/>
      <c r="F602" s="41" t="n"/>
    </row>
    <row r="603" ht="15.75" customHeight="1" s="60">
      <c r="A603" s="41" t="n"/>
      <c r="B603" s="41" t="n"/>
      <c r="C603" s="41" t="n"/>
      <c r="D603" s="41" t="n"/>
      <c r="E603" s="41" t="n"/>
      <c r="F603" s="41" t="n"/>
    </row>
    <row r="604" ht="15.75" customHeight="1" s="60">
      <c r="A604" s="41" t="n"/>
      <c r="B604" s="41" t="n"/>
      <c r="C604" s="41" t="n"/>
      <c r="D604" s="41" t="n"/>
      <c r="E604" s="41" t="n"/>
      <c r="F604" s="41" t="n"/>
    </row>
    <row r="605" ht="15.75" customHeight="1" s="60">
      <c r="A605" s="41" t="n"/>
      <c r="B605" s="41" t="n"/>
      <c r="C605" s="41" t="n"/>
      <c r="D605" s="41" t="n"/>
      <c r="E605" s="41" t="n"/>
      <c r="F605" s="41" t="n"/>
    </row>
    <row r="606" ht="15.75" customHeight="1" s="60">
      <c r="A606" s="41" t="n"/>
      <c r="B606" s="41" t="n"/>
      <c r="C606" s="41" t="n"/>
      <c r="D606" s="41" t="n"/>
      <c r="E606" s="41" t="n"/>
      <c r="F606" s="41" t="n"/>
    </row>
    <row r="607" ht="15.75" customHeight="1" s="60">
      <c r="A607" s="41" t="n"/>
      <c r="B607" s="41" t="n"/>
      <c r="C607" s="41" t="n"/>
      <c r="D607" s="41" t="n"/>
      <c r="E607" s="41" t="n"/>
      <c r="F607" s="41" t="n"/>
    </row>
    <row r="608" ht="15.75" customHeight="1" s="60">
      <c r="A608" s="41" t="n"/>
      <c r="B608" s="41" t="n"/>
      <c r="C608" s="41" t="n"/>
      <c r="D608" s="41" t="n"/>
      <c r="E608" s="41" t="n"/>
      <c r="F608" s="41" t="n"/>
    </row>
    <row r="609" ht="15.75" customHeight="1" s="60">
      <c r="A609" s="41" t="n"/>
      <c r="B609" s="41" t="n"/>
      <c r="C609" s="41" t="n"/>
      <c r="D609" s="41" t="n"/>
      <c r="E609" s="41" t="n"/>
      <c r="F609" s="41" t="n"/>
    </row>
    <row r="610" ht="15.75" customHeight="1" s="60">
      <c r="A610" s="41" t="n"/>
      <c r="B610" s="41" t="n"/>
      <c r="C610" s="41" t="n"/>
      <c r="D610" s="41" t="n"/>
      <c r="E610" s="41" t="n"/>
      <c r="F610" s="41" t="n"/>
    </row>
    <row r="611" ht="15.75" customHeight="1" s="60">
      <c r="A611" s="41" t="n"/>
      <c r="B611" s="41" t="n"/>
      <c r="C611" s="41" t="n"/>
      <c r="D611" s="41" t="n"/>
      <c r="E611" s="41" t="n"/>
      <c r="F611" s="41" t="n"/>
    </row>
    <row r="612" ht="15.75" customHeight="1" s="60">
      <c r="A612" s="41" t="n"/>
      <c r="B612" s="41" t="n"/>
      <c r="C612" s="41" t="n"/>
      <c r="D612" s="41" t="n"/>
      <c r="E612" s="41" t="n"/>
      <c r="F612" s="41" t="n"/>
    </row>
    <row r="613" ht="15.75" customHeight="1" s="60">
      <c r="A613" s="41" t="n"/>
      <c r="B613" s="41" t="n"/>
      <c r="C613" s="41" t="n"/>
      <c r="D613" s="41" t="n"/>
      <c r="E613" s="41" t="n"/>
      <c r="F613" s="41" t="n"/>
    </row>
    <row r="614" ht="15.75" customHeight="1" s="60">
      <c r="A614" s="41" t="n"/>
      <c r="B614" s="41" t="n"/>
      <c r="C614" s="41" t="n"/>
      <c r="D614" s="41" t="n"/>
      <c r="E614" s="41" t="n"/>
      <c r="F614" s="41" t="n"/>
    </row>
    <row r="615" ht="15.75" customHeight="1" s="60">
      <c r="A615" s="41" t="n"/>
      <c r="B615" s="41" t="n"/>
      <c r="C615" s="41" t="n"/>
      <c r="D615" s="41" t="n"/>
      <c r="E615" s="41" t="n"/>
      <c r="F615" s="41" t="n"/>
    </row>
    <row r="616" ht="15.75" customHeight="1" s="60">
      <c r="A616" s="41" t="n"/>
      <c r="B616" s="41" t="n"/>
      <c r="C616" s="41" t="n"/>
      <c r="D616" s="41" t="n"/>
      <c r="E616" s="41" t="n"/>
      <c r="F616" s="41" t="n"/>
    </row>
    <row r="617" ht="15.75" customHeight="1" s="60">
      <c r="A617" s="41" t="n"/>
      <c r="B617" s="41" t="n"/>
      <c r="C617" s="41" t="n"/>
      <c r="D617" s="41" t="n"/>
      <c r="E617" s="41" t="n"/>
      <c r="F617" s="41" t="n"/>
    </row>
    <row r="618" ht="15.75" customHeight="1" s="60">
      <c r="A618" s="41" t="n"/>
      <c r="B618" s="41" t="n"/>
      <c r="C618" s="41" t="n"/>
      <c r="D618" s="41" t="n"/>
      <c r="E618" s="41" t="n"/>
      <c r="F618" s="41" t="n"/>
    </row>
    <row r="619" ht="15.75" customHeight="1" s="60">
      <c r="A619" s="41" t="n"/>
      <c r="B619" s="41" t="n"/>
      <c r="C619" s="41" t="n"/>
      <c r="D619" s="41" t="n"/>
      <c r="E619" s="41" t="n"/>
      <c r="F619" s="41" t="n"/>
    </row>
    <row r="620" ht="15.75" customHeight="1" s="60">
      <c r="A620" s="41" t="n"/>
      <c r="B620" s="41" t="n"/>
      <c r="C620" s="41" t="n"/>
      <c r="D620" s="41" t="n"/>
      <c r="E620" s="41" t="n"/>
      <c r="F620" s="41" t="n"/>
    </row>
    <row r="621" ht="15.75" customHeight="1" s="60">
      <c r="A621" s="41" t="n"/>
      <c r="B621" s="41" t="n"/>
      <c r="C621" s="41" t="n"/>
      <c r="D621" s="41" t="n"/>
      <c r="E621" s="41" t="n"/>
      <c r="F621" s="41" t="n"/>
    </row>
    <row r="622" ht="15.75" customHeight="1" s="60">
      <c r="A622" s="41" t="n"/>
      <c r="B622" s="41" t="n"/>
      <c r="C622" s="41" t="n"/>
      <c r="D622" s="41" t="n"/>
      <c r="E622" s="41" t="n"/>
      <c r="F622" s="41" t="n"/>
    </row>
    <row r="623" ht="15.75" customHeight="1" s="60">
      <c r="A623" s="41" t="n"/>
      <c r="B623" s="41" t="n"/>
      <c r="C623" s="41" t="n"/>
      <c r="D623" s="41" t="n"/>
      <c r="E623" s="41" t="n"/>
      <c r="F623" s="41" t="n"/>
    </row>
    <row r="624" ht="15.75" customHeight="1" s="60">
      <c r="A624" s="41" t="n"/>
      <c r="B624" s="41" t="n"/>
      <c r="C624" s="41" t="n"/>
      <c r="D624" s="41" t="n"/>
      <c r="E624" s="41" t="n"/>
      <c r="F624" s="41" t="n"/>
    </row>
    <row r="625" ht="15.75" customHeight="1" s="60">
      <c r="A625" s="41" t="n"/>
      <c r="B625" s="41" t="n"/>
      <c r="C625" s="41" t="n"/>
      <c r="D625" s="41" t="n"/>
      <c r="E625" s="41" t="n"/>
      <c r="F625" s="41" t="n"/>
    </row>
    <row r="626" ht="15.75" customHeight="1" s="60">
      <c r="A626" s="41" t="n"/>
      <c r="B626" s="41" t="n"/>
      <c r="C626" s="41" t="n"/>
      <c r="D626" s="41" t="n"/>
      <c r="E626" s="41" t="n"/>
      <c r="F626" s="41" t="n"/>
    </row>
    <row r="627" ht="15.75" customHeight="1" s="60">
      <c r="A627" s="41" t="n"/>
      <c r="B627" s="41" t="n"/>
      <c r="C627" s="41" t="n"/>
      <c r="D627" s="41" t="n"/>
      <c r="E627" s="41" t="n"/>
      <c r="F627" s="41" t="n"/>
    </row>
    <row r="628" ht="15.75" customHeight="1" s="60">
      <c r="A628" s="41" t="n"/>
      <c r="B628" s="41" t="n"/>
      <c r="C628" s="41" t="n"/>
      <c r="D628" s="41" t="n"/>
      <c r="E628" s="41" t="n"/>
      <c r="F628" s="41" t="n"/>
    </row>
    <row r="629" ht="15.75" customHeight="1" s="60">
      <c r="A629" s="41" t="n"/>
      <c r="B629" s="41" t="n"/>
      <c r="C629" s="41" t="n"/>
      <c r="D629" s="41" t="n"/>
      <c r="E629" s="41" t="n"/>
      <c r="F629" s="41" t="n"/>
    </row>
    <row r="630" ht="15.75" customHeight="1" s="60">
      <c r="A630" s="41" t="n"/>
      <c r="B630" s="41" t="n"/>
      <c r="C630" s="41" t="n"/>
      <c r="D630" s="41" t="n"/>
      <c r="E630" s="41" t="n"/>
      <c r="F630" s="41" t="n"/>
    </row>
    <row r="631" ht="15.75" customHeight="1" s="60">
      <c r="A631" s="41" t="n"/>
      <c r="B631" s="41" t="n"/>
      <c r="C631" s="41" t="n"/>
      <c r="D631" s="41" t="n"/>
      <c r="E631" s="41" t="n"/>
      <c r="F631" s="41" t="n"/>
    </row>
    <row r="632" ht="15.75" customHeight="1" s="60">
      <c r="A632" s="41" t="n"/>
      <c r="B632" s="41" t="n"/>
      <c r="C632" s="41" t="n"/>
      <c r="D632" s="41" t="n"/>
      <c r="E632" s="41" t="n"/>
      <c r="F632" s="41" t="n"/>
    </row>
    <row r="633" ht="15.75" customHeight="1" s="60">
      <c r="A633" s="41" t="n"/>
      <c r="B633" s="41" t="n"/>
      <c r="C633" s="41" t="n"/>
      <c r="D633" s="41" t="n"/>
      <c r="E633" s="41" t="n"/>
      <c r="F633" s="41" t="n"/>
    </row>
    <row r="634" ht="15.75" customHeight="1" s="60">
      <c r="A634" s="41" t="n"/>
      <c r="B634" s="41" t="n"/>
      <c r="C634" s="41" t="n"/>
      <c r="D634" s="41" t="n"/>
      <c r="E634" s="41" t="n"/>
      <c r="F634" s="41" t="n"/>
    </row>
    <row r="635" ht="15.75" customHeight="1" s="60">
      <c r="A635" s="41" t="n"/>
      <c r="B635" s="41" t="n"/>
      <c r="C635" s="41" t="n"/>
      <c r="D635" s="41" t="n"/>
      <c r="E635" s="41" t="n"/>
      <c r="F635" s="41" t="n"/>
    </row>
    <row r="636" ht="15.75" customHeight="1" s="60">
      <c r="A636" s="41" t="n"/>
      <c r="B636" s="41" t="n"/>
      <c r="C636" s="41" t="n"/>
      <c r="D636" s="41" t="n"/>
      <c r="E636" s="41" t="n"/>
      <c r="F636" s="41" t="n"/>
    </row>
    <row r="637" ht="15.75" customHeight="1" s="60">
      <c r="A637" s="41" t="n"/>
      <c r="B637" s="41" t="n"/>
      <c r="C637" s="41" t="n"/>
      <c r="D637" s="41" t="n"/>
      <c r="E637" s="41" t="n"/>
      <c r="F637" s="41" t="n"/>
    </row>
    <row r="638" ht="15.75" customHeight="1" s="60">
      <c r="A638" s="41" t="n"/>
      <c r="B638" s="41" t="n"/>
      <c r="C638" s="41" t="n"/>
      <c r="D638" s="41" t="n"/>
      <c r="E638" s="41" t="n"/>
      <c r="F638" s="41" t="n"/>
    </row>
    <row r="639" ht="15.75" customHeight="1" s="60">
      <c r="A639" s="41" t="n"/>
      <c r="B639" s="41" t="n"/>
      <c r="C639" s="41" t="n"/>
      <c r="D639" s="41" t="n"/>
      <c r="E639" s="41" t="n"/>
      <c r="F639" s="41" t="n"/>
    </row>
    <row r="640" ht="15.75" customHeight="1" s="60">
      <c r="A640" s="41" t="n"/>
      <c r="B640" s="41" t="n"/>
      <c r="C640" s="41" t="n"/>
      <c r="D640" s="41" t="n"/>
      <c r="E640" s="41" t="n"/>
      <c r="F640" s="41" t="n"/>
    </row>
    <row r="641" ht="15.75" customHeight="1" s="60">
      <c r="A641" s="41" t="n"/>
      <c r="B641" s="41" t="n"/>
      <c r="C641" s="41" t="n"/>
      <c r="D641" s="41" t="n"/>
      <c r="E641" s="41" t="n"/>
      <c r="F641" s="41" t="n"/>
    </row>
    <row r="642" ht="15.75" customHeight="1" s="60">
      <c r="A642" s="41" t="n"/>
      <c r="B642" s="41" t="n"/>
      <c r="C642" s="41" t="n"/>
      <c r="D642" s="41" t="n"/>
      <c r="E642" s="41" t="n"/>
      <c r="F642" s="41" t="n"/>
    </row>
    <row r="643" ht="15.75" customHeight="1" s="60">
      <c r="A643" s="41" t="n"/>
      <c r="B643" s="41" t="n"/>
      <c r="C643" s="41" t="n"/>
      <c r="D643" s="41" t="n"/>
      <c r="E643" s="41" t="n"/>
      <c r="F643" s="41" t="n"/>
    </row>
    <row r="644" ht="15.75" customHeight="1" s="60">
      <c r="A644" s="41" t="n"/>
      <c r="B644" s="41" t="n"/>
      <c r="C644" s="41" t="n"/>
      <c r="D644" s="41" t="n"/>
      <c r="E644" s="41" t="n"/>
      <c r="F644" s="41" t="n"/>
    </row>
    <row r="645" ht="15.75" customHeight="1" s="60">
      <c r="A645" s="41" t="n"/>
      <c r="B645" s="41" t="n"/>
      <c r="C645" s="41" t="n"/>
      <c r="D645" s="41" t="n"/>
      <c r="E645" s="41" t="n"/>
      <c r="F645" s="41" t="n"/>
    </row>
    <row r="646" ht="15.75" customHeight="1" s="60">
      <c r="A646" s="41" t="n"/>
      <c r="B646" s="41" t="n"/>
      <c r="C646" s="41" t="n"/>
      <c r="D646" s="41" t="n"/>
      <c r="E646" s="41" t="n"/>
      <c r="F646" s="41" t="n"/>
    </row>
    <row r="647" ht="15.75" customHeight="1" s="60">
      <c r="A647" s="41" t="n"/>
      <c r="B647" s="41" t="n"/>
      <c r="C647" s="41" t="n"/>
      <c r="D647" s="41" t="n"/>
      <c r="E647" s="41" t="n"/>
      <c r="F647" s="41" t="n"/>
    </row>
    <row r="648" ht="15.75" customHeight="1" s="60">
      <c r="A648" s="41" t="n"/>
      <c r="B648" s="41" t="n"/>
      <c r="C648" s="41" t="n"/>
      <c r="D648" s="41" t="n"/>
      <c r="E648" s="41" t="n"/>
      <c r="F648" s="41" t="n"/>
    </row>
    <row r="649" ht="15.75" customHeight="1" s="60">
      <c r="A649" s="41" t="n"/>
      <c r="B649" s="41" t="n"/>
      <c r="C649" s="41" t="n"/>
      <c r="D649" s="41" t="n"/>
      <c r="E649" s="41" t="n"/>
      <c r="F649" s="41" t="n"/>
    </row>
    <row r="650" ht="15.75" customHeight="1" s="60">
      <c r="A650" s="41" t="n"/>
      <c r="B650" s="41" t="n"/>
      <c r="C650" s="41" t="n"/>
      <c r="D650" s="41" t="n"/>
      <c r="E650" s="41" t="n"/>
      <c r="F650" s="41" t="n"/>
    </row>
    <row r="651" ht="15.75" customHeight="1" s="60">
      <c r="A651" s="41" t="n"/>
      <c r="B651" s="41" t="n"/>
      <c r="C651" s="41" t="n"/>
      <c r="D651" s="41" t="n"/>
      <c r="E651" s="41" t="n"/>
      <c r="F651" s="41" t="n"/>
    </row>
    <row r="652" ht="15.75" customHeight="1" s="60">
      <c r="A652" s="41" t="n"/>
      <c r="B652" s="41" t="n"/>
      <c r="C652" s="41" t="n"/>
      <c r="D652" s="41" t="n"/>
      <c r="E652" s="41" t="n"/>
      <c r="F652" s="41" t="n"/>
    </row>
    <row r="653" ht="15.75" customHeight="1" s="60">
      <c r="A653" s="41" t="n"/>
      <c r="B653" s="41" t="n"/>
      <c r="C653" s="41" t="n"/>
      <c r="D653" s="41" t="n"/>
      <c r="E653" s="41" t="n"/>
      <c r="F653" s="41" t="n"/>
    </row>
    <row r="654" ht="15.75" customHeight="1" s="60">
      <c r="A654" s="41" t="n"/>
      <c r="B654" s="41" t="n"/>
      <c r="C654" s="41" t="n"/>
      <c r="D654" s="41" t="n"/>
      <c r="E654" s="41" t="n"/>
      <c r="F654" s="41" t="n"/>
    </row>
    <row r="655" ht="15.75" customHeight="1" s="60">
      <c r="A655" s="41" t="n"/>
      <c r="B655" s="41" t="n"/>
      <c r="C655" s="41" t="n"/>
      <c r="D655" s="41" t="n"/>
      <c r="E655" s="41" t="n"/>
      <c r="F655" s="41" t="n"/>
    </row>
    <row r="656" ht="15.75" customHeight="1" s="60">
      <c r="A656" s="41" t="n"/>
      <c r="B656" s="41" t="n"/>
      <c r="C656" s="41" t="n"/>
      <c r="D656" s="41" t="n"/>
      <c r="E656" s="41" t="n"/>
      <c r="F656" s="41" t="n"/>
    </row>
    <row r="657" ht="15.75" customHeight="1" s="60">
      <c r="A657" s="41" t="n"/>
      <c r="B657" s="41" t="n"/>
      <c r="C657" s="41" t="n"/>
      <c r="D657" s="41" t="n"/>
      <c r="E657" s="41" t="n"/>
      <c r="F657" s="41" t="n"/>
    </row>
    <row r="658" ht="15.75" customHeight="1" s="60">
      <c r="A658" s="41" t="n"/>
      <c r="B658" s="41" t="n"/>
      <c r="C658" s="41" t="n"/>
      <c r="D658" s="41" t="n"/>
      <c r="E658" s="41" t="n"/>
      <c r="F658" s="41" t="n"/>
    </row>
    <row r="659" ht="15.75" customHeight="1" s="60">
      <c r="A659" s="41" t="n"/>
      <c r="B659" s="41" t="n"/>
      <c r="C659" s="41" t="n"/>
      <c r="D659" s="41" t="n"/>
      <c r="E659" s="41" t="n"/>
      <c r="F659" s="41" t="n"/>
    </row>
    <row r="660" ht="15.75" customHeight="1" s="60">
      <c r="A660" s="41" t="n"/>
      <c r="B660" s="41" t="n"/>
      <c r="C660" s="41" t="n"/>
      <c r="D660" s="41" t="n"/>
      <c r="E660" s="41" t="n"/>
      <c r="F660" s="41" t="n"/>
    </row>
    <row r="661" ht="15.75" customHeight="1" s="60">
      <c r="A661" s="41" t="n"/>
      <c r="B661" s="41" t="n"/>
      <c r="C661" s="41" t="n"/>
      <c r="D661" s="41" t="n"/>
      <c r="E661" s="41" t="n"/>
      <c r="F661" s="41" t="n"/>
    </row>
    <row r="662" ht="15.75" customHeight="1" s="60">
      <c r="A662" s="41" t="n"/>
      <c r="B662" s="41" t="n"/>
      <c r="C662" s="41" t="n"/>
      <c r="D662" s="41" t="n"/>
      <c r="E662" s="41" t="n"/>
      <c r="F662" s="41" t="n"/>
    </row>
    <row r="663" ht="15.75" customHeight="1" s="60">
      <c r="A663" s="41" t="n"/>
      <c r="B663" s="41" t="n"/>
      <c r="C663" s="41" t="n"/>
      <c r="D663" s="41" t="n"/>
      <c r="E663" s="41" t="n"/>
      <c r="F663" s="41" t="n"/>
    </row>
    <row r="664" ht="15.75" customHeight="1" s="60">
      <c r="A664" s="41" t="n"/>
      <c r="B664" s="41" t="n"/>
      <c r="C664" s="41" t="n"/>
      <c r="D664" s="41" t="n"/>
      <c r="E664" s="41" t="n"/>
      <c r="F664" s="41" t="n"/>
    </row>
    <row r="665" ht="15.75" customHeight="1" s="60">
      <c r="A665" s="41" t="n"/>
      <c r="B665" s="41" t="n"/>
      <c r="C665" s="41" t="n"/>
      <c r="D665" s="41" t="n"/>
      <c r="E665" s="41" t="n"/>
      <c r="F665" s="41" t="n"/>
    </row>
    <row r="666" ht="15.75" customHeight="1" s="60">
      <c r="A666" s="41" t="n"/>
      <c r="B666" s="41" t="n"/>
      <c r="C666" s="41" t="n"/>
      <c r="D666" s="41" t="n"/>
      <c r="E666" s="41" t="n"/>
      <c r="F666" s="41" t="n"/>
    </row>
    <row r="667" ht="15.75" customHeight="1" s="60">
      <c r="A667" s="41" t="n"/>
      <c r="B667" s="41" t="n"/>
      <c r="C667" s="41" t="n"/>
      <c r="D667" s="41" t="n"/>
      <c r="E667" s="41" t="n"/>
      <c r="F667" s="41" t="n"/>
    </row>
    <row r="668" ht="15.75" customHeight="1" s="60">
      <c r="A668" s="41" t="n"/>
      <c r="B668" s="41" t="n"/>
      <c r="C668" s="41" t="n"/>
      <c r="D668" s="41" t="n"/>
      <c r="E668" s="41" t="n"/>
      <c r="F668" s="41" t="n"/>
    </row>
    <row r="669" ht="15.75" customHeight="1" s="60">
      <c r="A669" s="41" t="n"/>
      <c r="B669" s="41" t="n"/>
      <c r="C669" s="41" t="n"/>
      <c r="D669" s="41" t="n"/>
      <c r="E669" s="41" t="n"/>
      <c r="F669" s="41" t="n"/>
    </row>
    <row r="670" ht="15.75" customHeight="1" s="60">
      <c r="A670" s="41" t="n"/>
      <c r="B670" s="41" t="n"/>
      <c r="C670" s="41" t="n"/>
      <c r="D670" s="41" t="n"/>
      <c r="E670" s="41" t="n"/>
      <c r="F670" s="41" t="n"/>
    </row>
    <row r="671" ht="15.75" customHeight="1" s="60">
      <c r="A671" s="41" t="n"/>
      <c r="B671" s="41" t="n"/>
      <c r="C671" s="41" t="n"/>
      <c r="D671" s="41" t="n"/>
      <c r="E671" s="41" t="n"/>
      <c r="F671" s="41" t="n"/>
    </row>
    <row r="672" ht="15.75" customHeight="1" s="60">
      <c r="A672" s="41" t="n"/>
      <c r="B672" s="41" t="n"/>
      <c r="C672" s="41" t="n"/>
      <c r="D672" s="41" t="n"/>
      <c r="E672" s="41" t="n"/>
      <c r="F672" s="41" t="n"/>
    </row>
    <row r="673" ht="15.75" customHeight="1" s="60">
      <c r="A673" s="41" t="n"/>
      <c r="B673" s="41" t="n"/>
      <c r="C673" s="41" t="n"/>
      <c r="D673" s="41" t="n"/>
      <c r="E673" s="41" t="n"/>
      <c r="F673" s="41" t="n"/>
    </row>
    <row r="674" ht="15.75" customHeight="1" s="60">
      <c r="A674" s="41" t="n"/>
      <c r="B674" s="41" t="n"/>
      <c r="C674" s="41" t="n"/>
      <c r="D674" s="41" t="n"/>
      <c r="E674" s="41" t="n"/>
      <c r="F674" s="41" t="n"/>
    </row>
    <row r="675" ht="15.75" customHeight="1" s="60">
      <c r="A675" s="41" t="n"/>
      <c r="B675" s="41" t="n"/>
      <c r="C675" s="41" t="n"/>
      <c r="D675" s="41" t="n"/>
      <c r="E675" s="41" t="n"/>
      <c r="F675" s="41" t="n"/>
    </row>
    <row r="676" ht="15.75" customHeight="1" s="60">
      <c r="A676" s="41" t="n"/>
      <c r="B676" s="41" t="n"/>
      <c r="C676" s="41" t="n"/>
      <c r="D676" s="41" t="n"/>
      <c r="E676" s="41" t="n"/>
      <c r="F676" s="41" t="n"/>
    </row>
    <row r="677" ht="15.75" customHeight="1" s="60">
      <c r="A677" s="41" t="n"/>
      <c r="B677" s="41" t="n"/>
      <c r="C677" s="41" t="n"/>
      <c r="D677" s="41" t="n"/>
      <c r="E677" s="41" t="n"/>
      <c r="F677" s="41" t="n"/>
    </row>
    <row r="678" ht="15.75" customHeight="1" s="60">
      <c r="A678" s="41" t="n"/>
      <c r="B678" s="41" t="n"/>
      <c r="C678" s="41" t="n"/>
      <c r="D678" s="41" t="n"/>
      <c r="E678" s="41" t="n"/>
      <c r="F678" s="41" t="n"/>
    </row>
    <row r="679" ht="15.75" customHeight="1" s="60">
      <c r="A679" s="41" t="n"/>
      <c r="B679" s="41" t="n"/>
      <c r="C679" s="41" t="n"/>
      <c r="D679" s="41" t="n"/>
      <c r="E679" s="41" t="n"/>
      <c r="F679" s="41" t="n"/>
    </row>
    <row r="680" ht="15.75" customHeight="1" s="60">
      <c r="A680" s="41" t="n"/>
      <c r="B680" s="41" t="n"/>
      <c r="C680" s="41" t="n"/>
      <c r="D680" s="41" t="n"/>
      <c r="E680" s="41" t="n"/>
      <c r="F680" s="41" t="n"/>
    </row>
    <row r="681" ht="15.75" customHeight="1" s="60">
      <c r="A681" s="41" t="n"/>
      <c r="B681" s="41" t="n"/>
      <c r="C681" s="41" t="n"/>
      <c r="D681" s="41" t="n"/>
      <c r="E681" s="41" t="n"/>
      <c r="F681" s="41" t="n"/>
    </row>
    <row r="682" ht="15.75" customHeight="1" s="60">
      <c r="A682" s="41" t="n"/>
      <c r="B682" s="41" t="n"/>
      <c r="C682" s="41" t="n"/>
      <c r="D682" s="41" t="n"/>
      <c r="E682" s="41" t="n"/>
      <c r="F682" s="41" t="n"/>
    </row>
    <row r="683" ht="15.75" customHeight="1" s="60">
      <c r="A683" s="41" t="n"/>
      <c r="B683" s="41" t="n"/>
      <c r="C683" s="41" t="n"/>
      <c r="D683" s="41" t="n"/>
      <c r="E683" s="41" t="n"/>
      <c r="F683" s="41" t="n"/>
    </row>
    <row r="684" ht="15.75" customHeight="1" s="60">
      <c r="A684" s="41" t="n"/>
      <c r="B684" s="41" t="n"/>
      <c r="C684" s="41" t="n"/>
      <c r="D684" s="41" t="n"/>
      <c r="E684" s="41" t="n"/>
      <c r="F684" s="41" t="n"/>
    </row>
    <row r="685" ht="15.75" customHeight="1" s="60">
      <c r="A685" s="41" t="n"/>
      <c r="B685" s="41" t="n"/>
      <c r="C685" s="41" t="n"/>
      <c r="D685" s="41" t="n"/>
      <c r="E685" s="41" t="n"/>
      <c r="F685" s="41" t="n"/>
    </row>
    <row r="686" ht="15.75" customHeight="1" s="60">
      <c r="A686" s="41" t="n"/>
      <c r="B686" s="41" t="n"/>
      <c r="C686" s="41" t="n"/>
      <c r="D686" s="41" t="n"/>
      <c r="E686" s="41" t="n"/>
      <c r="F686" s="41" t="n"/>
    </row>
    <row r="687" ht="15.75" customHeight="1" s="60">
      <c r="A687" s="41" t="n"/>
      <c r="B687" s="41" t="n"/>
      <c r="C687" s="41" t="n"/>
      <c r="D687" s="41" t="n"/>
      <c r="E687" s="41" t="n"/>
      <c r="F687" s="41" t="n"/>
    </row>
    <row r="688" ht="15.75" customHeight="1" s="60">
      <c r="A688" s="41" t="n"/>
      <c r="B688" s="41" t="n"/>
      <c r="C688" s="41" t="n"/>
      <c r="D688" s="41" t="n"/>
      <c r="E688" s="41" t="n"/>
      <c r="F688" s="41" t="n"/>
    </row>
    <row r="689" ht="15.75" customHeight="1" s="60">
      <c r="A689" s="41" t="n"/>
      <c r="B689" s="41" t="n"/>
      <c r="C689" s="41" t="n"/>
      <c r="D689" s="41" t="n"/>
      <c r="E689" s="41" t="n"/>
      <c r="F689" s="41" t="n"/>
    </row>
    <row r="690" ht="15.75" customHeight="1" s="60">
      <c r="A690" s="41" t="n"/>
      <c r="B690" s="41" t="n"/>
      <c r="C690" s="41" t="n"/>
      <c r="D690" s="41" t="n"/>
      <c r="E690" s="41" t="n"/>
      <c r="F690" s="41" t="n"/>
    </row>
    <row r="691" ht="15.75" customHeight="1" s="60">
      <c r="A691" s="41" t="n"/>
      <c r="B691" s="41" t="n"/>
      <c r="C691" s="41" t="n"/>
      <c r="D691" s="41" t="n"/>
      <c r="E691" s="41" t="n"/>
      <c r="F691" s="41" t="n"/>
    </row>
    <row r="692" ht="15.75" customHeight="1" s="60">
      <c r="A692" s="41" t="n"/>
      <c r="B692" s="41" t="n"/>
      <c r="C692" s="41" t="n"/>
      <c r="D692" s="41" t="n"/>
      <c r="E692" s="41" t="n"/>
      <c r="F692" s="41" t="n"/>
    </row>
    <row r="693" ht="15.75" customHeight="1" s="60">
      <c r="A693" s="41" t="n"/>
      <c r="B693" s="41" t="n"/>
      <c r="C693" s="41" t="n"/>
      <c r="D693" s="41" t="n"/>
      <c r="E693" s="41" t="n"/>
      <c r="F693" s="41" t="n"/>
    </row>
    <row r="694" ht="15.75" customHeight="1" s="60">
      <c r="A694" s="41" t="n"/>
      <c r="B694" s="41" t="n"/>
      <c r="C694" s="41" t="n"/>
      <c r="D694" s="41" t="n"/>
      <c r="E694" s="41" t="n"/>
      <c r="F694" s="41" t="n"/>
    </row>
    <row r="695" ht="15.75" customHeight="1" s="60">
      <c r="A695" s="41" t="n"/>
      <c r="B695" s="41" t="n"/>
      <c r="C695" s="41" t="n"/>
      <c r="D695" s="41" t="n"/>
      <c r="E695" s="41" t="n"/>
      <c r="F695" s="41" t="n"/>
    </row>
    <row r="696" ht="15.75" customHeight="1" s="60">
      <c r="A696" s="41" t="n"/>
      <c r="B696" s="41" t="n"/>
      <c r="C696" s="41" t="n"/>
      <c r="D696" s="41" t="n"/>
      <c r="E696" s="41" t="n"/>
      <c r="F696" s="41" t="n"/>
    </row>
    <row r="697" ht="15.75" customHeight="1" s="60">
      <c r="A697" s="41" t="n"/>
      <c r="B697" s="41" t="n"/>
      <c r="C697" s="41" t="n"/>
      <c r="D697" s="41" t="n"/>
      <c r="E697" s="41" t="n"/>
      <c r="F697" s="41" t="n"/>
    </row>
    <row r="698" ht="15.75" customHeight="1" s="60">
      <c r="A698" s="41" t="n"/>
      <c r="B698" s="41" t="n"/>
      <c r="C698" s="41" t="n"/>
      <c r="D698" s="41" t="n"/>
      <c r="E698" s="41" t="n"/>
      <c r="F698" s="41" t="n"/>
    </row>
    <row r="699" ht="15.75" customHeight="1" s="60">
      <c r="A699" s="41" t="n"/>
      <c r="B699" s="41" t="n"/>
      <c r="C699" s="41" t="n"/>
      <c r="D699" s="41" t="n"/>
      <c r="E699" s="41" t="n"/>
      <c r="F699" s="41" t="n"/>
    </row>
    <row r="700" ht="15.75" customHeight="1" s="60">
      <c r="A700" s="41" t="n"/>
      <c r="B700" s="41" t="n"/>
      <c r="C700" s="41" t="n"/>
      <c r="D700" s="41" t="n"/>
      <c r="E700" s="41" t="n"/>
      <c r="F700" s="41" t="n"/>
    </row>
    <row r="701" ht="15.75" customHeight="1" s="60">
      <c r="A701" s="41" t="n"/>
      <c r="B701" s="41" t="n"/>
      <c r="C701" s="41" t="n"/>
      <c r="D701" s="41" t="n"/>
      <c r="E701" s="41" t="n"/>
      <c r="F701" s="41" t="n"/>
    </row>
    <row r="702" ht="15.75" customHeight="1" s="60">
      <c r="A702" s="41" t="n"/>
      <c r="B702" s="41" t="n"/>
      <c r="C702" s="41" t="n"/>
      <c r="D702" s="41" t="n"/>
      <c r="E702" s="41" t="n"/>
      <c r="F702" s="41" t="n"/>
    </row>
    <row r="703" ht="15.75" customHeight="1" s="60">
      <c r="A703" s="41" t="n"/>
      <c r="B703" s="41" t="n"/>
      <c r="C703" s="41" t="n"/>
      <c r="D703" s="41" t="n"/>
      <c r="E703" s="41" t="n"/>
      <c r="F703" s="41" t="n"/>
    </row>
    <row r="704" ht="15.75" customHeight="1" s="60">
      <c r="A704" s="41" t="n"/>
      <c r="B704" s="41" t="n"/>
      <c r="C704" s="41" t="n"/>
      <c r="D704" s="41" t="n"/>
      <c r="E704" s="41" t="n"/>
      <c r="F704" s="41" t="n"/>
    </row>
    <row r="705" ht="15.75" customHeight="1" s="60">
      <c r="A705" s="41" t="n"/>
      <c r="B705" s="41" t="n"/>
      <c r="C705" s="41" t="n"/>
      <c r="D705" s="41" t="n"/>
      <c r="E705" s="41" t="n"/>
      <c r="F705" s="41" t="n"/>
    </row>
    <row r="706" ht="15.75" customHeight="1" s="60">
      <c r="A706" s="41" t="n"/>
      <c r="B706" s="41" t="n"/>
      <c r="C706" s="41" t="n"/>
      <c r="D706" s="41" t="n"/>
      <c r="E706" s="41" t="n"/>
      <c r="F706" s="41" t="n"/>
    </row>
    <row r="707" ht="15.75" customHeight="1" s="60">
      <c r="A707" s="41" t="n"/>
      <c r="B707" s="41" t="n"/>
      <c r="C707" s="41" t="n"/>
      <c r="D707" s="41" t="n"/>
      <c r="E707" s="41" t="n"/>
      <c r="F707" s="41" t="n"/>
    </row>
    <row r="708" ht="15.75" customHeight="1" s="60">
      <c r="A708" s="41" t="n"/>
      <c r="B708" s="41" t="n"/>
      <c r="C708" s="41" t="n"/>
      <c r="D708" s="41" t="n"/>
      <c r="E708" s="41" t="n"/>
      <c r="F708" s="41" t="n"/>
    </row>
    <row r="709" ht="15.75" customHeight="1" s="60">
      <c r="A709" s="41" t="n"/>
      <c r="B709" s="41" t="n"/>
      <c r="C709" s="41" t="n"/>
      <c r="D709" s="41" t="n"/>
      <c r="E709" s="41" t="n"/>
      <c r="F709" s="41" t="n"/>
    </row>
    <row r="710" ht="15.75" customHeight="1" s="60">
      <c r="A710" s="41" t="n"/>
      <c r="B710" s="41" t="n"/>
      <c r="C710" s="41" t="n"/>
      <c r="D710" s="41" t="n"/>
      <c r="E710" s="41" t="n"/>
      <c r="F710" s="41" t="n"/>
    </row>
    <row r="711" ht="15.75" customHeight="1" s="60">
      <c r="A711" s="41" t="n"/>
      <c r="B711" s="41" t="n"/>
      <c r="C711" s="41" t="n"/>
      <c r="D711" s="41" t="n"/>
      <c r="E711" s="41" t="n"/>
      <c r="F711" s="41" t="n"/>
    </row>
    <row r="712" ht="15.75" customHeight="1" s="60">
      <c r="A712" s="41" t="n"/>
      <c r="B712" s="41" t="n"/>
      <c r="C712" s="41" t="n"/>
      <c r="D712" s="41" t="n"/>
      <c r="E712" s="41" t="n"/>
      <c r="F712" s="41" t="n"/>
    </row>
    <row r="713" ht="15.75" customHeight="1" s="60">
      <c r="A713" s="41" t="n"/>
      <c r="B713" s="41" t="n"/>
      <c r="C713" s="41" t="n"/>
      <c r="D713" s="41" t="n"/>
      <c r="E713" s="41" t="n"/>
      <c r="F713" s="41" t="n"/>
    </row>
    <row r="714" ht="15.75" customHeight="1" s="60">
      <c r="A714" s="41" t="n"/>
      <c r="B714" s="41" t="n"/>
      <c r="C714" s="41" t="n"/>
      <c r="D714" s="41" t="n"/>
      <c r="E714" s="41" t="n"/>
      <c r="F714" s="41" t="n"/>
    </row>
    <row r="715" ht="15.75" customHeight="1" s="60">
      <c r="A715" s="41" t="n"/>
      <c r="B715" s="41" t="n"/>
      <c r="C715" s="41" t="n"/>
      <c r="D715" s="41" t="n"/>
      <c r="E715" s="41" t="n"/>
      <c r="F715" s="41" t="n"/>
    </row>
    <row r="716" ht="15.75" customHeight="1" s="60">
      <c r="A716" s="41" t="n"/>
      <c r="B716" s="41" t="n"/>
      <c r="C716" s="41" t="n"/>
      <c r="D716" s="41" t="n"/>
      <c r="E716" s="41" t="n"/>
      <c r="F716" s="41" t="n"/>
    </row>
    <row r="717" ht="15.75" customHeight="1" s="60">
      <c r="A717" s="41" t="n"/>
      <c r="B717" s="41" t="n"/>
      <c r="C717" s="41" t="n"/>
      <c r="D717" s="41" t="n"/>
      <c r="E717" s="41" t="n"/>
      <c r="F717" s="41" t="n"/>
    </row>
    <row r="718" ht="15.75" customHeight="1" s="60">
      <c r="A718" s="41" t="n"/>
      <c r="B718" s="41" t="n"/>
      <c r="C718" s="41" t="n"/>
      <c r="D718" s="41" t="n"/>
      <c r="E718" s="41" t="n"/>
      <c r="F718" s="41" t="n"/>
    </row>
    <row r="719" ht="15.75" customHeight="1" s="60">
      <c r="A719" s="41" t="n"/>
      <c r="B719" s="41" t="n"/>
      <c r="C719" s="41" t="n"/>
      <c r="D719" s="41" t="n"/>
      <c r="E719" s="41" t="n"/>
      <c r="F719" s="41" t="n"/>
    </row>
    <row r="720" ht="15.75" customHeight="1" s="60">
      <c r="A720" s="41" t="n"/>
      <c r="B720" s="41" t="n"/>
      <c r="C720" s="41" t="n"/>
      <c r="D720" s="41" t="n"/>
      <c r="E720" s="41" t="n"/>
      <c r="F720" s="41" t="n"/>
    </row>
    <row r="721" ht="15.75" customHeight="1" s="60">
      <c r="A721" s="41" t="n"/>
      <c r="B721" s="41" t="n"/>
      <c r="C721" s="41" t="n"/>
      <c r="D721" s="41" t="n"/>
      <c r="E721" s="41" t="n"/>
      <c r="F721" s="41" t="n"/>
    </row>
    <row r="722" ht="15.75" customHeight="1" s="60">
      <c r="A722" s="41" t="n"/>
      <c r="B722" s="41" t="n"/>
      <c r="C722" s="41" t="n"/>
      <c r="D722" s="41" t="n"/>
      <c r="E722" s="41" t="n"/>
      <c r="F722" s="41" t="n"/>
    </row>
    <row r="723" ht="15.75" customHeight="1" s="60">
      <c r="A723" s="41" t="n"/>
      <c r="B723" s="41" t="n"/>
      <c r="C723" s="41" t="n"/>
      <c r="D723" s="41" t="n"/>
      <c r="E723" s="41" t="n"/>
      <c r="F723" s="41" t="n"/>
    </row>
    <row r="724" ht="15.75" customHeight="1" s="60">
      <c r="A724" s="41" t="n"/>
      <c r="B724" s="41" t="n"/>
      <c r="C724" s="41" t="n"/>
      <c r="D724" s="41" t="n"/>
      <c r="E724" s="41" t="n"/>
      <c r="F724" s="41" t="n"/>
    </row>
    <row r="725" ht="15.75" customHeight="1" s="60">
      <c r="A725" s="41" t="n"/>
      <c r="B725" s="41" t="n"/>
      <c r="C725" s="41" t="n"/>
      <c r="D725" s="41" t="n"/>
      <c r="E725" s="41" t="n"/>
      <c r="F725" s="41" t="n"/>
    </row>
    <row r="726" ht="15.75" customHeight="1" s="60">
      <c r="A726" s="41" t="n"/>
      <c r="B726" s="41" t="n"/>
      <c r="C726" s="41" t="n"/>
      <c r="D726" s="41" t="n"/>
      <c r="E726" s="41" t="n"/>
      <c r="F726" s="41" t="n"/>
    </row>
    <row r="727" ht="15.75" customHeight="1" s="60">
      <c r="A727" s="41" t="n"/>
      <c r="B727" s="41" t="n"/>
      <c r="C727" s="41" t="n"/>
      <c r="D727" s="41" t="n"/>
      <c r="E727" s="41" t="n"/>
      <c r="F727" s="41" t="n"/>
    </row>
    <row r="728" ht="15.75" customHeight="1" s="60">
      <c r="A728" s="41" t="n"/>
      <c r="B728" s="41" t="n"/>
      <c r="C728" s="41" t="n"/>
      <c r="D728" s="41" t="n"/>
      <c r="E728" s="41" t="n"/>
      <c r="F728" s="41" t="n"/>
    </row>
    <row r="729" ht="15.75" customHeight="1" s="60">
      <c r="A729" s="41" t="n"/>
      <c r="B729" s="41" t="n"/>
      <c r="C729" s="41" t="n"/>
      <c r="D729" s="41" t="n"/>
      <c r="E729" s="41" t="n"/>
      <c r="F729" s="41" t="n"/>
    </row>
    <row r="730" ht="15.75" customHeight="1" s="60">
      <c r="A730" s="41" t="n"/>
      <c r="B730" s="41" t="n"/>
      <c r="C730" s="41" t="n"/>
      <c r="D730" s="41" t="n"/>
      <c r="E730" s="41" t="n"/>
      <c r="F730" s="41" t="n"/>
    </row>
    <row r="731" ht="15.75" customHeight="1" s="60">
      <c r="A731" s="41" t="n"/>
      <c r="B731" s="41" t="n"/>
      <c r="C731" s="41" t="n"/>
      <c r="D731" s="41" t="n"/>
      <c r="E731" s="41" t="n"/>
      <c r="F731" s="41" t="n"/>
    </row>
    <row r="732" ht="15.75" customHeight="1" s="60">
      <c r="A732" s="41" t="n"/>
      <c r="B732" s="41" t="n"/>
      <c r="C732" s="41" t="n"/>
      <c r="D732" s="41" t="n"/>
      <c r="E732" s="41" t="n"/>
      <c r="F732" s="41" t="n"/>
    </row>
    <row r="733" ht="15.75" customHeight="1" s="60">
      <c r="A733" s="41" t="n"/>
      <c r="B733" s="41" t="n"/>
      <c r="C733" s="41" t="n"/>
      <c r="D733" s="41" t="n"/>
      <c r="E733" s="41" t="n"/>
      <c r="F733" s="41" t="n"/>
    </row>
    <row r="734" ht="15.75" customHeight="1" s="60">
      <c r="A734" s="41" t="n"/>
      <c r="B734" s="41" t="n"/>
      <c r="C734" s="41" t="n"/>
      <c r="D734" s="41" t="n"/>
      <c r="E734" s="41" t="n"/>
      <c r="F734" s="41" t="n"/>
    </row>
    <row r="735" ht="15.75" customHeight="1" s="60">
      <c r="A735" s="41" t="n"/>
      <c r="B735" s="41" t="n"/>
      <c r="C735" s="41" t="n"/>
      <c r="D735" s="41" t="n"/>
      <c r="E735" s="41" t="n"/>
      <c r="F735" s="41" t="n"/>
    </row>
    <row r="736" ht="15.75" customHeight="1" s="60">
      <c r="A736" s="41" t="n"/>
      <c r="B736" s="41" t="n"/>
      <c r="C736" s="41" t="n"/>
      <c r="D736" s="41" t="n"/>
      <c r="E736" s="41" t="n"/>
      <c r="F736" s="41" t="n"/>
    </row>
    <row r="737" ht="15.75" customHeight="1" s="60">
      <c r="A737" s="41" t="n"/>
      <c r="B737" s="41" t="n"/>
      <c r="C737" s="41" t="n"/>
      <c r="D737" s="41" t="n"/>
      <c r="E737" s="41" t="n"/>
      <c r="F737" s="41" t="n"/>
    </row>
    <row r="738" ht="15.75" customHeight="1" s="60">
      <c r="A738" s="41" t="n"/>
      <c r="B738" s="41" t="n"/>
      <c r="C738" s="41" t="n"/>
      <c r="D738" s="41" t="n"/>
      <c r="E738" s="41" t="n"/>
      <c r="F738" s="41" t="n"/>
    </row>
    <row r="739" ht="15.75" customHeight="1" s="60">
      <c r="A739" s="41" t="n"/>
      <c r="B739" s="41" t="n"/>
      <c r="C739" s="41" t="n"/>
      <c r="D739" s="41" t="n"/>
      <c r="E739" s="41" t="n"/>
      <c r="F739" s="41" t="n"/>
    </row>
    <row r="740" ht="15.75" customHeight="1" s="60">
      <c r="A740" s="41" t="n"/>
      <c r="B740" s="41" t="n"/>
      <c r="C740" s="41" t="n"/>
      <c r="D740" s="41" t="n"/>
      <c r="E740" s="41" t="n"/>
      <c r="F740" s="41" t="n"/>
    </row>
    <row r="741" ht="15.75" customHeight="1" s="60">
      <c r="A741" s="41" t="n"/>
      <c r="B741" s="41" t="n"/>
      <c r="C741" s="41" t="n"/>
      <c r="D741" s="41" t="n"/>
      <c r="E741" s="41" t="n"/>
      <c r="F741" s="41" t="n"/>
    </row>
    <row r="742" ht="15.75" customHeight="1" s="60">
      <c r="A742" s="41" t="n"/>
      <c r="B742" s="41" t="n"/>
      <c r="C742" s="41" t="n"/>
      <c r="D742" s="41" t="n"/>
      <c r="E742" s="41" t="n"/>
      <c r="F742" s="41" t="n"/>
    </row>
    <row r="743" ht="15.75" customHeight="1" s="60">
      <c r="A743" s="41" t="n"/>
      <c r="B743" s="41" t="n"/>
      <c r="C743" s="41" t="n"/>
      <c r="D743" s="41" t="n"/>
      <c r="E743" s="41" t="n"/>
      <c r="F743" s="41" t="n"/>
    </row>
    <row r="744" ht="15.75" customHeight="1" s="60">
      <c r="A744" s="41" t="n"/>
      <c r="B744" s="41" t="n"/>
      <c r="C744" s="41" t="n"/>
      <c r="D744" s="41" t="n"/>
      <c r="E744" s="41" t="n"/>
      <c r="F744" s="41" t="n"/>
    </row>
    <row r="745" ht="15.75" customHeight="1" s="60">
      <c r="A745" s="41" t="n"/>
      <c r="B745" s="41" t="n"/>
      <c r="C745" s="41" t="n"/>
      <c r="D745" s="41" t="n"/>
      <c r="E745" s="41" t="n"/>
      <c r="F745" s="41" t="n"/>
    </row>
    <row r="746" ht="15.75" customHeight="1" s="60">
      <c r="A746" s="41" t="n"/>
      <c r="B746" s="41" t="n"/>
      <c r="C746" s="41" t="n"/>
      <c r="D746" s="41" t="n"/>
      <c r="E746" s="41" t="n"/>
      <c r="F746" s="41" t="n"/>
    </row>
    <row r="747" ht="15.75" customHeight="1" s="60">
      <c r="A747" s="41" t="n"/>
      <c r="B747" s="41" t="n"/>
      <c r="C747" s="41" t="n"/>
      <c r="D747" s="41" t="n"/>
      <c r="E747" s="41" t="n"/>
      <c r="F747" s="41" t="n"/>
    </row>
    <row r="748" ht="15.75" customHeight="1" s="60">
      <c r="A748" s="41" t="n"/>
      <c r="B748" s="41" t="n"/>
      <c r="C748" s="41" t="n"/>
      <c r="D748" s="41" t="n"/>
      <c r="E748" s="41" t="n"/>
      <c r="F748" s="41" t="n"/>
    </row>
    <row r="749" ht="15.75" customHeight="1" s="60">
      <c r="A749" s="41" t="n"/>
      <c r="B749" s="41" t="n"/>
      <c r="C749" s="41" t="n"/>
      <c r="D749" s="41" t="n"/>
      <c r="E749" s="41" t="n"/>
      <c r="F749" s="41" t="n"/>
    </row>
    <row r="750" ht="15.75" customHeight="1" s="60">
      <c r="A750" s="41" t="n"/>
      <c r="B750" s="41" t="n"/>
      <c r="C750" s="41" t="n"/>
      <c r="D750" s="41" t="n"/>
      <c r="E750" s="41" t="n"/>
      <c r="F750" s="41" t="n"/>
    </row>
    <row r="751" ht="15.75" customHeight="1" s="60">
      <c r="A751" s="41" t="n"/>
      <c r="B751" s="41" t="n"/>
      <c r="C751" s="41" t="n"/>
      <c r="D751" s="41" t="n"/>
      <c r="E751" s="41" t="n"/>
      <c r="F751" s="41" t="n"/>
    </row>
    <row r="752" ht="15.75" customHeight="1" s="60">
      <c r="A752" s="41" t="n"/>
      <c r="B752" s="41" t="n"/>
      <c r="C752" s="41" t="n"/>
      <c r="D752" s="41" t="n"/>
      <c r="E752" s="41" t="n"/>
      <c r="F752" s="41" t="n"/>
    </row>
    <row r="753" ht="15.75" customHeight="1" s="60">
      <c r="A753" s="41" t="n"/>
      <c r="B753" s="41" t="n"/>
      <c r="C753" s="41" t="n"/>
      <c r="D753" s="41" t="n"/>
      <c r="E753" s="41" t="n"/>
      <c r="F753" s="41" t="n"/>
    </row>
    <row r="754" ht="15.75" customHeight="1" s="60">
      <c r="A754" s="41" t="n"/>
      <c r="B754" s="41" t="n"/>
      <c r="C754" s="41" t="n"/>
      <c r="D754" s="41" t="n"/>
      <c r="E754" s="41" t="n"/>
      <c r="F754" s="41" t="n"/>
    </row>
    <row r="755" ht="15.75" customHeight="1" s="60">
      <c r="A755" s="41" t="n"/>
      <c r="B755" s="41" t="n"/>
      <c r="C755" s="41" t="n"/>
      <c r="D755" s="41" t="n"/>
      <c r="E755" s="41" t="n"/>
      <c r="F755" s="41" t="n"/>
    </row>
    <row r="756" ht="15.75" customHeight="1" s="60">
      <c r="A756" s="41" t="n"/>
      <c r="B756" s="41" t="n"/>
      <c r="C756" s="41" t="n"/>
      <c r="D756" s="41" t="n"/>
      <c r="E756" s="41" t="n"/>
      <c r="F756" s="41" t="n"/>
    </row>
    <row r="757" ht="15.75" customHeight="1" s="60">
      <c r="A757" s="41" t="n"/>
      <c r="B757" s="41" t="n"/>
      <c r="C757" s="41" t="n"/>
      <c r="D757" s="41" t="n"/>
      <c r="E757" s="41" t="n"/>
      <c r="F757" s="41" t="n"/>
    </row>
    <row r="758" ht="15.75" customHeight="1" s="60">
      <c r="A758" s="41" t="n"/>
      <c r="B758" s="41" t="n"/>
      <c r="C758" s="41" t="n"/>
      <c r="D758" s="41" t="n"/>
      <c r="E758" s="41" t="n"/>
      <c r="F758" s="41" t="n"/>
    </row>
    <row r="759" ht="15.75" customHeight="1" s="60">
      <c r="A759" s="41" t="n"/>
      <c r="B759" s="41" t="n"/>
      <c r="C759" s="41" t="n"/>
      <c r="D759" s="41" t="n"/>
      <c r="E759" s="41" t="n"/>
      <c r="F759" s="41" t="n"/>
    </row>
    <row r="760" ht="15.75" customHeight="1" s="60">
      <c r="A760" s="41" t="n"/>
      <c r="B760" s="41" t="n"/>
      <c r="C760" s="41" t="n"/>
      <c r="D760" s="41" t="n"/>
      <c r="E760" s="41" t="n"/>
      <c r="F760" s="41" t="n"/>
    </row>
    <row r="761" ht="15.75" customHeight="1" s="60">
      <c r="A761" s="41" t="n"/>
      <c r="B761" s="41" t="n"/>
      <c r="C761" s="41" t="n"/>
      <c r="D761" s="41" t="n"/>
      <c r="E761" s="41" t="n"/>
      <c r="F761" s="41" t="n"/>
    </row>
    <row r="762" ht="15.75" customHeight="1" s="60">
      <c r="A762" s="41" t="n"/>
      <c r="B762" s="41" t="n"/>
      <c r="C762" s="41" t="n"/>
      <c r="D762" s="41" t="n"/>
      <c r="E762" s="41" t="n"/>
      <c r="F762" s="41" t="n"/>
    </row>
    <row r="763" ht="15.75" customHeight="1" s="60">
      <c r="A763" s="41" t="n"/>
      <c r="B763" s="41" t="n"/>
      <c r="C763" s="41" t="n"/>
      <c r="D763" s="41" t="n"/>
      <c r="E763" s="41" t="n"/>
      <c r="F763" s="41" t="n"/>
    </row>
    <row r="764" ht="15.75" customHeight="1" s="60">
      <c r="A764" s="41" t="n"/>
      <c r="B764" s="41" t="n"/>
      <c r="C764" s="41" t="n"/>
      <c r="D764" s="41" t="n"/>
      <c r="E764" s="41" t="n"/>
      <c r="F764" s="41" t="n"/>
    </row>
    <row r="765" ht="15.75" customHeight="1" s="60">
      <c r="A765" s="41" t="n"/>
      <c r="B765" s="41" t="n"/>
      <c r="C765" s="41" t="n"/>
      <c r="D765" s="41" t="n"/>
      <c r="E765" s="41" t="n"/>
      <c r="F765" s="41" t="n"/>
    </row>
    <row r="766" ht="15.75" customHeight="1" s="60">
      <c r="A766" s="41" t="n"/>
      <c r="B766" s="41" t="n"/>
      <c r="C766" s="41" t="n"/>
      <c r="D766" s="41" t="n"/>
      <c r="E766" s="41" t="n"/>
      <c r="F766" s="41" t="n"/>
    </row>
    <row r="767" ht="15.75" customHeight="1" s="60">
      <c r="A767" s="41" t="n"/>
      <c r="B767" s="41" t="n"/>
      <c r="C767" s="41" t="n"/>
      <c r="D767" s="41" t="n"/>
      <c r="E767" s="41" t="n"/>
      <c r="F767" s="41" t="n"/>
    </row>
    <row r="768" ht="15.75" customHeight="1" s="60">
      <c r="A768" s="41" t="n"/>
      <c r="B768" s="41" t="n"/>
      <c r="C768" s="41" t="n"/>
      <c r="D768" s="41" t="n"/>
      <c r="E768" s="41" t="n"/>
      <c r="F768" s="41" t="n"/>
    </row>
    <row r="769" ht="15.75" customHeight="1" s="60">
      <c r="A769" s="41" t="n"/>
      <c r="B769" s="41" t="n"/>
      <c r="C769" s="41" t="n"/>
      <c r="D769" s="41" t="n"/>
      <c r="E769" s="41" t="n"/>
      <c r="F769" s="41" t="n"/>
    </row>
    <row r="770" ht="15.75" customHeight="1" s="60">
      <c r="A770" s="41" t="n"/>
      <c r="B770" s="41" t="n"/>
      <c r="C770" s="41" t="n"/>
      <c r="D770" s="41" t="n"/>
      <c r="E770" s="41" t="n"/>
      <c r="F770" s="41" t="n"/>
    </row>
    <row r="771" ht="15.75" customHeight="1" s="60">
      <c r="A771" s="41" t="n"/>
      <c r="B771" s="41" t="n"/>
      <c r="C771" s="41" t="n"/>
      <c r="D771" s="41" t="n"/>
      <c r="E771" s="41" t="n"/>
      <c r="F771" s="41" t="n"/>
    </row>
    <row r="772" ht="15.75" customHeight="1" s="60">
      <c r="A772" s="41" t="n"/>
      <c r="B772" s="41" t="n"/>
      <c r="C772" s="41" t="n"/>
      <c r="D772" s="41" t="n"/>
      <c r="E772" s="41" t="n"/>
      <c r="F772" s="41" t="n"/>
    </row>
    <row r="773" ht="15.75" customHeight="1" s="60">
      <c r="A773" s="41" t="n"/>
      <c r="B773" s="41" t="n"/>
      <c r="C773" s="41" t="n"/>
      <c r="D773" s="41" t="n"/>
      <c r="E773" s="41" t="n"/>
      <c r="F773" s="41" t="n"/>
    </row>
    <row r="774" ht="15.75" customHeight="1" s="60">
      <c r="A774" s="41" t="n"/>
      <c r="B774" s="41" t="n"/>
      <c r="C774" s="41" t="n"/>
      <c r="D774" s="41" t="n"/>
      <c r="E774" s="41" t="n"/>
      <c r="F774" s="41" t="n"/>
    </row>
    <row r="775" ht="15.75" customHeight="1" s="60">
      <c r="A775" s="41" t="n"/>
      <c r="B775" s="41" t="n"/>
      <c r="C775" s="41" t="n"/>
      <c r="D775" s="41" t="n"/>
      <c r="E775" s="41" t="n"/>
      <c r="F775" s="41" t="n"/>
    </row>
    <row r="776" ht="15.75" customHeight="1" s="60">
      <c r="A776" s="41" t="n"/>
      <c r="B776" s="41" t="n"/>
      <c r="C776" s="41" t="n"/>
      <c r="D776" s="41" t="n"/>
      <c r="E776" s="41" t="n"/>
      <c r="F776" s="41" t="n"/>
    </row>
    <row r="777" ht="15.75" customHeight="1" s="60">
      <c r="A777" s="41" t="n"/>
      <c r="B777" s="41" t="n"/>
      <c r="C777" s="41" t="n"/>
      <c r="D777" s="41" t="n"/>
      <c r="E777" s="41" t="n"/>
      <c r="F777" s="41" t="n"/>
    </row>
    <row r="778" ht="15.75" customHeight="1" s="60">
      <c r="A778" s="41" t="n"/>
      <c r="B778" s="41" t="n"/>
      <c r="C778" s="41" t="n"/>
      <c r="D778" s="41" t="n"/>
      <c r="E778" s="41" t="n"/>
      <c r="F778" s="41" t="n"/>
    </row>
    <row r="779" ht="15.75" customHeight="1" s="60">
      <c r="A779" s="41" t="n"/>
      <c r="B779" s="41" t="n"/>
      <c r="C779" s="41" t="n"/>
      <c r="D779" s="41" t="n"/>
      <c r="E779" s="41" t="n"/>
      <c r="F779" s="41" t="n"/>
    </row>
    <row r="780" ht="15.75" customHeight="1" s="60">
      <c r="A780" s="41" t="n"/>
      <c r="B780" s="41" t="n"/>
      <c r="C780" s="41" t="n"/>
      <c r="D780" s="41" t="n"/>
      <c r="E780" s="41" t="n"/>
      <c r="F780" s="41" t="n"/>
    </row>
    <row r="781" ht="15.75" customHeight="1" s="60">
      <c r="A781" s="41" t="n"/>
      <c r="B781" s="41" t="n"/>
      <c r="C781" s="41" t="n"/>
      <c r="D781" s="41" t="n"/>
      <c r="E781" s="41" t="n"/>
      <c r="F781" s="41" t="n"/>
    </row>
    <row r="782" ht="15.75" customHeight="1" s="60">
      <c r="A782" s="41" t="n"/>
      <c r="B782" s="41" t="n"/>
      <c r="C782" s="41" t="n"/>
      <c r="D782" s="41" t="n"/>
      <c r="E782" s="41" t="n"/>
      <c r="F782" s="41" t="n"/>
    </row>
    <row r="783" ht="15.75" customHeight="1" s="60">
      <c r="A783" s="41" t="n"/>
      <c r="B783" s="41" t="n"/>
      <c r="C783" s="41" t="n"/>
      <c r="D783" s="41" t="n"/>
      <c r="E783" s="41" t="n"/>
      <c r="F783" s="41" t="n"/>
    </row>
    <row r="784" ht="15.75" customHeight="1" s="60">
      <c r="A784" s="41" t="n"/>
      <c r="B784" s="41" t="n"/>
      <c r="C784" s="41" t="n"/>
      <c r="D784" s="41" t="n"/>
      <c r="E784" s="41" t="n"/>
      <c r="F784" s="41" t="n"/>
    </row>
    <row r="785" ht="15.75" customHeight="1" s="60">
      <c r="A785" s="41" t="n"/>
      <c r="B785" s="41" t="n"/>
      <c r="C785" s="41" t="n"/>
      <c r="D785" s="41" t="n"/>
      <c r="E785" s="41" t="n"/>
      <c r="F785" s="41" t="n"/>
    </row>
    <row r="786" ht="15.75" customHeight="1" s="60">
      <c r="A786" s="41" t="n"/>
      <c r="B786" s="41" t="n"/>
      <c r="C786" s="41" t="n"/>
      <c r="D786" s="41" t="n"/>
      <c r="E786" s="41" t="n"/>
      <c r="F786" s="41" t="n"/>
    </row>
    <row r="787" ht="15.75" customHeight="1" s="60">
      <c r="A787" s="41" t="n"/>
      <c r="B787" s="41" t="n"/>
      <c r="C787" s="41" t="n"/>
      <c r="D787" s="41" t="n"/>
      <c r="E787" s="41" t="n"/>
      <c r="F787" s="41" t="n"/>
    </row>
    <row r="788" ht="15.75" customHeight="1" s="60">
      <c r="A788" s="41" t="n"/>
      <c r="B788" s="41" t="n"/>
      <c r="C788" s="41" t="n"/>
      <c r="D788" s="41" t="n"/>
      <c r="E788" s="41" t="n"/>
      <c r="F788" s="41" t="n"/>
    </row>
    <row r="789" ht="15.75" customHeight="1" s="60">
      <c r="A789" s="41" t="n"/>
      <c r="B789" s="41" t="n"/>
      <c r="C789" s="41" t="n"/>
      <c r="D789" s="41" t="n"/>
      <c r="E789" s="41" t="n"/>
      <c r="F789" s="41" t="n"/>
    </row>
    <row r="790" ht="15.75" customHeight="1" s="60">
      <c r="A790" s="41" t="n"/>
      <c r="B790" s="41" t="n"/>
      <c r="C790" s="41" t="n"/>
      <c r="D790" s="41" t="n"/>
      <c r="E790" s="41" t="n"/>
      <c r="F790" s="41" t="n"/>
    </row>
    <row r="791" ht="15.75" customHeight="1" s="60">
      <c r="A791" s="41" t="n"/>
      <c r="B791" s="41" t="n"/>
      <c r="C791" s="41" t="n"/>
      <c r="D791" s="41" t="n"/>
      <c r="E791" s="41" t="n"/>
      <c r="F791" s="41" t="n"/>
    </row>
    <row r="792" ht="15.75" customHeight="1" s="60">
      <c r="A792" s="41" t="n"/>
      <c r="B792" s="41" t="n"/>
      <c r="C792" s="41" t="n"/>
      <c r="D792" s="41" t="n"/>
      <c r="E792" s="41" t="n"/>
      <c r="F792" s="41" t="n"/>
    </row>
    <row r="793" ht="15.75" customHeight="1" s="60">
      <c r="A793" s="41" t="n"/>
      <c r="B793" s="41" t="n"/>
      <c r="C793" s="41" t="n"/>
      <c r="D793" s="41" t="n"/>
      <c r="E793" s="41" t="n"/>
      <c r="F793" s="41" t="n"/>
    </row>
    <row r="794" ht="15.75" customHeight="1" s="60">
      <c r="A794" s="41" t="n"/>
      <c r="B794" s="41" t="n"/>
      <c r="C794" s="41" t="n"/>
      <c r="D794" s="41" t="n"/>
      <c r="E794" s="41" t="n"/>
      <c r="F794" s="41" t="n"/>
    </row>
    <row r="795" ht="15.75" customHeight="1" s="60">
      <c r="A795" s="41" t="n"/>
      <c r="B795" s="41" t="n"/>
      <c r="C795" s="41" t="n"/>
      <c r="D795" s="41" t="n"/>
      <c r="E795" s="41" t="n"/>
      <c r="F795" s="41" t="n"/>
    </row>
    <row r="796" ht="15.75" customHeight="1" s="60">
      <c r="A796" s="41" t="n"/>
      <c r="B796" s="41" t="n"/>
      <c r="C796" s="41" t="n"/>
      <c r="D796" s="41" t="n"/>
      <c r="E796" s="41" t="n"/>
      <c r="F796" s="41" t="n"/>
    </row>
    <row r="797" ht="15.75" customHeight="1" s="60">
      <c r="A797" s="41" t="n"/>
      <c r="B797" s="41" t="n"/>
      <c r="C797" s="41" t="n"/>
      <c r="D797" s="41" t="n"/>
      <c r="E797" s="41" t="n"/>
      <c r="F797" s="41" t="n"/>
    </row>
    <row r="798" ht="15.75" customHeight="1" s="60">
      <c r="A798" s="41" t="n"/>
      <c r="B798" s="41" t="n"/>
      <c r="C798" s="41" t="n"/>
      <c r="D798" s="41" t="n"/>
      <c r="E798" s="41" t="n"/>
      <c r="F798" s="41" t="n"/>
    </row>
    <row r="799" ht="15.75" customHeight="1" s="60">
      <c r="A799" s="41" t="n"/>
      <c r="B799" s="41" t="n"/>
      <c r="C799" s="41" t="n"/>
      <c r="D799" s="41" t="n"/>
      <c r="E799" s="41" t="n"/>
      <c r="F799" s="41" t="n"/>
    </row>
    <row r="800" ht="15.75" customHeight="1" s="60">
      <c r="A800" s="41" t="n"/>
      <c r="B800" s="41" t="n"/>
      <c r="C800" s="41" t="n"/>
      <c r="D800" s="41" t="n"/>
      <c r="E800" s="41" t="n"/>
      <c r="F800" s="41" t="n"/>
    </row>
    <row r="801" ht="15.75" customHeight="1" s="60">
      <c r="A801" s="41" t="n"/>
      <c r="B801" s="41" t="n"/>
      <c r="C801" s="41" t="n"/>
      <c r="D801" s="41" t="n"/>
      <c r="E801" s="41" t="n"/>
      <c r="F801" s="41" t="n"/>
    </row>
    <row r="802" ht="15.75" customHeight="1" s="60">
      <c r="A802" s="41" t="n"/>
      <c r="B802" s="41" t="n"/>
      <c r="C802" s="41" t="n"/>
      <c r="D802" s="41" t="n"/>
      <c r="E802" s="41" t="n"/>
      <c r="F802" s="41" t="n"/>
    </row>
    <row r="803" ht="15.75" customHeight="1" s="60">
      <c r="A803" s="41" t="n"/>
      <c r="B803" s="41" t="n"/>
      <c r="C803" s="41" t="n"/>
      <c r="D803" s="41" t="n"/>
      <c r="E803" s="41" t="n"/>
      <c r="F803" s="41" t="n"/>
    </row>
    <row r="804" ht="15.75" customHeight="1" s="60">
      <c r="A804" s="41" t="n"/>
      <c r="B804" s="41" t="n"/>
      <c r="C804" s="41" t="n"/>
      <c r="D804" s="41" t="n"/>
      <c r="E804" s="41" t="n"/>
      <c r="F804" s="41" t="n"/>
    </row>
    <row r="805" ht="15.75" customHeight="1" s="60">
      <c r="A805" s="41" t="n"/>
      <c r="B805" s="41" t="n"/>
      <c r="C805" s="41" t="n"/>
      <c r="D805" s="41" t="n"/>
      <c r="E805" s="41" t="n"/>
      <c r="F805" s="41" t="n"/>
    </row>
    <row r="806" ht="15.75" customHeight="1" s="60">
      <c r="A806" s="41" t="n"/>
      <c r="B806" s="41" t="n"/>
      <c r="C806" s="41" t="n"/>
      <c r="D806" s="41" t="n"/>
      <c r="E806" s="41" t="n"/>
      <c r="F806" s="41" t="n"/>
    </row>
    <row r="807" ht="15.75" customHeight="1" s="60">
      <c r="A807" s="41" t="n"/>
      <c r="B807" s="41" t="n"/>
      <c r="C807" s="41" t="n"/>
      <c r="D807" s="41" t="n"/>
      <c r="E807" s="41" t="n"/>
      <c r="F807" s="41" t="n"/>
    </row>
    <row r="808" ht="15.75" customHeight="1" s="60">
      <c r="A808" s="41" t="n"/>
      <c r="B808" s="41" t="n"/>
      <c r="C808" s="41" t="n"/>
      <c r="D808" s="41" t="n"/>
      <c r="E808" s="41" t="n"/>
      <c r="F808" s="41" t="n"/>
    </row>
    <row r="809" ht="15.75" customHeight="1" s="60">
      <c r="A809" s="41" t="n"/>
      <c r="B809" s="41" t="n"/>
      <c r="C809" s="41" t="n"/>
      <c r="D809" s="41" t="n"/>
      <c r="E809" s="41" t="n"/>
      <c r="F809" s="41" t="n"/>
    </row>
    <row r="810" ht="15.75" customHeight="1" s="60">
      <c r="A810" s="41" t="n"/>
      <c r="B810" s="41" t="n"/>
      <c r="C810" s="41" t="n"/>
      <c r="D810" s="41" t="n"/>
      <c r="E810" s="41" t="n"/>
      <c r="F810" s="41" t="n"/>
    </row>
    <row r="811" ht="15.75" customHeight="1" s="60">
      <c r="A811" s="41" t="n"/>
      <c r="B811" s="41" t="n"/>
      <c r="C811" s="41" t="n"/>
      <c r="D811" s="41" t="n"/>
      <c r="E811" s="41" t="n"/>
      <c r="F811" s="41" t="n"/>
    </row>
    <row r="812" ht="15.75" customHeight="1" s="60">
      <c r="A812" s="41" t="n"/>
      <c r="B812" s="41" t="n"/>
      <c r="C812" s="41" t="n"/>
      <c r="D812" s="41" t="n"/>
      <c r="E812" s="41" t="n"/>
      <c r="F812" s="41" t="n"/>
    </row>
    <row r="813" ht="15.75" customHeight="1" s="60">
      <c r="A813" s="41" t="n"/>
      <c r="B813" s="41" t="n"/>
      <c r="C813" s="41" t="n"/>
      <c r="D813" s="41" t="n"/>
      <c r="E813" s="41" t="n"/>
      <c r="F813" s="41" t="n"/>
    </row>
    <row r="814" ht="15.75" customHeight="1" s="60">
      <c r="A814" s="41" t="n"/>
      <c r="B814" s="41" t="n"/>
      <c r="C814" s="41" t="n"/>
      <c r="D814" s="41" t="n"/>
      <c r="E814" s="41" t="n"/>
      <c r="F814" s="41" t="n"/>
    </row>
    <row r="815" ht="15.75" customHeight="1" s="60">
      <c r="A815" s="41" t="n"/>
      <c r="B815" s="41" t="n"/>
      <c r="C815" s="41" t="n"/>
      <c r="D815" s="41" t="n"/>
      <c r="E815" s="41" t="n"/>
      <c r="F815" s="41" t="n"/>
    </row>
    <row r="816" ht="15.75" customHeight="1" s="60">
      <c r="A816" s="41" t="n"/>
      <c r="B816" s="41" t="n"/>
      <c r="C816" s="41" t="n"/>
      <c r="D816" s="41" t="n"/>
      <c r="E816" s="41" t="n"/>
      <c r="F816" s="41" t="n"/>
    </row>
    <row r="817" ht="15.75" customHeight="1" s="60">
      <c r="A817" s="41" t="n"/>
      <c r="B817" s="41" t="n"/>
      <c r="C817" s="41" t="n"/>
      <c r="D817" s="41" t="n"/>
      <c r="E817" s="41" t="n"/>
      <c r="F817" s="41" t="n"/>
    </row>
    <row r="818" ht="15.75" customHeight="1" s="60">
      <c r="A818" s="41" t="n"/>
      <c r="B818" s="41" t="n"/>
      <c r="C818" s="41" t="n"/>
      <c r="D818" s="41" t="n"/>
      <c r="E818" s="41" t="n"/>
      <c r="F818" s="41" t="n"/>
    </row>
    <row r="819" ht="15.75" customHeight="1" s="60">
      <c r="A819" s="41" t="n"/>
      <c r="B819" s="41" t="n"/>
      <c r="C819" s="41" t="n"/>
      <c r="D819" s="41" t="n"/>
      <c r="E819" s="41" t="n"/>
      <c r="F819" s="41" t="n"/>
    </row>
    <row r="820" ht="15.75" customHeight="1" s="60">
      <c r="A820" s="41" t="n"/>
      <c r="B820" s="41" t="n"/>
      <c r="C820" s="41" t="n"/>
      <c r="D820" s="41" t="n"/>
      <c r="E820" s="41" t="n"/>
      <c r="F820" s="41" t="n"/>
    </row>
    <row r="821" ht="15.75" customHeight="1" s="60">
      <c r="A821" s="41" t="n"/>
      <c r="B821" s="41" t="n"/>
      <c r="C821" s="41" t="n"/>
      <c r="D821" s="41" t="n"/>
      <c r="E821" s="41" t="n"/>
      <c r="F821" s="41" t="n"/>
    </row>
    <row r="822" ht="15.75" customHeight="1" s="60">
      <c r="A822" s="41" t="n"/>
      <c r="B822" s="41" t="n"/>
      <c r="C822" s="41" t="n"/>
      <c r="D822" s="41" t="n"/>
      <c r="E822" s="41" t="n"/>
      <c r="F822" s="41" t="n"/>
    </row>
    <row r="823" ht="15.75" customHeight="1" s="60">
      <c r="A823" s="41" t="n"/>
      <c r="B823" s="41" t="n"/>
      <c r="C823" s="41" t="n"/>
      <c r="D823" s="41" t="n"/>
      <c r="E823" s="41" t="n"/>
      <c r="F823" s="41" t="n"/>
    </row>
    <row r="824" ht="15.75" customHeight="1" s="60">
      <c r="A824" s="41" t="n"/>
      <c r="B824" s="41" t="n"/>
      <c r="C824" s="41" t="n"/>
      <c r="D824" s="41" t="n"/>
      <c r="E824" s="41" t="n"/>
      <c r="F824" s="41" t="n"/>
    </row>
    <row r="825" ht="15.75" customHeight="1" s="60">
      <c r="A825" s="41" t="n"/>
      <c r="B825" s="41" t="n"/>
      <c r="C825" s="41" t="n"/>
      <c r="D825" s="41" t="n"/>
      <c r="E825" s="41" t="n"/>
      <c r="F825" s="41" t="n"/>
    </row>
    <row r="826" ht="15.75" customHeight="1" s="60">
      <c r="A826" s="41" t="n"/>
      <c r="B826" s="41" t="n"/>
      <c r="C826" s="41" t="n"/>
      <c r="D826" s="41" t="n"/>
      <c r="E826" s="41" t="n"/>
      <c r="F826" s="41" t="n"/>
    </row>
    <row r="827" ht="15.75" customHeight="1" s="60">
      <c r="A827" s="41" t="n"/>
      <c r="B827" s="41" t="n"/>
      <c r="C827" s="41" t="n"/>
      <c r="D827" s="41" t="n"/>
      <c r="E827" s="41" t="n"/>
      <c r="F827" s="41" t="n"/>
    </row>
    <row r="828" ht="15.75" customHeight="1" s="60">
      <c r="A828" s="41" t="n"/>
      <c r="B828" s="41" t="n"/>
      <c r="C828" s="41" t="n"/>
      <c r="D828" s="41" t="n"/>
      <c r="E828" s="41" t="n"/>
      <c r="F828" s="41" t="n"/>
    </row>
    <row r="829" ht="15.75" customHeight="1" s="60">
      <c r="A829" s="41" t="n"/>
      <c r="B829" s="41" t="n"/>
      <c r="C829" s="41" t="n"/>
      <c r="D829" s="41" t="n"/>
      <c r="E829" s="41" t="n"/>
      <c r="F829" s="41" t="n"/>
    </row>
    <row r="830" ht="15.75" customHeight="1" s="60">
      <c r="A830" s="41" t="n"/>
      <c r="B830" s="41" t="n"/>
      <c r="C830" s="41" t="n"/>
      <c r="D830" s="41" t="n"/>
      <c r="E830" s="41" t="n"/>
      <c r="F830" s="41" t="n"/>
    </row>
    <row r="831" ht="15.75" customHeight="1" s="60">
      <c r="A831" s="41" t="n"/>
      <c r="B831" s="41" t="n"/>
      <c r="C831" s="41" t="n"/>
      <c r="D831" s="41" t="n"/>
      <c r="E831" s="41" t="n"/>
      <c r="F831" s="41" t="n"/>
    </row>
    <row r="832" ht="15.75" customHeight="1" s="60">
      <c r="A832" s="41" t="n"/>
      <c r="B832" s="41" t="n"/>
      <c r="C832" s="41" t="n"/>
      <c r="D832" s="41" t="n"/>
      <c r="E832" s="41" t="n"/>
      <c r="F832" s="41" t="n"/>
    </row>
    <row r="833" ht="15.75" customHeight="1" s="60">
      <c r="A833" s="41" t="n"/>
      <c r="B833" s="41" t="n"/>
      <c r="C833" s="41" t="n"/>
      <c r="D833" s="41" t="n"/>
      <c r="E833" s="41" t="n"/>
      <c r="F833" s="41" t="n"/>
    </row>
    <row r="834" ht="15.75" customHeight="1" s="60">
      <c r="A834" s="41" t="n"/>
      <c r="B834" s="41" t="n"/>
      <c r="C834" s="41" t="n"/>
      <c r="D834" s="41" t="n"/>
      <c r="E834" s="41" t="n"/>
      <c r="F834" s="41" t="n"/>
    </row>
    <row r="835" ht="15.75" customHeight="1" s="60">
      <c r="A835" s="41" t="n"/>
      <c r="B835" s="41" t="n"/>
      <c r="C835" s="41" t="n"/>
      <c r="D835" s="41" t="n"/>
      <c r="E835" s="41" t="n"/>
      <c r="F835" s="41" t="n"/>
    </row>
    <row r="836" ht="15.75" customHeight="1" s="60">
      <c r="A836" s="41" t="n"/>
      <c r="B836" s="41" t="n"/>
      <c r="C836" s="41" t="n"/>
      <c r="D836" s="41" t="n"/>
      <c r="E836" s="41" t="n"/>
      <c r="F836" s="41" t="n"/>
    </row>
    <row r="837" ht="15.75" customHeight="1" s="60">
      <c r="A837" s="41" t="n"/>
      <c r="B837" s="41" t="n"/>
      <c r="C837" s="41" t="n"/>
      <c r="D837" s="41" t="n"/>
      <c r="E837" s="41" t="n"/>
      <c r="F837" s="41" t="n"/>
    </row>
    <row r="838" ht="15.75" customHeight="1" s="60">
      <c r="A838" s="41" t="n"/>
      <c r="B838" s="41" t="n"/>
      <c r="C838" s="41" t="n"/>
      <c r="D838" s="41" t="n"/>
      <c r="E838" s="41" t="n"/>
      <c r="F838" s="41" t="n"/>
    </row>
    <row r="839" ht="15.75" customHeight="1" s="60">
      <c r="A839" s="41" t="n"/>
      <c r="B839" s="41" t="n"/>
      <c r="C839" s="41" t="n"/>
      <c r="D839" s="41" t="n"/>
      <c r="E839" s="41" t="n"/>
      <c r="F839" s="41" t="n"/>
    </row>
    <row r="840" ht="15.75" customHeight="1" s="60">
      <c r="A840" s="41" t="n"/>
      <c r="B840" s="41" t="n"/>
      <c r="C840" s="41" t="n"/>
      <c r="D840" s="41" t="n"/>
      <c r="E840" s="41" t="n"/>
      <c r="F840" s="41" t="n"/>
    </row>
    <row r="841" ht="15.75" customHeight="1" s="60">
      <c r="A841" s="41" t="n"/>
      <c r="B841" s="41" t="n"/>
      <c r="C841" s="41" t="n"/>
      <c r="D841" s="41" t="n"/>
      <c r="E841" s="41" t="n"/>
      <c r="F841" s="41" t="n"/>
    </row>
    <row r="842" ht="15.75" customHeight="1" s="60">
      <c r="A842" s="41" t="n"/>
      <c r="B842" s="41" t="n"/>
      <c r="C842" s="41" t="n"/>
      <c r="D842" s="41" t="n"/>
      <c r="E842" s="41" t="n"/>
      <c r="F842" s="41" t="n"/>
    </row>
    <row r="843" ht="15.75" customHeight="1" s="60">
      <c r="A843" s="41" t="n"/>
      <c r="B843" s="41" t="n"/>
      <c r="C843" s="41" t="n"/>
      <c r="D843" s="41" t="n"/>
      <c r="E843" s="41" t="n"/>
      <c r="F843" s="41" t="n"/>
    </row>
    <row r="844" ht="15.75" customHeight="1" s="60">
      <c r="A844" s="41" t="n"/>
      <c r="B844" s="41" t="n"/>
      <c r="C844" s="41" t="n"/>
      <c r="D844" s="41" t="n"/>
      <c r="E844" s="41" t="n"/>
      <c r="F844" s="41" t="n"/>
    </row>
    <row r="845" ht="15.75" customHeight="1" s="60">
      <c r="A845" s="41" t="n"/>
      <c r="B845" s="41" t="n"/>
      <c r="C845" s="41" t="n"/>
      <c r="D845" s="41" t="n"/>
      <c r="E845" s="41" t="n"/>
      <c r="F845" s="41" t="n"/>
    </row>
    <row r="846" ht="15.75" customHeight="1" s="60">
      <c r="A846" s="41" t="n"/>
      <c r="B846" s="41" t="n"/>
      <c r="C846" s="41" t="n"/>
      <c r="D846" s="41" t="n"/>
      <c r="E846" s="41" t="n"/>
      <c r="F846" s="41" t="n"/>
    </row>
    <row r="847" ht="15.75" customHeight="1" s="60">
      <c r="A847" s="41" t="n"/>
      <c r="B847" s="41" t="n"/>
      <c r="C847" s="41" t="n"/>
      <c r="D847" s="41" t="n"/>
      <c r="E847" s="41" t="n"/>
      <c r="F847" s="41" t="n"/>
    </row>
    <row r="848" ht="15.75" customHeight="1" s="60">
      <c r="A848" s="41" t="n"/>
      <c r="B848" s="41" t="n"/>
      <c r="C848" s="41" t="n"/>
      <c r="D848" s="41" t="n"/>
      <c r="E848" s="41" t="n"/>
      <c r="F848" s="41" t="n"/>
    </row>
    <row r="849" ht="15.75" customHeight="1" s="60">
      <c r="A849" s="41" t="n"/>
      <c r="B849" s="41" t="n"/>
      <c r="C849" s="41" t="n"/>
      <c r="D849" s="41" t="n"/>
      <c r="E849" s="41" t="n"/>
      <c r="F849" s="41" t="n"/>
    </row>
    <row r="850" ht="15.75" customHeight="1" s="60">
      <c r="A850" s="41" t="n"/>
      <c r="B850" s="41" t="n"/>
      <c r="C850" s="41" t="n"/>
      <c r="D850" s="41" t="n"/>
      <c r="E850" s="41" t="n"/>
      <c r="F850" s="41" t="n"/>
    </row>
    <row r="851" ht="15.75" customHeight="1" s="60">
      <c r="A851" s="41" t="n"/>
      <c r="B851" s="41" t="n"/>
      <c r="C851" s="41" t="n"/>
      <c r="D851" s="41" t="n"/>
      <c r="E851" s="41" t="n"/>
      <c r="F851" s="41" t="n"/>
    </row>
    <row r="852" ht="15.75" customHeight="1" s="60">
      <c r="A852" s="41" t="n"/>
      <c r="B852" s="41" t="n"/>
      <c r="C852" s="41" t="n"/>
      <c r="D852" s="41" t="n"/>
      <c r="E852" s="41" t="n"/>
      <c r="F852" s="41" t="n"/>
    </row>
    <row r="853" ht="15.75" customHeight="1" s="60">
      <c r="A853" s="41" t="n"/>
      <c r="B853" s="41" t="n"/>
      <c r="C853" s="41" t="n"/>
      <c r="D853" s="41" t="n"/>
      <c r="E853" s="41" t="n"/>
      <c r="F853" s="41" t="n"/>
    </row>
    <row r="854" ht="15.75" customHeight="1" s="60">
      <c r="A854" s="41" t="n"/>
      <c r="B854" s="41" t="n"/>
      <c r="C854" s="41" t="n"/>
      <c r="D854" s="41" t="n"/>
      <c r="E854" s="41" t="n"/>
      <c r="F854" s="41" t="n"/>
    </row>
    <row r="855" ht="15.75" customHeight="1" s="60">
      <c r="A855" s="41" t="n"/>
      <c r="B855" s="41" t="n"/>
      <c r="C855" s="41" t="n"/>
      <c r="D855" s="41" t="n"/>
      <c r="E855" s="41" t="n"/>
      <c r="F855" s="41" t="n"/>
    </row>
    <row r="856" ht="15.75" customHeight="1" s="60">
      <c r="A856" s="41" t="n"/>
      <c r="B856" s="41" t="n"/>
      <c r="C856" s="41" t="n"/>
      <c r="D856" s="41" t="n"/>
      <c r="E856" s="41" t="n"/>
      <c r="F856" s="41" t="n"/>
    </row>
    <row r="857" ht="15.75" customHeight="1" s="60">
      <c r="A857" s="41" t="n"/>
      <c r="B857" s="41" t="n"/>
      <c r="C857" s="41" t="n"/>
      <c r="D857" s="41" t="n"/>
      <c r="E857" s="41" t="n"/>
      <c r="F857" s="41" t="n"/>
    </row>
    <row r="858" ht="15.75" customHeight="1" s="60">
      <c r="A858" s="41" t="n"/>
      <c r="B858" s="41" t="n"/>
      <c r="C858" s="41" t="n"/>
      <c r="D858" s="41" t="n"/>
      <c r="E858" s="41" t="n"/>
      <c r="F858" s="41" t="n"/>
    </row>
    <row r="859" ht="15.75" customHeight="1" s="60">
      <c r="A859" s="41" t="n"/>
      <c r="B859" s="41" t="n"/>
      <c r="C859" s="41" t="n"/>
      <c r="D859" s="41" t="n"/>
      <c r="E859" s="41" t="n"/>
      <c r="F859" s="41" t="n"/>
    </row>
    <row r="860" ht="15.75" customHeight="1" s="60">
      <c r="A860" s="41" t="n"/>
      <c r="B860" s="41" t="n"/>
      <c r="C860" s="41" t="n"/>
      <c r="D860" s="41" t="n"/>
      <c r="E860" s="41" t="n"/>
      <c r="F860" s="41" t="n"/>
    </row>
    <row r="861" ht="15.75" customHeight="1" s="60">
      <c r="A861" s="41" t="n"/>
      <c r="B861" s="41" t="n"/>
      <c r="C861" s="41" t="n"/>
      <c r="D861" s="41" t="n"/>
      <c r="E861" s="41" t="n"/>
      <c r="F861" s="41" t="n"/>
    </row>
    <row r="862" ht="15.75" customHeight="1" s="60">
      <c r="A862" s="41" t="n"/>
      <c r="B862" s="41" t="n"/>
      <c r="C862" s="41" t="n"/>
      <c r="D862" s="41" t="n"/>
      <c r="E862" s="41" t="n"/>
      <c r="F862" s="41" t="n"/>
    </row>
    <row r="863" ht="15.75" customHeight="1" s="60">
      <c r="A863" s="41" t="n"/>
      <c r="B863" s="41" t="n"/>
      <c r="C863" s="41" t="n"/>
      <c r="D863" s="41" t="n"/>
      <c r="E863" s="41" t="n"/>
      <c r="F863" s="41" t="n"/>
    </row>
    <row r="864" ht="15.75" customHeight="1" s="60">
      <c r="A864" s="41" t="n"/>
      <c r="B864" s="41" t="n"/>
      <c r="C864" s="41" t="n"/>
      <c r="D864" s="41" t="n"/>
      <c r="E864" s="41" t="n"/>
      <c r="F864" s="41" t="n"/>
    </row>
    <row r="865" ht="15.75" customHeight="1" s="60">
      <c r="A865" s="41" t="n"/>
      <c r="B865" s="41" t="n"/>
      <c r="C865" s="41" t="n"/>
      <c r="D865" s="41" t="n"/>
      <c r="E865" s="41" t="n"/>
      <c r="F865" s="41" t="n"/>
    </row>
    <row r="866" ht="15.75" customHeight="1" s="60">
      <c r="A866" s="41" t="n"/>
      <c r="B866" s="41" t="n"/>
      <c r="C866" s="41" t="n"/>
      <c r="D866" s="41" t="n"/>
      <c r="E866" s="41" t="n"/>
      <c r="F866" s="41" t="n"/>
    </row>
    <row r="867" ht="15.75" customHeight="1" s="60">
      <c r="A867" s="41" t="n"/>
      <c r="B867" s="41" t="n"/>
      <c r="C867" s="41" t="n"/>
      <c r="D867" s="41" t="n"/>
      <c r="E867" s="41" t="n"/>
      <c r="F867" s="41" t="n"/>
    </row>
    <row r="868" ht="15.75" customHeight="1" s="60">
      <c r="A868" s="41" t="n"/>
      <c r="B868" s="41" t="n"/>
      <c r="C868" s="41" t="n"/>
      <c r="D868" s="41" t="n"/>
      <c r="E868" s="41" t="n"/>
      <c r="F868" s="41" t="n"/>
    </row>
    <row r="869" ht="15.75" customHeight="1" s="60">
      <c r="A869" s="41" t="n"/>
      <c r="B869" s="41" t="n"/>
      <c r="C869" s="41" t="n"/>
      <c r="D869" s="41" t="n"/>
      <c r="E869" s="41" t="n"/>
      <c r="F869" s="41" t="n"/>
    </row>
    <row r="870" ht="15.75" customHeight="1" s="60">
      <c r="A870" s="41" t="n"/>
      <c r="B870" s="41" t="n"/>
      <c r="C870" s="41" t="n"/>
      <c r="D870" s="41" t="n"/>
      <c r="E870" s="41" t="n"/>
      <c r="F870" s="41" t="n"/>
    </row>
    <row r="871" ht="15.75" customHeight="1" s="60">
      <c r="A871" s="41" t="n"/>
      <c r="B871" s="41" t="n"/>
      <c r="C871" s="41" t="n"/>
      <c r="D871" s="41" t="n"/>
      <c r="E871" s="41" t="n"/>
      <c r="F871" s="41" t="n"/>
    </row>
    <row r="872" ht="15.75" customHeight="1" s="60">
      <c r="A872" s="41" t="n"/>
      <c r="B872" s="41" t="n"/>
      <c r="C872" s="41" t="n"/>
      <c r="D872" s="41" t="n"/>
      <c r="E872" s="41" t="n"/>
      <c r="F872" s="41" t="n"/>
    </row>
    <row r="873" ht="15.75" customHeight="1" s="60">
      <c r="A873" s="41" t="n"/>
      <c r="B873" s="41" t="n"/>
      <c r="C873" s="41" t="n"/>
      <c r="D873" s="41" t="n"/>
      <c r="E873" s="41" t="n"/>
      <c r="F873" s="41" t="n"/>
    </row>
    <row r="874" ht="15.75" customHeight="1" s="60">
      <c r="A874" s="41" t="n"/>
      <c r="B874" s="41" t="n"/>
      <c r="C874" s="41" t="n"/>
      <c r="D874" s="41" t="n"/>
      <c r="E874" s="41" t="n"/>
      <c r="F874" s="41" t="n"/>
    </row>
    <row r="875" ht="15.75" customHeight="1" s="60">
      <c r="A875" s="41" t="n"/>
      <c r="B875" s="41" t="n"/>
      <c r="C875" s="41" t="n"/>
      <c r="D875" s="41" t="n"/>
      <c r="E875" s="41" t="n"/>
      <c r="F875" s="41" t="n"/>
    </row>
    <row r="876" ht="15.75" customHeight="1" s="60">
      <c r="A876" s="41" t="n"/>
      <c r="B876" s="41" t="n"/>
      <c r="C876" s="41" t="n"/>
      <c r="D876" s="41" t="n"/>
      <c r="E876" s="41" t="n"/>
      <c r="F876" s="41" t="n"/>
    </row>
    <row r="877" ht="15.75" customHeight="1" s="60">
      <c r="A877" s="41" t="n"/>
      <c r="B877" s="41" t="n"/>
      <c r="C877" s="41" t="n"/>
      <c r="D877" s="41" t="n"/>
      <c r="E877" s="41" t="n"/>
      <c r="F877" s="41" t="n"/>
    </row>
    <row r="878" ht="15.75" customHeight="1" s="60">
      <c r="A878" s="41" t="n"/>
      <c r="B878" s="41" t="n"/>
      <c r="C878" s="41" t="n"/>
      <c r="D878" s="41" t="n"/>
      <c r="E878" s="41" t="n"/>
      <c r="F878" s="41" t="n"/>
    </row>
    <row r="879" ht="15.75" customHeight="1" s="60">
      <c r="A879" s="41" t="n"/>
      <c r="B879" s="41" t="n"/>
      <c r="C879" s="41" t="n"/>
      <c r="D879" s="41" t="n"/>
      <c r="E879" s="41" t="n"/>
      <c r="F879" s="41" t="n"/>
    </row>
    <row r="880" ht="15.75" customHeight="1" s="60">
      <c r="A880" s="41" t="n"/>
      <c r="B880" s="41" t="n"/>
      <c r="C880" s="41" t="n"/>
      <c r="D880" s="41" t="n"/>
      <c r="E880" s="41" t="n"/>
      <c r="F880" s="41" t="n"/>
    </row>
    <row r="881" ht="15.75" customHeight="1" s="60">
      <c r="A881" s="41" t="n"/>
      <c r="B881" s="41" t="n"/>
      <c r="C881" s="41" t="n"/>
      <c r="D881" s="41" t="n"/>
      <c r="E881" s="41" t="n"/>
      <c r="F881" s="41" t="n"/>
    </row>
    <row r="882" ht="15.75" customHeight="1" s="60">
      <c r="A882" s="41" t="n"/>
      <c r="B882" s="41" t="n"/>
      <c r="C882" s="41" t="n"/>
      <c r="D882" s="41" t="n"/>
      <c r="E882" s="41" t="n"/>
      <c r="F882" s="41" t="n"/>
    </row>
    <row r="883" ht="15.75" customHeight="1" s="60">
      <c r="A883" s="41" t="n"/>
      <c r="B883" s="41" t="n"/>
      <c r="C883" s="41" t="n"/>
      <c r="D883" s="41" t="n"/>
      <c r="E883" s="41" t="n"/>
      <c r="F883" s="41" t="n"/>
    </row>
    <row r="884" ht="15.75" customHeight="1" s="60">
      <c r="A884" s="41" t="n"/>
      <c r="B884" s="41" t="n"/>
      <c r="C884" s="41" t="n"/>
      <c r="D884" s="41" t="n"/>
      <c r="E884" s="41" t="n"/>
      <c r="F884" s="41" t="n"/>
    </row>
    <row r="885" ht="15.75" customHeight="1" s="60">
      <c r="A885" s="41" t="n"/>
      <c r="B885" s="41" t="n"/>
      <c r="C885" s="41" t="n"/>
      <c r="D885" s="41" t="n"/>
      <c r="E885" s="41" t="n"/>
      <c r="F885" s="41" t="n"/>
    </row>
    <row r="886" ht="15.75" customHeight="1" s="60">
      <c r="A886" s="41" t="n"/>
      <c r="B886" s="41" t="n"/>
      <c r="C886" s="41" t="n"/>
      <c r="D886" s="41" t="n"/>
      <c r="E886" s="41" t="n"/>
      <c r="F886" s="41" t="n"/>
    </row>
    <row r="887" ht="15.75" customHeight="1" s="60">
      <c r="A887" s="41" t="n"/>
      <c r="B887" s="41" t="n"/>
      <c r="C887" s="41" t="n"/>
      <c r="D887" s="41" t="n"/>
      <c r="E887" s="41" t="n"/>
      <c r="F887" s="41" t="n"/>
    </row>
    <row r="888" ht="15.75" customHeight="1" s="60">
      <c r="A888" s="41" t="n"/>
      <c r="B888" s="41" t="n"/>
      <c r="C888" s="41" t="n"/>
      <c r="D888" s="41" t="n"/>
      <c r="E888" s="41" t="n"/>
      <c r="F888" s="41" t="n"/>
    </row>
    <row r="889" ht="15.75" customHeight="1" s="60">
      <c r="A889" s="41" t="n"/>
      <c r="B889" s="41" t="n"/>
      <c r="C889" s="41" t="n"/>
      <c r="D889" s="41" t="n"/>
      <c r="E889" s="41" t="n"/>
      <c r="F889" s="41" t="n"/>
    </row>
    <row r="890" ht="15.75" customHeight="1" s="60">
      <c r="A890" s="41" t="n"/>
      <c r="B890" s="41" t="n"/>
      <c r="C890" s="41" t="n"/>
      <c r="D890" s="41" t="n"/>
      <c r="E890" s="41" t="n"/>
      <c r="F890" s="41" t="n"/>
    </row>
    <row r="891" ht="15.75" customHeight="1" s="60">
      <c r="A891" s="41" t="n"/>
      <c r="B891" s="41" t="n"/>
      <c r="C891" s="41" t="n"/>
      <c r="D891" s="41" t="n"/>
      <c r="E891" s="41" t="n"/>
      <c r="F891" s="41" t="n"/>
    </row>
    <row r="892" ht="15.75" customHeight="1" s="60">
      <c r="A892" s="41" t="n"/>
      <c r="B892" s="41" t="n"/>
      <c r="C892" s="41" t="n"/>
      <c r="D892" s="41" t="n"/>
      <c r="E892" s="41" t="n"/>
      <c r="F892" s="41" t="n"/>
    </row>
    <row r="893" ht="15.75" customHeight="1" s="60">
      <c r="A893" s="41" t="n"/>
      <c r="B893" s="41" t="n"/>
      <c r="C893" s="41" t="n"/>
      <c r="D893" s="41" t="n"/>
      <c r="E893" s="41" t="n"/>
      <c r="F893" s="41" t="n"/>
    </row>
    <row r="894" ht="15.75" customHeight="1" s="60">
      <c r="A894" s="41" t="n"/>
      <c r="B894" s="41" t="n"/>
      <c r="C894" s="41" t="n"/>
      <c r="D894" s="41" t="n"/>
      <c r="E894" s="41" t="n"/>
      <c r="F894" s="41" t="n"/>
    </row>
    <row r="895" ht="15.75" customHeight="1" s="60">
      <c r="A895" s="41" t="n"/>
      <c r="B895" s="41" t="n"/>
      <c r="C895" s="41" t="n"/>
      <c r="D895" s="41" t="n"/>
      <c r="E895" s="41" t="n"/>
      <c r="F895" s="41" t="n"/>
    </row>
    <row r="896" ht="15.75" customHeight="1" s="60">
      <c r="A896" s="41" t="n"/>
      <c r="B896" s="41" t="n"/>
      <c r="C896" s="41" t="n"/>
      <c r="D896" s="41" t="n"/>
      <c r="E896" s="41" t="n"/>
      <c r="F896" s="41" t="n"/>
    </row>
    <row r="897" ht="15.75" customHeight="1" s="60">
      <c r="A897" s="41" t="n"/>
      <c r="B897" s="41" t="n"/>
      <c r="C897" s="41" t="n"/>
      <c r="D897" s="41" t="n"/>
      <c r="E897" s="41" t="n"/>
      <c r="F897" s="41" t="n"/>
    </row>
    <row r="898" ht="15.75" customHeight="1" s="60">
      <c r="A898" s="41" t="n"/>
      <c r="B898" s="41" t="n"/>
      <c r="C898" s="41" t="n"/>
      <c r="D898" s="41" t="n"/>
      <c r="E898" s="41" t="n"/>
      <c r="F898" s="41" t="n"/>
    </row>
    <row r="899" ht="15.75" customHeight="1" s="60">
      <c r="A899" s="41" t="n"/>
      <c r="B899" s="41" t="n"/>
      <c r="C899" s="41" t="n"/>
      <c r="D899" s="41" t="n"/>
      <c r="E899" s="41" t="n"/>
      <c r="F899" s="41" t="n"/>
    </row>
    <row r="900" ht="15.75" customHeight="1" s="60">
      <c r="A900" s="41" t="n"/>
      <c r="B900" s="41" t="n"/>
      <c r="C900" s="41" t="n"/>
      <c r="D900" s="41" t="n"/>
      <c r="E900" s="41" t="n"/>
      <c r="F900" s="41" t="n"/>
    </row>
    <row r="901" ht="15.75" customHeight="1" s="60">
      <c r="A901" s="41" t="n"/>
      <c r="B901" s="41" t="n"/>
      <c r="C901" s="41" t="n"/>
      <c r="D901" s="41" t="n"/>
      <c r="E901" s="41" t="n"/>
      <c r="F901" s="41" t="n"/>
    </row>
    <row r="902" ht="15.75" customHeight="1" s="60">
      <c r="A902" s="41" t="n"/>
      <c r="B902" s="41" t="n"/>
      <c r="C902" s="41" t="n"/>
      <c r="D902" s="41" t="n"/>
      <c r="E902" s="41" t="n"/>
      <c r="F902" s="41" t="n"/>
    </row>
    <row r="903" ht="15.75" customHeight="1" s="60">
      <c r="A903" s="41" t="n"/>
      <c r="B903" s="41" t="n"/>
      <c r="C903" s="41" t="n"/>
      <c r="D903" s="41" t="n"/>
      <c r="E903" s="41" t="n"/>
      <c r="F903" s="41" t="n"/>
    </row>
    <row r="904" ht="15.75" customHeight="1" s="60">
      <c r="A904" s="41" t="n"/>
      <c r="B904" s="41" t="n"/>
      <c r="C904" s="41" t="n"/>
      <c r="D904" s="41" t="n"/>
      <c r="E904" s="41" t="n"/>
      <c r="F904" s="41" t="n"/>
    </row>
    <row r="905" ht="15.75" customHeight="1" s="60">
      <c r="A905" s="41" t="n"/>
      <c r="B905" s="41" t="n"/>
      <c r="C905" s="41" t="n"/>
      <c r="D905" s="41" t="n"/>
      <c r="E905" s="41" t="n"/>
      <c r="F905" s="41" t="n"/>
    </row>
    <row r="906" ht="15.75" customHeight="1" s="60">
      <c r="A906" s="41" t="n"/>
      <c r="B906" s="41" t="n"/>
      <c r="C906" s="41" t="n"/>
      <c r="D906" s="41" t="n"/>
      <c r="E906" s="41" t="n"/>
      <c r="F906" s="41" t="n"/>
    </row>
    <row r="907" ht="15.75" customHeight="1" s="60">
      <c r="A907" s="41" t="n"/>
      <c r="B907" s="41" t="n"/>
      <c r="C907" s="41" t="n"/>
      <c r="D907" s="41" t="n"/>
      <c r="E907" s="41" t="n"/>
      <c r="F907" s="41" t="n"/>
    </row>
    <row r="908" ht="15.75" customHeight="1" s="60">
      <c r="A908" s="41" t="n"/>
      <c r="B908" s="41" t="n"/>
      <c r="C908" s="41" t="n"/>
      <c r="D908" s="41" t="n"/>
      <c r="E908" s="41" t="n"/>
      <c r="F908" s="41" t="n"/>
    </row>
    <row r="909" ht="15.75" customHeight="1" s="60">
      <c r="A909" s="41" t="n"/>
      <c r="B909" s="41" t="n"/>
      <c r="C909" s="41" t="n"/>
      <c r="D909" s="41" t="n"/>
      <c r="E909" s="41" t="n"/>
      <c r="F909" s="41" t="n"/>
    </row>
    <row r="910" ht="15.75" customHeight="1" s="60">
      <c r="A910" s="41" t="n"/>
      <c r="B910" s="41" t="n"/>
      <c r="C910" s="41" t="n"/>
      <c r="D910" s="41" t="n"/>
      <c r="E910" s="41" t="n"/>
      <c r="F910" s="41" t="n"/>
    </row>
    <row r="911" ht="15.75" customHeight="1" s="60">
      <c r="A911" s="41" t="n"/>
      <c r="B911" s="41" t="n"/>
      <c r="C911" s="41" t="n"/>
      <c r="D911" s="41" t="n"/>
      <c r="E911" s="41" t="n"/>
      <c r="F911" s="41" t="n"/>
    </row>
    <row r="912" ht="15.75" customHeight="1" s="60">
      <c r="A912" s="41" t="n"/>
      <c r="B912" s="41" t="n"/>
      <c r="C912" s="41" t="n"/>
      <c r="D912" s="41" t="n"/>
      <c r="E912" s="41" t="n"/>
      <c r="F912" s="41" t="n"/>
    </row>
    <row r="913" ht="15.75" customHeight="1" s="60">
      <c r="A913" s="41" t="n"/>
      <c r="B913" s="41" t="n"/>
      <c r="C913" s="41" t="n"/>
      <c r="D913" s="41" t="n"/>
      <c r="E913" s="41" t="n"/>
      <c r="F913" s="41" t="n"/>
    </row>
    <row r="914" ht="15.75" customHeight="1" s="60">
      <c r="A914" s="41" t="n"/>
      <c r="B914" s="41" t="n"/>
      <c r="C914" s="41" t="n"/>
      <c r="D914" s="41" t="n"/>
      <c r="E914" s="41" t="n"/>
      <c r="F914" s="41" t="n"/>
    </row>
    <row r="915" ht="15.75" customHeight="1" s="60">
      <c r="A915" s="41" t="n"/>
      <c r="B915" s="41" t="n"/>
      <c r="C915" s="41" t="n"/>
      <c r="D915" s="41" t="n"/>
      <c r="E915" s="41" t="n"/>
      <c r="F915" s="41" t="n"/>
    </row>
    <row r="916" ht="15.75" customHeight="1" s="60">
      <c r="A916" s="41" t="n"/>
      <c r="B916" s="41" t="n"/>
      <c r="C916" s="41" t="n"/>
      <c r="D916" s="41" t="n"/>
      <c r="E916" s="41" t="n"/>
      <c r="F916" s="41" t="n"/>
    </row>
    <row r="917" ht="15.75" customHeight="1" s="60">
      <c r="A917" s="41" t="n"/>
      <c r="B917" s="41" t="n"/>
      <c r="C917" s="41" t="n"/>
      <c r="D917" s="41" t="n"/>
      <c r="E917" s="41" t="n"/>
      <c r="F917" s="41" t="n"/>
    </row>
    <row r="918" ht="15.75" customHeight="1" s="60">
      <c r="A918" s="41" t="n"/>
      <c r="B918" s="41" t="n"/>
      <c r="C918" s="41" t="n"/>
      <c r="D918" s="41" t="n"/>
      <c r="E918" s="41" t="n"/>
      <c r="F918" s="41" t="n"/>
    </row>
    <row r="919" ht="15.75" customHeight="1" s="60">
      <c r="A919" s="41" t="n"/>
      <c r="B919" s="41" t="n"/>
      <c r="C919" s="41" t="n"/>
      <c r="D919" s="41" t="n"/>
      <c r="E919" s="41" t="n"/>
      <c r="F919" s="41" t="n"/>
    </row>
    <row r="920" ht="15.75" customHeight="1" s="60">
      <c r="A920" s="41" t="n"/>
      <c r="B920" s="41" t="n"/>
      <c r="C920" s="41" t="n"/>
      <c r="D920" s="41" t="n"/>
      <c r="E920" s="41" t="n"/>
      <c r="F920" s="41" t="n"/>
    </row>
    <row r="921" ht="15.75" customHeight="1" s="60">
      <c r="A921" s="41" t="n"/>
      <c r="B921" s="41" t="n"/>
      <c r="C921" s="41" t="n"/>
      <c r="D921" s="41" t="n"/>
      <c r="E921" s="41" t="n"/>
      <c r="F921" s="41" t="n"/>
    </row>
    <row r="922" ht="15.75" customHeight="1" s="60">
      <c r="A922" s="41" t="n"/>
      <c r="B922" s="41" t="n"/>
      <c r="C922" s="41" t="n"/>
      <c r="D922" s="41" t="n"/>
      <c r="E922" s="41" t="n"/>
      <c r="F922" s="41" t="n"/>
    </row>
    <row r="923" ht="15.75" customHeight="1" s="60">
      <c r="A923" s="41" t="n"/>
      <c r="B923" s="41" t="n"/>
      <c r="C923" s="41" t="n"/>
      <c r="D923" s="41" t="n"/>
      <c r="E923" s="41" t="n"/>
      <c r="F923" s="41" t="n"/>
    </row>
    <row r="924" ht="15.75" customHeight="1" s="60">
      <c r="A924" s="41" t="n"/>
      <c r="B924" s="41" t="n"/>
      <c r="C924" s="41" t="n"/>
      <c r="D924" s="41" t="n"/>
      <c r="E924" s="41" t="n"/>
      <c r="F924" s="41" t="n"/>
    </row>
    <row r="925" ht="15.75" customHeight="1" s="60">
      <c r="A925" s="41" t="n"/>
      <c r="B925" s="41" t="n"/>
      <c r="C925" s="41" t="n"/>
      <c r="D925" s="41" t="n"/>
      <c r="E925" s="41" t="n"/>
      <c r="F925" s="41" t="n"/>
    </row>
    <row r="926" ht="15.75" customHeight="1" s="60">
      <c r="A926" s="41" t="n"/>
      <c r="B926" s="41" t="n"/>
      <c r="C926" s="41" t="n"/>
      <c r="D926" s="41" t="n"/>
      <c r="E926" s="41" t="n"/>
      <c r="F926" s="41" t="n"/>
    </row>
    <row r="927" ht="15.75" customHeight="1" s="60">
      <c r="A927" s="41" t="n"/>
      <c r="B927" s="41" t="n"/>
      <c r="C927" s="41" t="n"/>
      <c r="D927" s="41" t="n"/>
      <c r="E927" s="41" t="n"/>
      <c r="F927" s="41" t="n"/>
    </row>
    <row r="928" ht="15.75" customHeight="1" s="60">
      <c r="A928" s="41" t="n"/>
      <c r="B928" s="41" t="n"/>
      <c r="C928" s="41" t="n"/>
      <c r="D928" s="41" t="n"/>
      <c r="E928" s="41" t="n"/>
      <c r="F928" s="41" t="n"/>
    </row>
    <row r="929" ht="15.75" customHeight="1" s="60">
      <c r="A929" s="41" t="n"/>
      <c r="B929" s="41" t="n"/>
      <c r="C929" s="41" t="n"/>
      <c r="D929" s="41" t="n"/>
      <c r="E929" s="41" t="n"/>
      <c r="F929" s="41" t="n"/>
    </row>
    <row r="930" ht="15.75" customHeight="1" s="60">
      <c r="A930" s="41" t="n"/>
      <c r="B930" s="41" t="n"/>
      <c r="C930" s="41" t="n"/>
      <c r="D930" s="41" t="n"/>
      <c r="E930" s="41" t="n"/>
      <c r="F930" s="41" t="n"/>
    </row>
    <row r="931" ht="15.75" customHeight="1" s="60">
      <c r="A931" s="41" t="n"/>
      <c r="B931" s="41" t="n"/>
      <c r="C931" s="41" t="n"/>
      <c r="D931" s="41" t="n"/>
      <c r="E931" s="41" t="n"/>
      <c r="F931" s="41" t="n"/>
    </row>
    <row r="932" ht="15.75" customHeight="1" s="60">
      <c r="A932" s="41" t="n"/>
      <c r="B932" s="41" t="n"/>
      <c r="C932" s="41" t="n"/>
      <c r="D932" s="41" t="n"/>
      <c r="E932" s="41" t="n"/>
      <c r="F932" s="41" t="n"/>
    </row>
    <row r="933" ht="15.75" customHeight="1" s="60">
      <c r="A933" s="41" t="n"/>
      <c r="B933" s="41" t="n"/>
      <c r="C933" s="41" t="n"/>
      <c r="D933" s="41" t="n"/>
      <c r="E933" s="41" t="n"/>
      <c r="F933" s="41" t="n"/>
    </row>
    <row r="934" ht="15.75" customHeight="1" s="60">
      <c r="A934" s="41" t="n"/>
      <c r="B934" s="41" t="n"/>
      <c r="C934" s="41" t="n"/>
      <c r="D934" s="41" t="n"/>
      <c r="E934" s="41" t="n"/>
      <c r="F934" s="41" t="n"/>
    </row>
    <row r="935" ht="15.75" customHeight="1" s="60">
      <c r="A935" s="41" t="n"/>
      <c r="B935" s="41" t="n"/>
      <c r="C935" s="41" t="n"/>
      <c r="D935" s="41" t="n"/>
      <c r="E935" s="41" t="n"/>
      <c r="F935" s="41" t="n"/>
    </row>
    <row r="936" ht="15.75" customHeight="1" s="60">
      <c r="A936" s="41" t="n"/>
      <c r="B936" s="41" t="n"/>
      <c r="C936" s="41" t="n"/>
      <c r="D936" s="41" t="n"/>
      <c r="E936" s="41" t="n"/>
      <c r="F936" s="41" t="n"/>
    </row>
    <row r="937" ht="15.75" customHeight="1" s="60">
      <c r="A937" s="41" t="n"/>
      <c r="B937" s="41" t="n"/>
      <c r="C937" s="41" t="n"/>
      <c r="D937" s="41" t="n"/>
      <c r="E937" s="41" t="n"/>
      <c r="F937" s="41" t="n"/>
    </row>
    <row r="938" ht="15.75" customHeight="1" s="60">
      <c r="A938" s="41" t="n"/>
      <c r="B938" s="41" t="n"/>
      <c r="C938" s="41" t="n"/>
      <c r="D938" s="41" t="n"/>
      <c r="E938" s="41" t="n"/>
      <c r="F938" s="41" t="n"/>
    </row>
    <row r="939" ht="15.75" customHeight="1" s="60">
      <c r="A939" s="41" t="n"/>
      <c r="B939" s="41" t="n"/>
      <c r="C939" s="41" t="n"/>
      <c r="D939" s="41" t="n"/>
      <c r="E939" s="41" t="n"/>
      <c r="F939" s="41" t="n"/>
    </row>
    <row r="940" ht="15.75" customHeight="1" s="60">
      <c r="A940" s="41" t="n"/>
      <c r="B940" s="41" t="n"/>
      <c r="C940" s="41" t="n"/>
      <c r="D940" s="41" t="n"/>
      <c r="E940" s="41" t="n"/>
      <c r="F940" s="41" t="n"/>
    </row>
    <row r="941" ht="15.75" customHeight="1" s="60">
      <c r="A941" s="41" t="n"/>
      <c r="B941" s="41" t="n"/>
      <c r="C941" s="41" t="n"/>
      <c r="D941" s="41" t="n"/>
      <c r="E941" s="41" t="n"/>
      <c r="F941" s="41" t="n"/>
    </row>
    <row r="942" ht="15.75" customHeight="1" s="60">
      <c r="A942" s="41" t="n"/>
      <c r="B942" s="41" t="n"/>
      <c r="C942" s="41" t="n"/>
      <c r="D942" s="41" t="n"/>
      <c r="E942" s="41" t="n"/>
      <c r="F942" s="41" t="n"/>
    </row>
    <row r="943" ht="15.75" customHeight="1" s="60">
      <c r="A943" s="41" t="n"/>
      <c r="B943" s="41" t="n"/>
      <c r="C943" s="41" t="n"/>
      <c r="D943" s="41" t="n"/>
      <c r="E943" s="41" t="n"/>
      <c r="F943" s="41" t="n"/>
    </row>
    <row r="944" ht="15.75" customHeight="1" s="60">
      <c r="A944" s="41" t="n"/>
      <c r="B944" s="41" t="n"/>
      <c r="C944" s="41" t="n"/>
      <c r="D944" s="41" t="n"/>
      <c r="E944" s="41" t="n"/>
      <c r="F944" s="41" t="n"/>
    </row>
    <row r="945" ht="15.75" customHeight="1" s="60">
      <c r="A945" s="41" t="n"/>
      <c r="B945" s="41" t="n"/>
      <c r="C945" s="41" t="n"/>
      <c r="D945" s="41" t="n"/>
      <c r="E945" s="41" t="n"/>
      <c r="F945" s="41" t="n"/>
    </row>
    <row r="946" ht="15.75" customHeight="1" s="60">
      <c r="A946" s="41" t="n"/>
      <c r="B946" s="41" t="n"/>
      <c r="C946" s="41" t="n"/>
      <c r="D946" s="41" t="n"/>
      <c r="E946" s="41" t="n"/>
      <c r="F946" s="41" t="n"/>
    </row>
    <row r="947" ht="15.75" customHeight="1" s="60">
      <c r="A947" s="41" t="n"/>
      <c r="B947" s="41" t="n"/>
      <c r="C947" s="41" t="n"/>
      <c r="D947" s="41" t="n"/>
      <c r="E947" s="41" t="n"/>
      <c r="F947" s="41" t="n"/>
    </row>
    <row r="948" ht="15.75" customHeight="1" s="60">
      <c r="A948" s="41" t="n"/>
      <c r="B948" s="41" t="n"/>
      <c r="C948" s="41" t="n"/>
      <c r="D948" s="41" t="n"/>
      <c r="E948" s="41" t="n"/>
      <c r="F948" s="41" t="n"/>
    </row>
    <row r="949" ht="15.75" customHeight="1" s="60">
      <c r="A949" s="41" t="n"/>
      <c r="B949" s="41" t="n"/>
      <c r="C949" s="41" t="n"/>
      <c r="D949" s="41" t="n"/>
      <c r="E949" s="41" t="n"/>
      <c r="F949" s="41" t="n"/>
    </row>
    <row r="950" ht="15.75" customHeight="1" s="60">
      <c r="A950" s="41" t="n"/>
      <c r="B950" s="41" t="n"/>
      <c r="C950" s="41" t="n"/>
      <c r="D950" s="41" t="n"/>
      <c r="E950" s="41" t="n"/>
      <c r="F950" s="41" t="n"/>
    </row>
    <row r="951" ht="15.75" customHeight="1" s="60">
      <c r="A951" s="41" t="n"/>
      <c r="B951" s="41" t="n"/>
      <c r="C951" s="41" t="n"/>
      <c r="D951" s="41" t="n"/>
      <c r="E951" s="41" t="n"/>
      <c r="F951" s="41" t="n"/>
    </row>
    <row r="952" ht="15.75" customHeight="1" s="60">
      <c r="A952" s="41" t="n"/>
      <c r="B952" s="41" t="n"/>
      <c r="C952" s="41" t="n"/>
      <c r="D952" s="41" t="n"/>
      <c r="E952" s="41" t="n"/>
      <c r="F952" s="41" t="n"/>
    </row>
    <row r="953" ht="15.75" customHeight="1" s="60">
      <c r="A953" s="41" t="n"/>
      <c r="B953" s="41" t="n"/>
      <c r="C953" s="41" t="n"/>
      <c r="D953" s="41" t="n"/>
      <c r="E953" s="41" t="n"/>
      <c r="F953" s="41" t="n"/>
    </row>
    <row r="954" ht="15.75" customHeight="1" s="60">
      <c r="A954" s="41" t="n"/>
      <c r="B954" s="41" t="n"/>
      <c r="C954" s="41" t="n"/>
      <c r="D954" s="41" t="n"/>
      <c r="E954" s="41" t="n"/>
      <c r="F954" s="41" t="n"/>
    </row>
    <row r="955" ht="15.75" customHeight="1" s="60">
      <c r="A955" s="41" t="n"/>
      <c r="B955" s="41" t="n"/>
      <c r="C955" s="41" t="n"/>
      <c r="D955" s="41" t="n"/>
      <c r="E955" s="41" t="n"/>
      <c r="F955" s="41" t="n"/>
    </row>
    <row r="956" ht="15.75" customHeight="1" s="60">
      <c r="A956" s="41" t="n"/>
      <c r="B956" s="41" t="n"/>
      <c r="C956" s="41" t="n"/>
      <c r="D956" s="41" t="n"/>
      <c r="E956" s="41" t="n"/>
      <c r="F956" s="41" t="n"/>
    </row>
    <row r="957" ht="15.75" customHeight="1" s="60">
      <c r="A957" s="41" t="n"/>
      <c r="B957" s="41" t="n"/>
      <c r="C957" s="41" t="n"/>
      <c r="D957" s="41" t="n"/>
      <c r="E957" s="41" t="n"/>
      <c r="F957" s="41" t="n"/>
    </row>
    <row r="958" ht="15.75" customHeight="1" s="60">
      <c r="A958" s="41" t="n"/>
      <c r="B958" s="41" t="n"/>
      <c r="C958" s="41" t="n"/>
      <c r="D958" s="41" t="n"/>
      <c r="E958" s="41" t="n"/>
      <c r="F958" s="41" t="n"/>
    </row>
    <row r="959" ht="15.75" customHeight="1" s="60">
      <c r="A959" s="41" t="n"/>
      <c r="B959" s="41" t="n"/>
      <c r="C959" s="41" t="n"/>
      <c r="D959" s="41" t="n"/>
      <c r="E959" s="41" t="n"/>
      <c r="F959" s="41" t="n"/>
    </row>
    <row r="960" ht="15.75" customHeight="1" s="60">
      <c r="A960" s="41" t="n"/>
      <c r="B960" s="41" t="n"/>
      <c r="C960" s="41" t="n"/>
      <c r="D960" s="41" t="n"/>
      <c r="E960" s="41" t="n"/>
      <c r="F960" s="41" t="n"/>
    </row>
    <row r="961" ht="15.75" customHeight="1" s="60">
      <c r="A961" s="41" t="n"/>
      <c r="B961" s="41" t="n"/>
      <c r="C961" s="41" t="n"/>
      <c r="D961" s="41" t="n"/>
      <c r="E961" s="41" t="n"/>
      <c r="F961" s="41" t="n"/>
    </row>
    <row r="962" ht="15.75" customHeight="1" s="60">
      <c r="A962" s="41" t="n"/>
      <c r="B962" s="41" t="n"/>
      <c r="C962" s="41" t="n"/>
      <c r="D962" s="41" t="n"/>
      <c r="E962" s="41" t="n"/>
      <c r="F962" s="41" t="n"/>
    </row>
    <row r="963" ht="15.75" customHeight="1" s="60">
      <c r="A963" s="41" t="n"/>
      <c r="B963" s="41" t="n"/>
      <c r="C963" s="41" t="n"/>
      <c r="D963" s="41" t="n"/>
      <c r="E963" s="41" t="n"/>
      <c r="F963" s="41" t="n"/>
    </row>
    <row r="964" ht="15.75" customHeight="1" s="60">
      <c r="A964" s="41" t="n"/>
      <c r="B964" s="41" t="n"/>
      <c r="C964" s="41" t="n"/>
      <c r="D964" s="41" t="n"/>
      <c r="E964" s="41" t="n"/>
      <c r="F964" s="41" t="n"/>
    </row>
    <row r="965" ht="15.75" customHeight="1" s="60">
      <c r="A965" s="41" t="n"/>
      <c r="B965" s="41" t="n"/>
      <c r="C965" s="41" t="n"/>
      <c r="D965" s="41" t="n"/>
      <c r="E965" s="41" t="n"/>
      <c r="F965" s="41" t="n"/>
    </row>
    <row r="966" ht="15.75" customHeight="1" s="60">
      <c r="A966" s="41" t="n"/>
      <c r="B966" s="41" t="n"/>
      <c r="C966" s="41" t="n"/>
      <c r="D966" s="41" t="n"/>
      <c r="E966" s="41" t="n"/>
      <c r="F966" s="41" t="n"/>
    </row>
    <row r="967" ht="15.75" customHeight="1" s="60">
      <c r="A967" s="41" t="n"/>
      <c r="B967" s="41" t="n"/>
      <c r="C967" s="41" t="n"/>
      <c r="D967" s="41" t="n"/>
      <c r="E967" s="41" t="n"/>
      <c r="F967" s="41" t="n"/>
    </row>
    <row r="968" ht="15.75" customHeight="1" s="60">
      <c r="A968" s="41" t="n"/>
      <c r="B968" s="41" t="n"/>
      <c r="C968" s="41" t="n"/>
      <c r="D968" s="41" t="n"/>
      <c r="E968" s="41" t="n"/>
      <c r="F968" s="41" t="n"/>
    </row>
    <row r="969" ht="15.75" customHeight="1" s="60">
      <c r="A969" s="41" t="n"/>
      <c r="B969" s="41" t="n"/>
      <c r="C969" s="41" t="n"/>
      <c r="D969" s="41" t="n"/>
      <c r="E969" s="41" t="n"/>
      <c r="F969" s="41" t="n"/>
    </row>
    <row r="970" ht="15.75" customHeight="1" s="60">
      <c r="A970" s="41" t="n"/>
      <c r="B970" s="41" t="n"/>
      <c r="C970" s="41" t="n"/>
      <c r="D970" s="41" t="n"/>
      <c r="E970" s="41" t="n"/>
      <c r="F970" s="41" t="n"/>
    </row>
    <row r="971" ht="15.75" customHeight="1" s="60">
      <c r="A971" s="41" t="n"/>
      <c r="B971" s="41" t="n"/>
      <c r="C971" s="41" t="n"/>
      <c r="D971" s="41" t="n"/>
      <c r="E971" s="41" t="n"/>
      <c r="F971" s="41" t="n"/>
    </row>
    <row r="972" ht="15.75" customHeight="1" s="60">
      <c r="A972" s="41" t="n"/>
      <c r="B972" s="41" t="n"/>
      <c r="C972" s="41" t="n"/>
      <c r="D972" s="41" t="n"/>
      <c r="E972" s="41" t="n"/>
      <c r="F972" s="41" t="n"/>
    </row>
    <row r="973" ht="15.75" customHeight="1" s="60">
      <c r="A973" s="41" t="n"/>
      <c r="B973" s="41" t="n"/>
      <c r="C973" s="41" t="n"/>
      <c r="D973" s="41" t="n"/>
      <c r="E973" s="41" t="n"/>
      <c r="F973" s="41" t="n"/>
    </row>
    <row r="974" ht="15.75" customHeight="1" s="60">
      <c r="A974" s="41" t="n"/>
      <c r="B974" s="41" t="n"/>
      <c r="C974" s="41" t="n"/>
      <c r="D974" s="41" t="n"/>
      <c r="E974" s="41" t="n"/>
      <c r="F974" s="41" t="n"/>
    </row>
    <row r="975" ht="15.75" customHeight="1" s="60">
      <c r="A975" s="41" t="n"/>
      <c r="B975" s="41" t="n"/>
      <c r="C975" s="41" t="n"/>
      <c r="D975" s="41" t="n"/>
      <c r="E975" s="41" t="n"/>
      <c r="F975" s="41" t="n"/>
    </row>
    <row r="976" ht="15.75" customHeight="1" s="60">
      <c r="A976" s="41" t="n"/>
      <c r="B976" s="41" t="n"/>
      <c r="C976" s="41" t="n"/>
      <c r="D976" s="41" t="n"/>
      <c r="E976" s="41" t="n"/>
      <c r="F976" s="41" t="n"/>
    </row>
    <row r="977" ht="15.75" customHeight="1" s="60">
      <c r="A977" s="41" t="n"/>
      <c r="B977" s="41" t="n"/>
      <c r="C977" s="41" t="n"/>
      <c r="D977" s="41" t="n"/>
      <c r="E977" s="41" t="n"/>
      <c r="F977" s="41" t="n"/>
    </row>
    <row r="978" ht="15.75" customHeight="1" s="60">
      <c r="A978" s="41" t="n"/>
      <c r="B978" s="41" t="n"/>
      <c r="C978" s="41" t="n"/>
      <c r="D978" s="41" t="n"/>
      <c r="E978" s="41" t="n"/>
      <c r="F978" s="41" t="n"/>
    </row>
    <row r="979" ht="15.75" customHeight="1" s="60">
      <c r="A979" s="41" t="n"/>
      <c r="B979" s="41" t="n"/>
      <c r="C979" s="41" t="n"/>
      <c r="D979" s="41" t="n"/>
      <c r="E979" s="41" t="n"/>
      <c r="F979" s="41" t="n"/>
    </row>
    <row r="980" ht="15.75" customHeight="1" s="60">
      <c r="A980" s="41" t="n"/>
      <c r="B980" s="41" t="n"/>
      <c r="C980" s="41" t="n"/>
      <c r="D980" s="41" t="n"/>
      <c r="E980" s="41" t="n"/>
      <c r="F980" s="41" t="n"/>
    </row>
    <row r="981" ht="15.75" customHeight="1" s="60">
      <c r="A981" s="41" t="n"/>
      <c r="B981" s="41" t="n"/>
      <c r="C981" s="41" t="n"/>
      <c r="D981" s="41" t="n"/>
      <c r="E981" s="41" t="n"/>
      <c r="F981" s="41" t="n"/>
    </row>
    <row r="982" ht="15.75" customHeight="1" s="60">
      <c r="A982" s="41" t="n"/>
      <c r="B982" s="41" t="n"/>
      <c r="C982" s="41" t="n"/>
      <c r="D982" s="41" t="n"/>
      <c r="E982" s="41" t="n"/>
      <c r="F982" s="41" t="n"/>
    </row>
    <row r="983" ht="15.75" customHeight="1" s="60">
      <c r="A983" s="41" t="n"/>
      <c r="B983" s="41" t="n"/>
      <c r="C983" s="41" t="n"/>
      <c r="D983" s="41" t="n"/>
      <c r="E983" s="41" t="n"/>
      <c r="F983" s="41" t="n"/>
    </row>
    <row r="984" ht="15.75" customHeight="1" s="60">
      <c r="A984" s="41" t="n"/>
      <c r="B984" s="41" t="n"/>
      <c r="C984" s="41" t="n"/>
      <c r="D984" s="41" t="n"/>
      <c r="E984" s="41" t="n"/>
      <c r="F984" s="41" t="n"/>
    </row>
    <row r="985" ht="15.75" customHeight="1" s="60">
      <c r="A985" s="41" t="n"/>
      <c r="B985" s="41" t="n"/>
      <c r="C985" s="41" t="n"/>
      <c r="D985" s="41" t="n"/>
      <c r="E985" s="41" t="n"/>
      <c r="F985" s="41" t="n"/>
    </row>
    <row r="986" ht="15.75" customHeight="1" s="60">
      <c r="A986" s="41" t="n"/>
      <c r="B986" s="41" t="n"/>
      <c r="C986" s="41" t="n"/>
      <c r="D986" s="41" t="n"/>
      <c r="E986" s="41" t="n"/>
      <c r="F986" s="41" t="n"/>
    </row>
    <row r="987" ht="15.75" customHeight="1" s="60">
      <c r="A987" s="41" t="n"/>
      <c r="B987" s="41" t="n"/>
      <c r="C987" s="41" t="n"/>
      <c r="D987" s="41" t="n"/>
      <c r="E987" s="41" t="n"/>
      <c r="F987" s="41" t="n"/>
    </row>
    <row r="988" ht="15.75" customHeight="1" s="60">
      <c r="A988" s="41" t="n"/>
      <c r="B988" s="41" t="n"/>
      <c r="C988" s="41" t="n"/>
      <c r="D988" s="41" t="n"/>
      <c r="E988" s="41" t="n"/>
      <c r="F988" s="41" t="n"/>
    </row>
    <row r="989" ht="15.75" customHeight="1" s="60">
      <c r="A989" s="41" t="n"/>
      <c r="B989" s="41" t="n"/>
      <c r="C989" s="41" t="n"/>
      <c r="D989" s="41" t="n"/>
      <c r="E989" s="41" t="n"/>
      <c r="F989" s="41" t="n"/>
    </row>
    <row r="990" ht="15.75" customHeight="1" s="60">
      <c r="A990" s="41" t="n"/>
      <c r="B990" s="41" t="n"/>
      <c r="C990" s="41" t="n"/>
      <c r="D990" s="41" t="n"/>
      <c r="E990" s="41" t="n"/>
      <c r="F990" s="41" t="n"/>
    </row>
    <row r="991" ht="15.75" customHeight="1" s="60">
      <c r="A991" s="41" t="n"/>
      <c r="B991" s="41" t="n"/>
      <c r="C991" s="41" t="n"/>
      <c r="D991" s="41" t="n"/>
      <c r="E991" s="41" t="n"/>
      <c r="F991" s="41" t="n"/>
    </row>
    <row r="992" ht="15.75" customHeight="1" s="60">
      <c r="A992" s="41" t="n"/>
      <c r="B992" s="41" t="n"/>
      <c r="C992" s="41" t="n"/>
      <c r="D992" s="41" t="n"/>
      <c r="E992" s="41" t="n"/>
      <c r="F992" s="41" t="n"/>
    </row>
    <row r="993" ht="15.75" customHeight="1" s="60">
      <c r="A993" s="41" t="n"/>
      <c r="B993" s="41" t="n"/>
      <c r="C993" s="41" t="n"/>
      <c r="D993" s="41" t="n"/>
      <c r="E993" s="41" t="n"/>
      <c r="F993" s="41" t="n"/>
    </row>
    <row r="994" ht="15.75" customHeight="1" s="60">
      <c r="A994" s="41" t="n"/>
      <c r="B994" s="41" t="n"/>
      <c r="C994" s="41" t="n"/>
      <c r="D994" s="41" t="n"/>
      <c r="E994" s="41" t="n"/>
      <c r="F994" s="41" t="n"/>
    </row>
    <row r="995" ht="15.75" customHeight="1" s="60">
      <c r="A995" s="41" t="n"/>
      <c r="B995" s="41" t="n"/>
      <c r="C995" s="41" t="n"/>
      <c r="D995" s="41" t="n"/>
      <c r="E995" s="41" t="n"/>
      <c r="F995" s="41" t="n"/>
    </row>
    <row r="996" ht="15.75" customHeight="1" s="60">
      <c r="A996" s="41" t="n"/>
      <c r="B996" s="41" t="n"/>
      <c r="C996" s="41" t="n"/>
      <c r="D996" s="41" t="n"/>
      <c r="E996" s="41" t="n"/>
      <c r="F996" s="41" t="n"/>
    </row>
    <row r="997" ht="15.75" customHeight="1" s="60">
      <c r="A997" s="41" t="n"/>
      <c r="B997" s="41" t="n"/>
      <c r="C997" s="41" t="n"/>
      <c r="D997" s="41" t="n"/>
      <c r="E997" s="41" t="n"/>
      <c r="F997" s="41" t="n"/>
    </row>
    <row r="998" ht="15.75" customHeight="1" s="60">
      <c r="A998" s="41" t="n"/>
      <c r="B998" s="41" t="n"/>
      <c r="C998" s="41" t="n"/>
      <c r="D998" s="41" t="n"/>
      <c r="E998" s="41" t="n"/>
      <c r="F998" s="41" t="n"/>
    </row>
    <row r="999" ht="15.75" customHeight="1" s="60">
      <c r="A999" s="41" t="n"/>
      <c r="B999" s="41" t="n"/>
      <c r="C999" s="41" t="n"/>
      <c r="D999" s="41" t="n"/>
      <c r="E999" s="41" t="n"/>
      <c r="F999" s="41" t="n"/>
    </row>
    <row r="1000" ht="15.75" customHeight="1" s="60">
      <c r="A1000" s="41" t="n"/>
      <c r="B1000" s="41" t="n"/>
      <c r="C1000" s="41" t="n"/>
      <c r="D1000" s="41" t="n"/>
      <c r="E1000" s="41" t="n"/>
      <c r="F1000" s="41"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K1000"/>
  <sheetViews>
    <sheetView workbookViewId="0">
      <selection activeCell="A1" sqref="A1"/>
    </sheetView>
  </sheetViews>
  <sheetFormatPr baseColWidth="8" defaultColWidth="14.43" defaultRowHeight="15" customHeight="1"/>
  <cols>
    <col width="22" customWidth="1" style="60" min="1" max="1"/>
    <col width="14" customWidth="1" style="60" min="2" max="4"/>
    <col width="12" customWidth="1" style="60" min="5" max="6"/>
    <col width="14" customWidth="1" style="60" min="7" max="7"/>
    <col width="12" customWidth="1" style="60" min="8" max="8"/>
    <col width="16" customWidth="1" style="60" min="9" max="9"/>
    <col width="18" customWidth="1" style="60" min="10" max="10"/>
    <col width="16" customWidth="1" style="60" min="11" max="11"/>
    <col width="8.710000000000001" customWidth="1" style="60" min="12" max="26"/>
  </cols>
  <sheetData>
    <row r="1" ht="17.25" customHeight="1" s="60">
      <c r="A1" s="1" t="inlineStr">
        <is>
          <t>DAFTAR ASET TETAP (FIXED ASSET REGISTER)</t>
        </is>
      </c>
      <c r="B1" s="41" t="n"/>
      <c r="C1" s="41" t="n"/>
      <c r="D1" s="41" t="n"/>
      <c r="E1" s="41" t="n"/>
      <c r="F1" s="41" t="n"/>
      <c r="G1" s="41" t="n"/>
      <c r="H1" s="41" t="n"/>
      <c r="I1" s="41" t="n"/>
      <c r="J1" s="41" t="n"/>
      <c r="K1" s="41" t="n"/>
    </row>
    <row r="2" ht="39.75" customHeight="1" s="60">
      <c r="A2" s="24" t="inlineStr">
        <is>
          <t>Sub-lejar terperinci di sebalik akaun kawalan "Aset Tetap" (1040) dalam Akaun. Jumlah Nilai Buku Bersih di sini SEPATUTNYA sepadan dengan baki 1040 tolak 1045 di Imbangan_Duga - jika tidak, ada aset didaftar di sini tanpa dipos ke lejar, atau sebaliknya.</t>
        </is>
      </c>
      <c r="B2" s="41" t="n"/>
      <c r="C2" s="41" t="n"/>
      <c r="D2" s="41" t="n"/>
      <c r="E2" s="41" t="n"/>
      <c r="F2" s="41" t="n"/>
      <c r="G2" s="41" t="n"/>
      <c r="H2" s="41" t="n"/>
      <c r="I2" s="41" t="n"/>
      <c r="J2" s="41" t="n"/>
      <c r="K2" s="41" t="n"/>
    </row>
    <row r="3">
      <c r="A3" s="41" t="n"/>
      <c r="B3" s="41" t="n"/>
      <c r="C3" s="41" t="n"/>
      <c r="D3" s="41" t="n"/>
      <c r="E3" s="41" t="n"/>
      <c r="F3" s="41" t="n"/>
      <c r="G3" s="41" t="n"/>
      <c r="H3" s="41" t="n"/>
      <c r="I3" s="41" t="n"/>
      <c r="J3" s="41" t="n"/>
      <c r="K3" s="41" t="n"/>
    </row>
    <row r="4" ht="42" customHeight="1" s="60">
      <c r="A4" s="26" t="inlineStr">
        <is>
          <t>Nama Aset</t>
        </is>
      </c>
      <c r="B4" s="26" t="inlineStr">
        <is>
          <t>Kategori</t>
        </is>
      </c>
      <c r="C4" s="26" t="inlineStr">
        <is>
          <t>Tarikh Perolehan</t>
        </is>
      </c>
      <c r="D4" s="26" t="inlineStr">
        <is>
          <t>Kos Asal (RM)</t>
        </is>
      </c>
      <c r="E4" s="26" t="inlineStr">
        <is>
          <t>Nilai Baki (RM)</t>
        </is>
      </c>
      <c r="F4" s="26" t="inlineStr">
        <is>
          <t>Jangka Hayat (tahun)</t>
        </is>
      </c>
      <c r="G4" s="26" t="inlineStr">
        <is>
          <t>Kaedah</t>
        </is>
      </c>
      <c r="H4" s="26" t="inlineStr">
        <is>
          <t>Kadar Baki Berkurangan (%)</t>
        </is>
      </c>
      <c r="I4" s="26" t="inlineStr">
        <is>
          <t>Susut Nilai Terkumpul (RM)</t>
        </is>
      </c>
      <c r="J4" s="26" t="inlineStr">
        <is>
          <t>Nilai Buku Bersih (RM)</t>
        </is>
      </c>
      <c r="K4" s="26" t="inlineStr">
        <is>
          <t>Susut Nilai Tahun Ini (RM)</t>
        </is>
      </c>
    </row>
    <row r="5" ht="15" customHeight="1" s="60">
      <c r="A5" s="25" t="n"/>
      <c r="B5" s="25" t="n"/>
      <c r="C5" s="27" t="n"/>
      <c r="D5" s="25" t="n"/>
      <c r="E5" s="25" t="n"/>
      <c r="F5" s="25" t="n"/>
      <c r="G5" s="25" t="n"/>
      <c r="H5" s="25" t="n"/>
      <c r="I5" s="28">
        <f>IF(OR(D5="",F5=""),"",IF(G5="Baki Berkurangan",MIN(D5*(1-(1-H5/100)^MAX(0,MIN(YEARFRAC(C5,TODAY(),1),F5))),D5-E5),MIN(((D5-E5)/F5)*MAX(0,MIN(YEARFRAC(C5,TODAY(),1),F5)),D5-E5)))</f>
        <v/>
      </c>
      <c r="J5" s="28">
        <f>IF(D5="","",D5-I5)</f>
        <v/>
      </c>
      <c r="K5" s="28">
        <f>IF(D5="","",I5-(IF(G5="Baki Berkurangan",MIN(D5*(1-(1-H5/100)^MAX(0,MIN(YEARFRAC(C5,TODAY(),1)-1,F5))),D5-E5),MIN(((D5-E5)/F5)*MAX(0,MIN(YEARFRAC(C5,TODAY(),1)-1,F5)),D5-E5))))</f>
        <v/>
      </c>
    </row>
    <row r="6" ht="15" customHeight="1" s="60">
      <c r="A6" s="25" t="n"/>
      <c r="B6" s="25" t="n"/>
      <c r="C6" s="27" t="n"/>
      <c r="D6" s="25" t="n"/>
      <c r="E6" s="25" t="n"/>
      <c r="F6" s="25" t="n"/>
      <c r="G6" s="25" t="n"/>
      <c r="H6" s="25" t="n"/>
      <c r="I6" s="28">
        <f>IF(OR(D6="",F6=""),"",IF(G6="Baki Berkurangan",MIN(D6*(1-(1-H6/100)^MAX(0,MIN(YEARFRAC(C6,TODAY(),1),F6))),D6-E6),MIN(((D6-E6)/F6)*MAX(0,MIN(YEARFRAC(C6,TODAY(),1),F6)),D6-E6)))</f>
        <v/>
      </c>
      <c r="J6" s="28">
        <f>IF(D6="","",D6-I6)</f>
        <v/>
      </c>
      <c r="K6" s="28">
        <f>IF(D6="","",I6-(IF(G6="Baki Berkurangan",MIN(D6*(1-(1-H6/100)^MAX(0,MIN(YEARFRAC(C6,TODAY(),1)-1,F6))),D6-E6),MIN(((D6-E6)/F6)*MAX(0,MIN(YEARFRAC(C6,TODAY(),1)-1,F6)),D6-E6))))</f>
        <v/>
      </c>
    </row>
    <row r="7" ht="15" customHeight="1" s="60">
      <c r="A7" s="25" t="n"/>
      <c r="B7" s="25" t="n"/>
      <c r="C7" s="25" t="n"/>
      <c r="D7" s="25" t="n"/>
      <c r="E7" s="25" t="n"/>
      <c r="F7" s="25" t="n"/>
      <c r="G7" s="25" t="n"/>
      <c r="H7" s="25" t="n"/>
      <c r="I7" s="28">
        <f>IF(OR(D7="",F7=""),"",IF(G7="Baki Berkurangan",MIN(D7*(1-(1-H7/100)^MAX(0,MIN(YEARFRAC(C7,TODAY()),F7))),D7-E7),MIN(((D7-E7)/F7)*MAX(0,MIN(YEARFRAC(C7,TODAY()),F7)),D7-E7)))</f>
        <v/>
      </c>
      <c r="J7" s="28">
        <f>IF(D7="","",D7-I7)</f>
        <v/>
      </c>
      <c r="K7" s="28">
        <f>IF(D7="","",I7-(IF(G7="Baki Berkurangan",MIN(D7*(1-(1-H7/100)^MAX(0,MIN(YEARFRAC(C7,TODAY())-1,F7))),D7-E7),MIN(((D7-E7)/F7)*MAX(0,MIN(YEARFRAC(C7,TODAY())-1,F7)),D7-E7))))</f>
        <v/>
      </c>
    </row>
    <row r="8" ht="15" customHeight="1" s="60">
      <c r="A8" s="25" t="n"/>
      <c r="B8" s="25" t="n"/>
      <c r="C8" s="25" t="n"/>
      <c r="D8" s="25" t="n"/>
      <c r="E8" s="25" t="n"/>
      <c r="F8" s="25" t="n"/>
      <c r="G8" s="25" t="n"/>
      <c r="H8" s="25" t="n"/>
      <c r="I8" s="28">
        <f>IF(OR(D8="",F8=""),"",IF(G8="Baki Berkurangan",MIN(D8*(1-(1-H8/100)^MAX(0,MIN(YEARFRAC(C8,TODAY()),F8))),D8-E8),MIN(((D8-E8)/F8)*MAX(0,MIN(YEARFRAC(C8,TODAY()),F8)),D8-E8)))</f>
        <v/>
      </c>
      <c r="J8" s="28">
        <f>IF(D8="","",D8-I8)</f>
        <v/>
      </c>
      <c r="K8" s="28">
        <f>IF(D8="","",I8-(IF(G8="Baki Berkurangan",MIN(D8*(1-(1-H8/100)^MAX(0,MIN(YEARFRAC(C8,TODAY())-1,F8))),D8-E8),MIN(((D8-E8)/F8)*MAX(0,MIN(YEARFRAC(C8,TODAY())-1,F8)),D8-E8))))</f>
        <v/>
      </c>
    </row>
    <row r="9" ht="15" customHeight="1" s="60">
      <c r="A9" s="25" t="n"/>
      <c r="B9" s="25" t="n"/>
      <c r="C9" s="25" t="n"/>
      <c r="D9" s="25" t="n"/>
      <c r="E9" s="25" t="n"/>
      <c r="F9" s="25" t="n"/>
      <c r="G9" s="25" t="n"/>
      <c r="H9" s="25" t="n"/>
      <c r="I9" s="28">
        <f>IF(OR(D9="",F9=""),"",IF(G9="Baki Berkurangan",MIN(D9*(1-(1-H9/100)^MAX(0,MIN(YEARFRAC(C9,TODAY()),F9))),D9-E9),MIN(((D9-E9)/F9)*MAX(0,MIN(YEARFRAC(C9,TODAY()),F9)),D9-E9)))</f>
        <v/>
      </c>
      <c r="J9" s="28">
        <f>IF(D9="","",D9-I9)</f>
        <v/>
      </c>
      <c r="K9" s="28">
        <f>IF(D9="","",I9-(IF(G9="Baki Berkurangan",MIN(D9*(1-(1-H9/100)^MAX(0,MIN(YEARFRAC(C9,TODAY())-1,F9))),D9-E9),MIN(((D9-E9)/F9)*MAX(0,MIN(YEARFRAC(C9,TODAY())-1,F9)),D9-E9))))</f>
        <v/>
      </c>
    </row>
    <row r="10" ht="15" customHeight="1" s="60">
      <c r="A10" s="25" t="n"/>
      <c r="B10" s="25" t="n"/>
      <c r="C10" s="25" t="n"/>
      <c r="D10" s="25" t="n"/>
      <c r="E10" s="25" t="n"/>
      <c r="F10" s="25" t="n"/>
      <c r="G10" s="25" t="n"/>
      <c r="H10" s="25" t="n"/>
      <c r="I10" s="28">
        <f>IF(OR(D10="",F10=""),"",IF(G10="Baki Berkurangan",MIN(D10*(1-(1-H10/100)^MAX(0,MIN(YEARFRAC(C10,TODAY()),F10))),D10-E10),MIN(((D10-E10)/F10)*MAX(0,MIN(YEARFRAC(C10,TODAY()),F10)),D10-E10)))</f>
        <v/>
      </c>
      <c r="J10" s="28">
        <f>IF(D10="","",D10-I10)</f>
        <v/>
      </c>
      <c r="K10" s="28">
        <f>IF(D10="","",I10-(IF(G10="Baki Berkurangan",MIN(D10*(1-(1-H10/100)^MAX(0,MIN(YEARFRAC(C10,TODAY())-1,F10))),D10-E10),MIN(((D10-E10)/F10)*MAX(0,MIN(YEARFRAC(C10,TODAY())-1,F10)),D10-E10))))</f>
        <v/>
      </c>
    </row>
    <row r="11" ht="15" customHeight="1" s="60">
      <c r="A11" s="25" t="n"/>
      <c r="B11" s="25" t="n"/>
      <c r="C11" s="25" t="n"/>
      <c r="D11" s="25" t="n"/>
      <c r="E11" s="25" t="n"/>
      <c r="F11" s="25" t="n"/>
      <c r="G11" s="25" t="n"/>
      <c r="H11" s="25" t="n"/>
      <c r="I11" s="28">
        <f>IF(OR(D11="",F11=""),"",IF(G11="Baki Berkurangan",MIN(D11*(1-(1-H11/100)^MAX(0,MIN(YEARFRAC(C11,TODAY()),F11))),D11-E11),MIN(((D11-E11)/F11)*MAX(0,MIN(YEARFRAC(C11,TODAY()),F11)),D11-E11)))</f>
        <v/>
      </c>
      <c r="J11" s="28">
        <f>IF(D11="","",D11-I11)</f>
        <v/>
      </c>
      <c r="K11" s="28">
        <f>IF(D11="","",I11-(IF(G11="Baki Berkurangan",MIN(D11*(1-(1-H11/100)^MAX(0,MIN(YEARFRAC(C11,TODAY())-1,F11))),D11-E11),MIN(((D11-E11)/F11)*MAX(0,MIN(YEARFRAC(C11,TODAY())-1,F11)),D11-E11))))</f>
        <v/>
      </c>
    </row>
    <row r="12" ht="15" customHeight="1" s="60">
      <c r="A12" s="25" t="n"/>
      <c r="B12" s="25" t="n"/>
      <c r="C12" s="25" t="n"/>
      <c r="D12" s="25" t="n"/>
      <c r="E12" s="25" t="n"/>
      <c r="F12" s="25" t="n"/>
      <c r="G12" s="25" t="n"/>
      <c r="H12" s="25" t="n"/>
      <c r="I12" s="28">
        <f>IF(OR(D12="",F12=""),"",IF(G12="Baki Berkurangan",MIN(D12*(1-(1-H12/100)^MAX(0,MIN(YEARFRAC(C12,TODAY()),F12))),D12-E12),MIN(((D12-E12)/F12)*MAX(0,MIN(YEARFRAC(C12,TODAY()),F12)),D12-E12)))</f>
        <v/>
      </c>
      <c r="J12" s="28">
        <f>IF(D12="","",D12-I12)</f>
        <v/>
      </c>
      <c r="K12" s="28">
        <f>IF(D12="","",I12-(IF(G12="Baki Berkurangan",MIN(D12*(1-(1-H12/100)^MAX(0,MIN(YEARFRAC(C12,TODAY())-1,F12))),D12-E12),MIN(((D12-E12)/F12)*MAX(0,MIN(YEARFRAC(C12,TODAY())-1,F12)),D12-E12))))</f>
        <v/>
      </c>
    </row>
    <row r="13" ht="15" customHeight="1" s="60">
      <c r="A13" s="25" t="n"/>
      <c r="B13" s="25" t="n"/>
      <c r="C13" s="25" t="n"/>
      <c r="D13" s="25" t="n"/>
      <c r="E13" s="25" t="n"/>
      <c r="F13" s="25" t="n"/>
      <c r="G13" s="25" t="n"/>
      <c r="H13" s="25" t="n"/>
      <c r="I13" s="28">
        <f>IF(OR(D13="",F13=""),"",IF(G13="Baki Berkurangan",MIN(D13*(1-(1-H13/100)^MAX(0,MIN(YEARFRAC(C13,TODAY()),F13))),D13-E13),MIN(((D13-E13)/F13)*MAX(0,MIN(YEARFRAC(C13,TODAY()),F13)),D13-E13)))</f>
        <v/>
      </c>
      <c r="J13" s="28">
        <f>IF(D13="","",D13-I13)</f>
        <v/>
      </c>
      <c r="K13" s="28">
        <f>IF(D13="","",I13-(IF(G13="Baki Berkurangan",MIN(D13*(1-(1-H13/100)^MAX(0,MIN(YEARFRAC(C13,TODAY())-1,F13))),D13-E13),MIN(((D13-E13)/F13)*MAX(0,MIN(YEARFRAC(C13,TODAY())-1,F13)),D13-E13))))</f>
        <v/>
      </c>
    </row>
    <row r="14" ht="15" customHeight="1" s="60">
      <c r="A14" s="25" t="n"/>
      <c r="B14" s="25" t="n"/>
      <c r="C14" s="25" t="n"/>
      <c r="D14" s="25" t="n"/>
      <c r="E14" s="25" t="n"/>
      <c r="F14" s="25" t="n"/>
      <c r="G14" s="25" t="n"/>
      <c r="H14" s="25" t="n"/>
      <c r="I14" s="28">
        <f>IF(OR(D14="",F14=""),"",IF(G14="Baki Berkurangan",MIN(D14*(1-(1-H14/100)^MAX(0,MIN(YEARFRAC(C14,TODAY()),F14))),D14-E14),MIN(((D14-E14)/F14)*MAX(0,MIN(YEARFRAC(C14,TODAY()),F14)),D14-E14)))</f>
        <v/>
      </c>
      <c r="J14" s="28">
        <f>IF(D14="","",D14-I14)</f>
        <v/>
      </c>
      <c r="K14" s="28">
        <f>IF(D14="","",I14-(IF(G14="Baki Berkurangan",MIN(D14*(1-(1-H14/100)^MAX(0,MIN(YEARFRAC(C14,TODAY())-1,F14))),D14-E14),MIN(((D14-E14)/F14)*MAX(0,MIN(YEARFRAC(C14,TODAY())-1,F14)),D14-E14))))</f>
        <v/>
      </c>
    </row>
    <row r="15" ht="15" customHeight="1" s="60">
      <c r="A15" s="25" t="n"/>
      <c r="B15" s="25" t="n"/>
      <c r="C15" s="25" t="n"/>
      <c r="D15" s="25" t="n"/>
      <c r="E15" s="25" t="n"/>
      <c r="F15" s="25" t="n"/>
      <c r="G15" s="25" t="n"/>
      <c r="H15" s="25" t="n"/>
      <c r="I15" s="28">
        <f>IF(OR(D15="",F15=""),"",IF(G15="Baki Berkurangan",MIN(D15*(1-(1-H15/100)^MAX(0,MIN(YEARFRAC(C15,TODAY()),F15))),D15-E15),MIN(((D15-E15)/F15)*MAX(0,MIN(YEARFRAC(C15,TODAY()),F15)),D15-E15)))</f>
        <v/>
      </c>
      <c r="J15" s="28">
        <f>IF(D15="","",D15-I15)</f>
        <v/>
      </c>
      <c r="K15" s="28">
        <f>IF(D15="","",I15-(IF(G15="Baki Berkurangan",MIN(D15*(1-(1-H15/100)^MAX(0,MIN(YEARFRAC(C15,TODAY())-1,F15))),D15-E15),MIN(((D15-E15)/F15)*MAX(0,MIN(YEARFRAC(C15,TODAY())-1,F15)),D15-E15))))</f>
        <v/>
      </c>
    </row>
    <row r="16" ht="15" customHeight="1" s="60">
      <c r="A16" s="25" t="n"/>
      <c r="B16" s="25" t="n"/>
      <c r="C16" s="25" t="n"/>
      <c r="D16" s="25" t="n"/>
      <c r="E16" s="25" t="n"/>
      <c r="F16" s="25" t="n"/>
      <c r="G16" s="25" t="n"/>
      <c r="H16" s="25" t="n"/>
      <c r="I16" s="28">
        <f>IF(OR(D16="",F16=""),"",IF(G16="Baki Berkurangan",MIN(D16*(1-(1-H16/100)^MAX(0,MIN(YEARFRAC(C16,TODAY()),F16))),D16-E16),MIN(((D16-E16)/F16)*MAX(0,MIN(YEARFRAC(C16,TODAY()),F16)),D16-E16)))</f>
        <v/>
      </c>
      <c r="J16" s="28">
        <f>IF(D16="","",D16-I16)</f>
        <v/>
      </c>
      <c r="K16" s="28">
        <f>IF(D16="","",I16-(IF(G16="Baki Berkurangan",MIN(D16*(1-(1-H16/100)^MAX(0,MIN(YEARFRAC(C16,TODAY())-1,F16))),D16-E16),MIN(((D16-E16)/F16)*MAX(0,MIN(YEARFRAC(C16,TODAY())-1,F16)),D16-E16))))</f>
        <v/>
      </c>
    </row>
    <row r="17" ht="15" customHeight="1" s="60">
      <c r="A17" s="25" t="n"/>
      <c r="B17" s="25" t="n"/>
      <c r="C17" s="25" t="n"/>
      <c r="D17" s="25" t="n"/>
      <c r="E17" s="25" t="n"/>
      <c r="F17" s="25" t="n"/>
      <c r="G17" s="25" t="n"/>
      <c r="H17" s="25" t="n"/>
      <c r="I17" s="28">
        <f>IF(OR(D17="",F17=""),"",IF(G17="Baki Berkurangan",MIN(D17*(1-(1-H17/100)^MAX(0,MIN(YEARFRAC(C17,TODAY()),F17))),D17-E17),MIN(((D17-E17)/F17)*MAX(0,MIN(YEARFRAC(C17,TODAY()),F17)),D17-E17)))</f>
        <v/>
      </c>
      <c r="J17" s="28">
        <f>IF(D17="","",D17-I17)</f>
        <v/>
      </c>
      <c r="K17" s="28">
        <f>IF(D17="","",I17-(IF(G17="Baki Berkurangan",MIN(D17*(1-(1-H17/100)^MAX(0,MIN(YEARFRAC(C17,TODAY())-1,F17))),D17-E17),MIN(((D17-E17)/F17)*MAX(0,MIN(YEARFRAC(C17,TODAY())-1,F17)),D17-E17))))</f>
        <v/>
      </c>
    </row>
    <row r="18" ht="15" customHeight="1" s="60">
      <c r="A18" s="25" t="n"/>
      <c r="B18" s="25" t="n"/>
      <c r="C18" s="25" t="n"/>
      <c r="D18" s="25" t="n"/>
      <c r="E18" s="25" t="n"/>
      <c r="F18" s="25" t="n"/>
      <c r="G18" s="25" t="n"/>
      <c r="H18" s="25" t="n"/>
      <c r="I18" s="28">
        <f>IF(OR(D18="",F18=""),"",IF(G18="Baki Berkurangan",MIN(D18*(1-(1-H18/100)^MAX(0,MIN(YEARFRAC(C18,TODAY()),F18))),D18-E18),MIN(((D18-E18)/F18)*MAX(0,MIN(YEARFRAC(C18,TODAY()),F18)),D18-E18)))</f>
        <v/>
      </c>
      <c r="J18" s="28">
        <f>IF(D18="","",D18-I18)</f>
        <v/>
      </c>
      <c r="K18" s="28">
        <f>IF(D18="","",I18-(IF(G18="Baki Berkurangan",MIN(D18*(1-(1-H18/100)^MAX(0,MIN(YEARFRAC(C18,TODAY())-1,F18))),D18-E18),MIN(((D18-E18)/F18)*MAX(0,MIN(YEARFRAC(C18,TODAY())-1,F18)),D18-E18))))</f>
        <v/>
      </c>
    </row>
    <row r="19" ht="15" customHeight="1" s="60">
      <c r="A19" s="25" t="n"/>
      <c r="B19" s="25" t="n"/>
      <c r="C19" s="25" t="n"/>
      <c r="D19" s="25" t="n"/>
      <c r="E19" s="25" t="n"/>
      <c r="F19" s="25" t="n"/>
      <c r="G19" s="25" t="n"/>
      <c r="H19" s="25" t="n"/>
      <c r="I19" s="28">
        <f>IF(OR(D19="",F19=""),"",IF(G19="Baki Berkurangan",MIN(D19*(1-(1-H19/100)^MAX(0,MIN(YEARFRAC(C19,TODAY()),F19))),D19-E19),MIN(((D19-E19)/F19)*MAX(0,MIN(YEARFRAC(C19,TODAY()),F19)),D19-E19)))</f>
        <v/>
      </c>
      <c r="J19" s="28">
        <f>IF(D19="","",D19-I19)</f>
        <v/>
      </c>
      <c r="K19" s="28">
        <f>IF(D19="","",I19-(IF(G19="Baki Berkurangan",MIN(D19*(1-(1-H19/100)^MAX(0,MIN(YEARFRAC(C19,TODAY())-1,F19))),D19-E19),MIN(((D19-E19)/F19)*MAX(0,MIN(YEARFRAC(C19,TODAY())-1,F19)),D19-E19))))</f>
        <v/>
      </c>
    </row>
    <row r="20" ht="15" customHeight="1" s="60">
      <c r="A20" s="25" t="n"/>
      <c r="B20" s="25" t="n"/>
      <c r="C20" s="25" t="n"/>
      <c r="D20" s="25" t="n"/>
      <c r="E20" s="25" t="n"/>
      <c r="F20" s="25" t="n"/>
      <c r="G20" s="25" t="n"/>
      <c r="H20" s="25" t="n"/>
      <c r="I20" s="28">
        <f>IF(OR(D20="",F20=""),"",IF(G20="Baki Berkurangan",MIN(D20*(1-(1-H20/100)^MAX(0,MIN(YEARFRAC(C20,TODAY()),F20))),D20-E20),MIN(((D20-E20)/F20)*MAX(0,MIN(YEARFRAC(C20,TODAY()),F20)),D20-E20)))</f>
        <v/>
      </c>
      <c r="J20" s="28">
        <f>IF(D20="","",D20-I20)</f>
        <v/>
      </c>
      <c r="K20" s="28">
        <f>IF(D20="","",I20-(IF(G20="Baki Berkurangan",MIN(D20*(1-(1-H20/100)^MAX(0,MIN(YEARFRAC(C20,TODAY())-1,F20))),D20-E20),MIN(((D20-E20)/F20)*MAX(0,MIN(YEARFRAC(C20,TODAY())-1,F20)),D20-E20))))</f>
        <v/>
      </c>
    </row>
    <row r="21" ht="15" customHeight="1" s="60">
      <c r="A21" s="25" t="n"/>
      <c r="B21" s="25" t="n"/>
      <c r="C21" s="25" t="n"/>
      <c r="D21" s="25" t="n"/>
      <c r="E21" s="25" t="n"/>
      <c r="F21" s="25" t="n"/>
      <c r="G21" s="25" t="n"/>
      <c r="H21" s="25" t="n"/>
      <c r="I21" s="28">
        <f>IF(OR(D21="",F21=""),"",IF(G21="Baki Berkurangan",MIN(D21*(1-(1-H21/100)^MAX(0,MIN(YEARFRAC(C21,TODAY()),F21))),D21-E21),MIN(((D21-E21)/F21)*MAX(0,MIN(YEARFRAC(C21,TODAY()),F21)),D21-E21)))</f>
        <v/>
      </c>
      <c r="J21" s="28">
        <f>IF(D21="","",D21-I21)</f>
        <v/>
      </c>
      <c r="K21" s="28">
        <f>IF(D21="","",I21-(IF(G21="Baki Berkurangan",MIN(D21*(1-(1-H21/100)^MAX(0,MIN(YEARFRAC(C21,TODAY())-1,F21))),D21-E21),MIN(((D21-E21)/F21)*MAX(0,MIN(YEARFRAC(C21,TODAY())-1,F21)),D21-E21))))</f>
        <v/>
      </c>
    </row>
    <row r="22" ht="15" customHeight="1" s="60">
      <c r="A22" s="25" t="n"/>
      <c r="B22" s="25" t="n"/>
      <c r="C22" s="25" t="n"/>
      <c r="D22" s="25" t="n"/>
      <c r="E22" s="25" t="n"/>
      <c r="F22" s="25" t="n"/>
      <c r="G22" s="25" t="n"/>
      <c r="H22" s="25" t="n"/>
      <c r="I22" s="28">
        <f>IF(OR(D22="",F22=""),"",IF(G22="Baki Berkurangan",MIN(D22*(1-(1-H22/100)^MAX(0,MIN(YEARFRAC(C22,TODAY()),F22))),D22-E22),MIN(((D22-E22)/F22)*MAX(0,MIN(YEARFRAC(C22,TODAY()),F22)),D22-E22)))</f>
        <v/>
      </c>
      <c r="J22" s="28">
        <f>IF(D22="","",D22-I22)</f>
        <v/>
      </c>
      <c r="K22" s="28">
        <f>IF(D22="","",I22-(IF(G22="Baki Berkurangan",MIN(D22*(1-(1-H22/100)^MAX(0,MIN(YEARFRAC(C22,TODAY())-1,F22))),D22-E22),MIN(((D22-E22)/F22)*MAX(0,MIN(YEARFRAC(C22,TODAY())-1,F22)),D22-E22))))</f>
        <v/>
      </c>
    </row>
    <row r="23" ht="15" customHeight="1" s="60">
      <c r="A23" s="25" t="n"/>
      <c r="B23" s="25" t="n"/>
      <c r="C23" s="25" t="n"/>
      <c r="D23" s="25" t="n"/>
      <c r="E23" s="25" t="n"/>
      <c r="F23" s="25" t="n"/>
      <c r="G23" s="25" t="n"/>
      <c r="H23" s="25" t="n"/>
      <c r="I23" s="28">
        <f>IF(OR(D23="",F23=""),"",IF(G23="Baki Berkurangan",MIN(D23*(1-(1-H23/100)^MAX(0,MIN(YEARFRAC(C23,TODAY()),F23))),D23-E23),MIN(((D23-E23)/F23)*MAX(0,MIN(YEARFRAC(C23,TODAY()),F23)),D23-E23)))</f>
        <v/>
      </c>
      <c r="J23" s="28">
        <f>IF(D23="","",D23-I23)</f>
        <v/>
      </c>
      <c r="K23" s="28">
        <f>IF(D23="","",I23-(IF(G23="Baki Berkurangan",MIN(D23*(1-(1-H23/100)^MAX(0,MIN(YEARFRAC(C23,TODAY())-1,F23))),D23-E23),MIN(((D23-E23)/F23)*MAX(0,MIN(YEARFRAC(C23,TODAY())-1,F23)),D23-E23))))</f>
        <v/>
      </c>
    </row>
    <row r="24" ht="15" customHeight="1" s="60">
      <c r="A24" s="25" t="n"/>
      <c r="B24" s="25" t="n"/>
      <c r="C24" s="25" t="n"/>
      <c r="D24" s="25" t="n"/>
      <c r="E24" s="25" t="n"/>
      <c r="F24" s="25" t="n"/>
      <c r="G24" s="25" t="n"/>
      <c r="H24" s="25" t="n"/>
      <c r="I24" s="28">
        <f>IF(OR(D24="",F24=""),"",IF(G24="Baki Berkurangan",MIN(D24*(1-(1-H24/100)^MAX(0,MIN(YEARFRAC(C24,TODAY()),F24))),D24-E24),MIN(((D24-E24)/F24)*MAX(0,MIN(YEARFRAC(C24,TODAY()),F24)),D24-E24)))</f>
        <v/>
      </c>
      <c r="J24" s="28">
        <f>IF(D24="","",D24-I24)</f>
        <v/>
      </c>
      <c r="K24" s="28">
        <f>IF(D24="","",I24-(IF(G24="Baki Berkurangan",MIN(D24*(1-(1-H24/100)^MAX(0,MIN(YEARFRAC(C24,TODAY())-1,F24))),D24-E24),MIN(((D24-E24)/F24)*MAX(0,MIN(YEARFRAC(C24,TODAY())-1,F24)),D24-E24))))</f>
        <v/>
      </c>
    </row>
    <row r="25" ht="15" customHeight="1" s="60">
      <c r="A25" s="25" t="n"/>
      <c r="B25" s="25" t="n"/>
      <c r="C25" s="25" t="n"/>
      <c r="D25" s="25" t="n"/>
      <c r="E25" s="25" t="n"/>
      <c r="F25" s="25" t="n"/>
      <c r="G25" s="25" t="n"/>
      <c r="H25" s="25" t="n"/>
      <c r="I25" s="28">
        <f>IF(OR(D25="",F25=""),"",IF(G25="Baki Berkurangan",MIN(D25*(1-(1-H25/100)^MAX(0,MIN(YEARFRAC(C25,TODAY()),F25))),D25-E25),MIN(((D25-E25)/F25)*MAX(0,MIN(YEARFRAC(C25,TODAY()),F25)),D25-E25)))</f>
        <v/>
      </c>
      <c r="J25" s="28">
        <f>IF(D25="","",D25-I25)</f>
        <v/>
      </c>
      <c r="K25" s="28">
        <f>IF(D25="","",I25-(IF(G25="Baki Berkurangan",MIN(D25*(1-(1-H25/100)^MAX(0,MIN(YEARFRAC(C25,TODAY())-1,F25))),D25-E25),MIN(((D25-E25)/F25)*MAX(0,MIN(YEARFRAC(C25,TODAY())-1,F25)),D25-E25))))</f>
        <v/>
      </c>
    </row>
    <row r="26" ht="15" customHeight="1" s="60">
      <c r="A26" s="25" t="n"/>
      <c r="B26" s="25" t="n"/>
      <c r="C26" s="25" t="n"/>
      <c r="D26" s="25" t="n"/>
      <c r="E26" s="25" t="n"/>
      <c r="F26" s="25" t="n"/>
      <c r="G26" s="25" t="n"/>
      <c r="H26" s="25" t="n"/>
      <c r="I26" s="28">
        <f>IF(OR(D26="",F26=""),"",IF(G26="Baki Berkurangan",MIN(D26*(1-(1-H26/100)^MAX(0,MIN(YEARFRAC(C26,TODAY()),F26))),D26-E26),MIN(((D26-E26)/F26)*MAX(0,MIN(YEARFRAC(C26,TODAY()),F26)),D26-E26)))</f>
        <v/>
      </c>
      <c r="J26" s="28">
        <f>IF(D26="","",D26-I26)</f>
        <v/>
      </c>
      <c r="K26" s="28">
        <f>IF(D26="","",I26-(IF(G26="Baki Berkurangan",MIN(D26*(1-(1-H26/100)^MAX(0,MIN(YEARFRAC(C26,TODAY())-1,F26))),D26-E26),MIN(((D26-E26)/F26)*MAX(0,MIN(YEARFRAC(C26,TODAY())-1,F26)),D26-E26))))</f>
        <v/>
      </c>
    </row>
    <row r="27" ht="15" customHeight="1" s="60">
      <c r="A27" s="25" t="n"/>
      <c r="B27" s="25" t="n"/>
      <c r="C27" s="25" t="n"/>
      <c r="D27" s="25" t="n"/>
      <c r="E27" s="25" t="n"/>
      <c r="F27" s="25" t="n"/>
      <c r="G27" s="25" t="n"/>
      <c r="H27" s="25" t="n"/>
      <c r="I27" s="28">
        <f>IF(OR(D27="",F27=""),"",IF(G27="Baki Berkurangan",MIN(D27*(1-(1-H27/100)^MAX(0,MIN(YEARFRAC(C27,TODAY()),F27))),D27-E27),MIN(((D27-E27)/F27)*MAX(0,MIN(YEARFRAC(C27,TODAY()),F27)),D27-E27)))</f>
        <v/>
      </c>
      <c r="J27" s="28">
        <f>IF(D27="","",D27-I27)</f>
        <v/>
      </c>
      <c r="K27" s="28">
        <f>IF(D27="","",I27-(IF(G27="Baki Berkurangan",MIN(D27*(1-(1-H27/100)^MAX(0,MIN(YEARFRAC(C27,TODAY())-1,F27))),D27-E27),MIN(((D27-E27)/F27)*MAX(0,MIN(YEARFRAC(C27,TODAY())-1,F27)),D27-E27))))</f>
        <v/>
      </c>
    </row>
    <row r="28" ht="15" customHeight="1" s="60">
      <c r="A28" s="25" t="n"/>
      <c r="B28" s="25" t="n"/>
      <c r="C28" s="25" t="n"/>
      <c r="D28" s="25" t="n"/>
      <c r="E28" s="25" t="n"/>
      <c r="F28" s="25" t="n"/>
      <c r="G28" s="25" t="n"/>
      <c r="H28" s="25" t="n"/>
      <c r="I28" s="28">
        <f>IF(OR(D28="",F28=""),"",IF(G28="Baki Berkurangan",MIN(D28*(1-(1-H28/100)^MAX(0,MIN(YEARFRAC(C28,TODAY()),F28))),D28-E28),MIN(((D28-E28)/F28)*MAX(0,MIN(YEARFRAC(C28,TODAY()),F28)),D28-E28)))</f>
        <v/>
      </c>
      <c r="J28" s="28">
        <f>IF(D28="","",D28-I28)</f>
        <v/>
      </c>
      <c r="K28" s="28">
        <f>IF(D28="","",I28-(IF(G28="Baki Berkurangan",MIN(D28*(1-(1-H28/100)^MAX(0,MIN(YEARFRAC(C28,TODAY())-1,F28))),D28-E28),MIN(((D28-E28)/F28)*MAX(0,MIN(YEARFRAC(C28,TODAY())-1,F28)),D28-E28))))</f>
        <v/>
      </c>
    </row>
    <row r="29" ht="15" customHeight="1" s="60">
      <c r="A29" s="25" t="n"/>
      <c r="B29" s="25" t="n"/>
      <c r="C29" s="25" t="n"/>
      <c r="D29" s="25" t="n"/>
      <c r="E29" s="25" t="n"/>
      <c r="F29" s="25" t="n"/>
      <c r="G29" s="25" t="n"/>
      <c r="H29" s="25" t="n"/>
      <c r="I29" s="28">
        <f>IF(OR(D29="",F29=""),"",IF(G29="Baki Berkurangan",MIN(D29*(1-(1-H29/100)^MAX(0,MIN(YEARFRAC(C29,TODAY()),F29))),D29-E29),MIN(((D29-E29)/F29)*MAX(0,MIN(YEARFRAC(C29,TODAY()),F29)),D29-E29)))</f>
        <v/>
      </c>
      <c r="J29" s="28">
        <f>IF(D29="","",D29-I29)</f>
        <v/>
      </c>
      <c r="K29" s="28">
        <f>IF(D29="","",I29-(IF(G29="Baki Berkurangan",MIN(D29*(1-(1-H29/100)^MAX(0,MIN(YEARFRAC(C29,TODAY())-1,F29))),D29-E29),MIN(((D29-E29)/F29)*MAX(0,MIN(YEARFRAC(C29,TODAY())-1,F29)),D29-E29))))</f>
        <v/>
      </c>
    </row>
    <row r="30" ht="15" customHeight="1" s="60">
      <c r="A30" s="25" t="n"/>
      <c r="B30" s="25" t="n"/>
      <c r="C30" s="25" t="n"/>
      <c r="D30" s="25" t="n"/>
      <c r="E30" s="25" t="n"/>
      <c r="F30" s="25" t="n"/>
      <c r="G30" s="25" t="n"/>
      <c r="H30" s="25" t="n"/>
      <c r="I30" s="28">
        <f>IF(OR(D30="",F30=""),"",IF(G30="Baki Berkurangan",MIN(D30*(1-(1-H30/100)^MAX(0,MIN(YEARFRAC(C30,TODAY()),F30))),D30-E30),MIN(((D30-E30)/F30)*MAX(0,MIN(YEARFRAC(C30,TODAY()),F30)),D30-E30)))</f>
        <v/>
      </c>
      <c r="J30" s="28">
        <f>IF(D30="","",D30-I30)</f>
        <v/>
      </c>
      <c r="K30" s="28">
        <f>IF(D30="","",I30-(IF(G30="Baki Berkurangan",MIN(D30*(1-(1-H30/100)^MAX(0,MIN(YEARFRAC(C30,TODAY())-1,F30))),D30-E30),MIN(((D30-E30)/F30)*MAX(0,MIN(YEARFRAC(C30,TODAY())-1,F30)),D30-E30))))</f>
        <v/>
      </c>
    </row>
    <row r="31" ht="15" customHeight="1" s="60">
      <c r="A31" s="25" t="n"/>
      <c r="B31" s="25" t="n"/>
      <c r="C31" s="25" t="n"/>
      <c r="D31" s="25" t="n"/>
      <c r="E31" s="25" t="n"/>
      <c r="F31" s="25" t="n"/>
      <c r="G31" s="25" t="n"/>
      <c r="H31" s="25" t="n"/>
      <c r="I31" s="28">
        <f>IF(OR(D31="",F31=""),"",IF(G31="Baki Berkurangan",MIN(D31*(1-(1-H31/100)^MAX(0,MIN(YEARFRAC(C31,TODAY()),F31))),D31-E31),MIN(((D31-E31)/F31)*MAX(0,MIN(YEARFRAC(C31,TODAY()),F31)),D31-E31)))</f>
        <v/>
      </c>
      <c r="J31" s="28">
        <f>IF(D31="","",D31-I31)</f>
        <v/>
      </c>
      <c r="K31" s="28">
        <f>IF(D31="","",I31-(IF(G31="Baki Berkurangan",MIN(D31*(1-(1-H31/100)^MAX(0,MIN(YEARFRAC(C31,TODAY())-1,F31))),D31-E31),MIN(((D31-E31)/F31)*MAX(0,MIN(YEARFRAC(C31,TODAY())-1,F31)),D31-E31))))</f>
        <v/>
      </c>
    </row>
    <row r="32" ht="15" customHeight="1" s="60">
      <c r="A32" s="25" t="n"/>
      <c r="B32" s="25" t="n"/>
      <c r="C32" s="25" t="n"/>
      <c r="D32" s="25" t="n"/>
      <c r="E32" s="25" t="n"/>
      <c r="F32" s="25" t="n"/>
      <c r="G32" s="25" t="n"/>
      <c r="H32" s="25" t="n"/>
      <c r="I32" s="28">
        <f>IF(OR(D32="",F32=""),"",IF(G32="Baki Berkurangan",MIN(D32*(1-(1-H32/100)^MAX(0,MIN(YEARFRAC(C32,TODAY()),F32))),D32-E32),MIN(((D32-E32)/F32)*MAX(0,MIN(YEARFRAC(C32,TODAY()),F32)),D32-E32)))</f>
        <v/>
      </c>
      <c r="J32" s="28">
        <f>IF(D32="","",D32-I32)</f>
        <v/>
      </c>
      <c r="K32" s="28">
        <f>IF(D32="","",I32-(IF(G32="Baki Berkurangan",MIN(D32*(1-(1-H32/100)^MAX(0,MIN(YEARFRAC(C32,TODAY())-1,F32))),D32-E32),MIN(((D32-E32)/F32)*MAX(0,MIN(YEARFRAC(C32,TODAY())-1,F32)),D32-E32))))</f>
        <v/>
      </c>
    </row>
    <row r="33" ht="15" customHeight="1" s="60">
      <c r="A33" s="25" t="n"/>
      <c r="B33" s="25" t="n"/>
      <c r="C33" s="25" t="n"/>
      <c r="D33" s="25" t="n"/>
      <c r="E33" s="25" t="n"/>
      <c r="F33" s="25" t="n"/>
      <c r="G33" s="25" t="n"/>
      <c r="H33" s="25" t="n"/>
      <c r="I33" s="28">
        <f>IF(OR(D33="",F33=""),"",IF(G33="Baki Berkurangan",MIN(D33*(1-(1-H33/100)^MAX(0,MIN(YEARFRAC(C33,TODAY()),F33))),D33-E33),MIN(((D33-E33)/F33)*MAX(0,MIN(YEARFRAC(C33,TODAY()),F33)),D33-E33)))</f>
        <v/>
      </c>
      <c r="J33" s="28">
        <f>IF(D33="","",D33-I33)</f>
        <v/>
      </c>
      <c r="K33" s="28">
        <f>IF(D33="","",I33-(IF(G33="Baki Berkurangan",MIN(D33*(1-(1-H33/100)^MAX(0,MIN(YEARFRAC(C33,TODAY())-1,F33))),D33-E33),MIN(((D33-E33)/F33)*MAX(0,MIN(YEARFRAC(C33,TODAY())-1,F33)),D33-E33))))</f>
        <v/>
      </c>
    </row>
    <row r="34" ht="15" customHeight="1" s="60">
      <c r="A34" s="25" t="n"/>
      <c r="B34" s="25" t="n"/>
      <c r="C34" s="25" t="n"/>
      <c r="D34" s="25" t="n"/>
      <c r="E34" s="25" t="n"/>
      <c r="F34" s="25" t="n"/>
      <c r="G34" s="25" t="n"/>
      <c r="H34" s="25" t="n"/>
      <c r="I34" s="28">
        <f>IF(OR(D34="",F34=""),"",IF(G34="Baki Berkurangan",MIN(D34*(1-(1-H34/100)^MAX(0,MIN(YEARFRAC(C34,TODAY()),F34))),D34-E34),MIN(((D34-E34)/F34)*MAX(0,MIN(YEARFRAC(C34,TODAY()),F34)),D34-E34)))</f>
        <v/>
      </c>
      <c r="J34" s="28">
        <f>IF(D34="","",D34-I34)</f>
        <v/>
      </c>
      <c r="K34" s="28">
        <f>IF(D34="","",I34-(IF(G34="Baki Berkurangan",MIN(D34*(1-(1-H34/100)^MAX(0,MIN(YEARFRAC(C34,TODAY())-1,F34))),D34-E34),MIN(((D34-E34)/F34)*MAX(0,MIN(YEARFRAC(C34,TODAY())-1,F34)),D34-E34))))</f>
        <v/>
      </c>
    </row>
    <row r="35" ht="15" customHeight="1" s="60">
      <c r="A35" s="25" t="n"/>
      <c r="B35" s="25" t="n"/>
      <c r="C35" s="25" t="n"/>
      <c r="D35" s="25" t="n"/>
      <c r="E35" s="25" t="n"/>
      <c r="F35" s="25" t="n"/>
      <c r="G35" s="25" t="n"/>
      <c r="H35" s="25" t="n"/>
      <c r="I35" s="28">
        <f>IF(OR(D35="",F35=""),"",IF(G35="Baki Berkurangan",MIN(D35*(1-(1-H35/100)^MAX(0,MIN(YEARFRAC(C35,TODAY()),F35))),D35-E35),MIN(((D35-E35)/F35)*MAX(0,MIN(YEARFRAC(C35,TODAY()),F35)),D35-E35)))</f>
        <v/>
      </c>
      <c r="J35" s="28">
        <f>IF(D35="","",D35-I35)</f>
        <v/>
      </c>
      <c r="K35" s="28">
        <f>IF(D35="","",I35-(IF(G35="Baki Berkurangan",MIN(D35*(1-(1-H35/100)^MAX(0,MIN(YEARFRAC(C35,TODAY())-1,F35))),D35-E35),MIN(((D35-E35)/F35)*MAX(0,MIN(YEARFRAC(C35,TODAY())-1,F35)),D35-E35))))</f>
        <v/>
      </c>
    </row>
    <row r="36" ht="15" customHeight="1" s="60">
      <c r="A36" s="25" t="n"/>
      <c r="B36" s="25" t="n"/>
      <c r="C36" s="25" t="n"/>
      <c r="D36" s="25" t="n"/>
      <c r="E36" s="25" t="n"/>
      <c r="F36" s="25" t="n"/>
      <c r="G36" s="25" t="n"/>
      <c r="H36" s="25" t="n"/>
      <c r="I36" s="28">
        <f>IF(OR(D36="",F36=""),"",IF(G36="Baki Berkurangan",MIN(D36*(1-(1-H36/100)^MAX(0,MIN(YEARFRAC(C36,TODAY()),F36))),D36-E36),MIN(((D36-E36)/F36)*MAX(0,MIN(YEARFRAC(C36,TODAY()),F36)),D36-E36)))</f>
        <v/>
      </c>
      <c r="J36" s="28">
        <f>IF(D36="","",D36-I36)</f>
        <v/>
      </c>
      <c r="K36" s="28">
        <f>IF(D36="","",I36-(IF(G36="Baki Berkurangan",MIN(D36*(1-(1-H36/100)^MAX(0,MIN(YEARFRAC(C36,TODAY())-1,F36))),D36-E36),MIN(((D36-E36)/F36)*MAX(0,MIN(YEARFRAC(C36,TODAY())-1,F36)),D36-E36))))</f>
        <v/>
      </c>
    </row>
    <row r="37" ht="15" customHeight="1" s="60">
      <c r="A37" s="25" t="n"/>
      <c r="B37" s="25" t="n"/>
      <c r="C37" s="25" t="n"/>
      <c r="D37" s="25" t="n"/>
      <c r="E37" s="25" t="n"/>
      <c r="F37" s="25" t="n"/>
      <c r="G37" s="25" t="n"/>
      <c r="H37" s="25" t="n"/>
      <c r="I37" s="28">
        <f>IF(OR(D37="",F37=""),"",IF(G37="Baki Berkurangan",MIN(D37*(1-(1-H37/100)^MAX(0,MIN(YEARFRAC(C37,TODAY()),F37))),D37-E37),MIN(((D37-E37)/F37)*MAX(0,MIN(YEARFRAC(C37,TODAY()),F37)),D37-E37)))</f>
        <v/>
      </c>
      <c r="J37" s="28">
        <f>IF(D37="","",D37-I37)</f>
        <v/>
      </c>
      <c r="K37" s="28">
        <f>IF(D37="","",I37-(IF(G37="Baki Berkurangan",MIN(D37*(1-(1-H37/100)^MAX(0,MIN(YEARFRAC(C37,TODAY())-1,F37))),D37-E37),MIN(((D37-E37)/F37)*MAX(0,MIN(YEARFRAC(C37,TODAY())-1,F37)),D37-E37))))</f>
        <v/>
      </c>
    </row>
    <row r="38" ht="15" customHeight="1" s="60">
      <c r="A38" s="25" t="n"/>
      <c r="B38" s="25" t="n"/>
      <c r="C38" s="25" t="n"/>
      <c r="D38" s="25" t="n"/>
      <c r="E38" s="25" t="n"/>
      <c r="F38" s="25" t="n"/>
      <c r="G38" s="25" t="n"/>
      <c r="H38" s="25" t="n"/>
      <c r="I38" s="28">
        <f>IF(OR(D38="",F38=""),"",IF(G38="Baki Berkurangan",MIN(D38*(1-(1-H38/100)^MAX(0,MIN(YEARFRAC(C38,TODAY()),F38))),D38-E38),MIN(((D38-E38)/F38)*MAX(0,MIN(YEARFRAC(C38,TODAY()),F38)),D38-E38)))</f>
        <v/>
      </c>
      <c r="J38" s="28">
        <f>IF(D38="","",D38-I38)</f>
        <v/>
      </c>
      <c r="K38" s="28">
        <f>IF(D38="","",I38-(IF(G38="Baki Berkurangan",MIN(D38*(1-(1-H38/100)^MAX(0,MIN(YEARFRAC(C38,TODAY())-1,F38))),D38-E38),MIN(((D38-E38)/F38)*MAX(0,MIN(YEARFRAC(C38,TODAY())-1,F38)),D38-E38))))</f>
        <v/>
      </c>
    </row>
    <row r="39" ht="15" customHeight="1" s="60">
      <c r="A39" s="25" t="n"/>
      <c r="B39" s="25" t="n"/>
      <c r="C39" s="25" t="n"/>
      <c r="D39" s="25" t="n"/>
      <c r="E39" s="25" t="n"/>
      <c r="F39" s="25" t="n"/>
      <c r="G39" s="25" t="n"/>
      <c r="H39" s="25" t="n"/>
      <c r="I39" s="28">
        <f>IF(OR(D39="",F39=""),"",IF(G39="Baki Berkurangan",MIN(D39*(1-(1-H39/100)^MAX(0,MIN(YEARFRAC(C39,TODAY()),F39))),D39-E39),MIN(((D39-E39)/F39)*MAX(0,MIN(YEARFRAC(C39,TODAY()),F39)),D39-E39)))</f>
        <v/>
      </c>
      <c r="J39" s="28">
        <f>IF(D39="","",D39-I39)</f>
        <v/>
      </c>
      <c r="K39" s="28">
        <f>IF(D39="","",I39-(IF(G39="Baki Berkurangan",MIN(D39*(1-(1-H39/100)^MAX(0,MIN(YEARFRAC(C39,TODAY())-1,F39))),D39-E39),MIN(((D39-E39)/F39)*MAX(0,MIN(YEARFRAC(C39,TODAY())-1,F39)),D39-E39))))</f>
        <v/>
      </c>
    </row>
    <row r="40" ht="15" customHeight="1" s="60">
      <c r="A40" s="25" t="n"/>
      <c r="B40" s="25" t="n"/>
      <c r="C40" s="25" t="n"/>
      <c r="D40" s="25" t="n"/>
      <c r="E40" s="25" t="n"/>
      <c r="F40" s="25" t="n"/>
      <c r="G40" s="25" t="n"/>
      <c r="H40" s="25" t="n"/>
      <c r="I40" s="28">
        <f>IF(OR(D40="",F40=""),"",IF(G40="Baki Berkurangan",MIN(D40*(1-(1-H40/100)^MAX(0,MIN(YEARFRAC(C40,TODAY()),F40))),D40-E40),MIN(((D40-E40)/F40)*MAX(0,MIN(YEARFRAC(C40,TODAY()),F40)),D40-E40)))</f>
        <v/>
      </c>
      <c r="J40" s="28">
        <f>IF(D40="","",D40-I40)</f>
        <v/>
      </c>
      <c r="K40" s="28">
        <f>IF(D40="","",I40-(IF(G40="Baki Berkurangan",MIN(D40*(1-(1-H40/100)^MAX(0,MIN(YEARFRAC(C40,TODAY())-1,F40))),D40-E40),MIN(((D40-E40)/F40)*MAX(0,MIN(YEARFRAC(C40,TODAY())-1,F40)),D40-E40))))</f>
        <v/>
      </c>
    </row>
    <row r="41" ht="15" customHeight="1" s="60">
      <c r="A41" s="25" t="n"/>
      <c r="B41" s="25" t="n"/>
      <c r="C41" s="25" t="n"/>
      <c r="D41" s="25" t="n"/>
      <c r="E41" s="25" t="n"/>
      <c r="F41" s="25" t="n"/>
      <c r="G41" s="25" t="n"/>
      <c r="H41" s="25" t="n"/>
      <c r="I41" s="28">
        <f>IF(OR(D41="",F41=""),"",IF(G41="Baki Berkurangan",MIN(D41*(1-(1-H41/100)^MAX(0,MIN(YEARFRAC(C41,TODAY()),F41))),D41-E41),MIN(((D41-E41)/F41)*MAX(0,MIN(YEARFRAC(C41,TODAY()),F41)),D41-E41)))</f>
        <v/>
      </c>
      <c r="J41" s="28">
        <f>IF(D41="","",D41-I41)</f>
        <v/>
      </c>
      <c r="K41" s="28">
        <f>IF(D41="","",I41-(IF(G41="Baki Berkurangan",MIN(D41*(1-(1-H41/100)^MAX(0,MIN(YEARFRAC(C41,TODAY())-1,F41))),D41-E41),MIN(((D41-E41)/F41)*MAX(0,MIN(YEARFRAC(C41,TODAY())-1,F41)),D41-E41))))</f>
        <v/>
      </c>
    </row>
    <row r="42" ht="15" customHeight="1" s="60">
      <c r="A42" s="25" t="n"/>
      <c r="B42" s="25" t="n"/>
      <c r="C42" s="25" t="n"/>
      <c r="D42" s="25" t="n"/>
      <c r="E42" s="25" t="n"/>
      <c r="F42" s="25" t="n"/>
      <c r="G42" s="25" t="n"/>
      <c r="H42" s="25" t="n"/>
      <c r="I42" s="28">
        <f>IF(OR(D42="",F42=""),"",IF(G42="Baki Berkurangan",MIN(D42*(1-(1-H42/100)^MAX(0,MIN(YEARFRAC(C42,TODAY()),F42))),D42-E42),MIN(((D42-E42)/F42)*MAX(0,MIN(YEARFRAC(C42,TODAY()),F42)),D42-E42)))</f>
        <v/>
      </c>
      <c r="J42" s="28">
        <f>IF(D42="","",D42-I42)</f>
        <v/>
      </c>
      <c r="K42" s="28">
        <f>IF(D42="","",I42-(IF(G42="Baki Berkurangan",MIN(D42*(1-(1-H42/100)^MAX(0,MIN(YEARFRAC(C42,TODAY())-1,F42))),D42-E42),MIN(((D42-E42)/F42)*MAX(0,MIN(YEARFRAC(C42,TODAY())-1,F42)),D42-E42))))</f>
        <v/>
      </c>
    </row>
    <row r="43" ht="15" customHeight="1" s="60">
      <c r="A43" s="25" t="n"/>
      <c r="B43" s="25" t="n"/>
      <c r="C43" s="25" t="n"/>
      <c r="D43" s="25" t="n"/>
      <c r="E43" s="25" t="n"/>
      <c r="F43" s="25" t="n"/>
      <c r="G43" s="25" t="n"/>
      <c r="H43" s="25" t="n"/>
      <c r="I43" s="28">
        <f>IF(OR(D43="",F43=""),"",IF(G43="Baki Berkurangan",MIN(D43*(1-(1-H43/100)^MAX(0,MIN(YEARFRAC(C43,TODAY()),F43))),D43-E43),MIN(((D43-E43)/F43)*MAX(0,MIN(YEARFRAC(C43,TODAY()),F43)),D43-E43)))</f>
        <v/>
      </c>
      <c r="J43" s="28">
        <f>IF(D43="","",D43-I43)</f>
        <v/>
      </c>
      <c r="K43" s="28">
        <f>IF(D43="","",I43-(IF(G43="Baki Berkurangan",MIN(D43*(1-(1-H43/100)^MAX(0,MIN(YEARFRAC(C43,TODAY())-1,F43))),D43-E43),MIN(((D43-E43)/F43)*MAX(0,MIN(YEARFRAC(C43,TODAY())-1,F43)),D43-E43))))</f>
        <v/>
      </c>
    </row>
    <row r="44" ht="15" customHeight="1" s="60">
      <c r="A44" s="25" t="n"/>
      <c r="B44" s="25" t="n"/>
      <c r="C44" s="25" t="n"/>
      <c r="D44" s="25" t="n"/>
      <c r="E44" s="25" t="n"/>
      <c r="F44" s="25" t="n"/>
      <c r="G44" s="25" t="n"/>
      <c r="H44" s="25" t="n"/>
      <c r="I44" s="28">
        <f>IF(OR(D44="",F44=""),"",IF(G44="Baki Berkurangan",MIN(D44*(1-(1-H44/100)^MAX(0,MIN(YEARFRAC(C44,TODAY()),F44))),D44-E44),MIN(((D44-E44)/F44)*MAX(0,MIN(YEARFRAC(C44,TODAY()),F44)),D44-E44)))</f>
        <v/>
      </c>
      <c r="J44" s="28">
        <f>IF(D44="","",D44-I44)</f>
        <v/>
      </c>
      <c r="K44" s="28">
        <f>IF(D44="","",I44-(IF(G44="Baki Berkurangan",MIN(D44*(1-(1-H44/100)^MAX(0,MIN(YEARFRAC(C44,TODAY())-1,F44))),D44-E44),MIN(((D44-E44)/F44)*MAX(0,MIN(YEARFRAC(C44,TODAY())-1,F44)),D44-E44))))</f>
        <v/>
      </c>
    </row>
    <row r="45" ht="15" customHeight="1" s="60">
      <c r="A45" s="25" t="n"/>
      <c r="B45" s="25" t="n"/>
      <c r="C45" s="25" t="n"/>
      <c r="D45" s="25" t="n"/>
      <c r="E45" s="25" t="n"/>
      <c r="F45" s="25" t="n"/>
      <c r="G45" s="25" t="n"/>
      <c r="H45" s="25" t="n"/>
      <c r="I45" s="28">
        <f>IF(OR(D45="",F45=""),"",IF(G45="Baki Berkurangan",MIN(D45*(1-(1-H45/100)^MAX(0,MIN(YEARFRAC(C45,TODAY()),F45))),D45-E45),MIN(((D45-E45)/F45)*MAX(0,MIN(YEARFRAC(C45,TODAY()),F45)),D45-E45)))</f>
        <v/>
      </c>
      <c r="J45" s="28">
        <f>IF(D45="","",D45-I45)</f>
        <v/>
      </c>
      <c r="K45" s="28">
        <f>IF(D45="","",I45-(IF(G45="Baki Berkurangan",MIN(D45*(1-(1-H45/100)^MAX(0,MIN(YEARFRAC(C45,TODAY())-1,F45))),D45-E45),MIN(((D45-E45)/F45)*MAX(0,MIN(YEARFRAC(C45,TODAY())-1,F45)),D45-E45))))</f>
        <v/>
      </c>
    </row>
    <row r="46" ht="15" customHeight="1" s="60">
      <c r="A46" s="25" t="n"/>
      <c r="B46" s="25" t="n"/>
      <c r="C46" s="25" t="n"/>
      <c r="D46" s="25" t="n"/>
      <c r="E46" s="25" t="n"/>
      <c r="F46" s="25" t="n"/>
      <c r="G46" s="25" t="n"/>
      <c r="H46" s="25" t="n"/>
      <c r="I46" s="28">
        <f>IF(OR(D46="",F46=""),"",IF(G46="Baki Berkurangan",MIN(D46*(1-(1-H46/100)^MAX(0,MIN(YEARFRAC(C46,TODAY()),F46))),D46-E46),MIN(((D46-E46)/F46)*MAX(0,MIN(YEARFRAC(C46,TODAY()),F46)),D46-E46)))</f>
        <v/>
      </c>
      <c r="J46" s="28">
        <f>IF(D46="","",D46-I46)</f>
        <v/>
      </c>
      <c r="K46" s="28">
        <f>IF(D46="","",I46-(IF(G46="Baki Berkurangan",MIN(D46*(1-(1-H46/100)^MAX(0,MIN(YEARFRAC(C46,TODAY())-1,F46))),D46-E46),MIN(((D46-E46)/F46)*MAX(0,MIN(YEARFRAC(C46,TODAY())-1,F46)),D46-E46))))</f>
        <v/>
      </c>
    </row>
    <row r="47" ht="15" customHeight="1" s="60">
      <c r="A47" s="25" t="n"/>
      <c r="B47" s="25" t="n"/>
      <c r="C47" s="25" t="n"/>
      <c r="D47" s="25" t="n"/>
      <c r="E47" s="25" t="n"/>
      <c r="F47" s="25" t="n"/>
      <c r="G47" s="25" t="n"/>
      <c r="H47" s="25" t="n"/>
      <c r="I47" s="28">
        <f>IF(OR(D47="",F47=""),"",IF(G47="Baki Berkurangan",MIN(D47*(1-(1-H47/100)^MAX(0,MIN(YEARFRAC(C47,TODAY()),F47))),D47-E47),MIN(((D47-E47)/F47)*MAX(0,MIN(YEARFRAC(C47,TODAY()),F47)),D47-E47)))</f>
        <v/>
      </c>
      <c r="J47" s="28">
        <f>IF(D47="","",D47-I47)</f>
        <v/>
      </c>
      <c r="K47" s="28">
        <f>IF(D47="","",I47-(IF(G47="Baki Berkurangan",MIN(D47*(1-(1-H47/100)^MAX(0,MIN(YEARFRAC(C47,TODAY())-1,F47))),D47-E47),MIN(((D47-E47)/F47)*MAX(0,MIN(YEARFRAC(C47,TODAY())-1,F47)),D47-E47))))</f>
        <v/>
      </c>
    </row>
    <row r="48" ht="15" customHeight="1" s="60">
      <c r="A48" s="25" t="n"/>
      <c r="B48" s="25" t="n"/>
      <c r="C48" s="25" t="n"/>
      <c r="D48" s="25" t="n"/>
      <c r="E48" s="25" t="n"/>
      <c r="F48" s="25" t="n"/>
      <c r="G48" s="25" t="n"/>
      <c r="H48" s="25" t="n"/>
      <c r="I48" s="28">
        <f>IF(OR(D48="",F48=""),"",IF(G48="Baki Berkurangan",MIN(D48*(1-(1-H48/100)^MAX(0,MIN(YEARFRAC(C48,TODAY()),F48))),D48-E48),MIN(((D48-E48)/F48)*MAX(0,MIN(YEARFRAC(C48,TODAY()),F48)),D48-E48)))</f>
        <v/>
      </c>
      <c r="J48" s="28">
        <f>IF(D48="","",D48-I48)</f>
        <v/>
      </c>
      <c r="K48" s="28">
        <f>IF(D48="","",I48-(IF(G48="Baki Berkurangan",MIN(D48*(1-(1-H48/100)^MAX(0,MIN(YEARFRAC(C48,TODAY())-1,F48))),D48-E48),MIN(((D48-E48)/F48)*MAX(0,MIN(YEARFRAC(C48,TODAY())-1,F48)),D48-E48))))</f>
        <v/>
      </c>
    </row>
    <row r="49" ht="15" customHeight="1" s="60">
      <c r="A49" s="25" t="n"/>
      <c r="B49" s="25" t="n"/>
      <c r="C49" s="25" t="n"/>
      <c r="D49" s="25" t="n"/>
      <c r="E49" s="25" t="n"/>
      <c r="F49" s="25" t="n"/>
      <c r="G49" s="25" t="n"/>
      <c r="H49" s="25" t="n"/>
      <c r="I49" s="28">
        <f>IF(OR(D49="",F49=""),"",IF(G49="Baki Berkurangan",MIN(D49*(1-(1-H49/100)^MAX(0,MIN(YEARFRAC(C49,TODAY()),F49))),D49-E49),MIN(((D49-E49)/F49)*MAX(0,MIN(YEARFRAC(C49,TODAY()),F49)),D49-E49)))</f>
        <v/>
      </c>
      <c r="J49" s="28">
        <f>IF(D49="","",D49-I49)</f>
        <v/>
      </c>
      <c r="K49" s="28">
        <f>IF(D49="","",I49-(IF(G49="Baki Berkurangan",MIN(D49*(1-(1-H49/100)^MAX(0,MIN(YEARFRAC(C49,TODAY())-1,F49))),D49-E49),MIN(((D49-E49)/F49)*MAX(0,MIN(YEARFRAC(C49,TODAY())-1,F49)),D49-E49))))</f>
        <v/>
      </c>
    </row>
    <row r="50" ht="15" customHeight="1" s="60">
      <c r="A50" s="25" t="n"/>
      <c r="B50" s="25" t="n"/>
      <c r="C50" s="25" t="n"/>
      <c r="D50" s="25" t="n"/>
      <c r="E50" s="25" t="n"/>
      <c r="F50" s="25" t="n"/>
      <c r="G50" s="25" t="n"/>
      <c r="H50" s="25" t="n"/>
      <c r="I50" s="28">
        <f>IF(OR(D50="",F50=""),"",IF(G50="Baki Berkurangan",MIN(D50*(1-(1-H50/100)^MAX(0,MIN(YEARFRAC(C50,TODAY()),F50))),D50-E50),MIN(((D50-E50)/F50)*MAX(0,MIN(YEARFRAC(C50,TODAY()),F50)),D50-E50)))</f>
        <v/>
      </c>
      <c r="J50" s="28">
        <f>IF(D50="","",D50-I50)</f>
        <v/>
      </c>
      <c r="K50" s="28">
        <f>IF(D50="","",I50-(IF(G50="Baki Berkurangan",MIN(D50*(1-(1-H50/100)^MAX(0,MIN(YEARFRAC(C50,TODAY())-1,F50))),D50-E50),MIN(((D50-E50)/F50)*MAX(0,MIN(YEARFRAC(C50,TODAY())-1,F50)),D50-E50))))</f>
        <v/>
      </c>
    </row>
    <row r="51" ht="15" customHeight="1" s="60">
      <c r="A51" s="25" t="n"/>
      <c r="B51" s="25" t="n"/>
      <c r="C51" s="25" t="n"/>
      <c r="D51" s="25" t="n"/>
      <c r="E51" s="25" t="n"/>
      <c r="F51" s="25" t="n"/>
      <c r="G51" s="25" t="n"/>
      <c r="H51" s="25" t="n"/>
      <c r="I51" s="28">
        <f>IF(OR(D51="",F51=""),"",IF(G51="Baki Berkurangan",MIN(D51*(1-(1-H51/100)^MAX(0,MIN(YEARFRAC(C51,TODAY()),F51))),D51-E51),MIN(((D51-E51)/F51)*MAX(0,MIN(YEARFRAC(C51,TODAY()),F51)),D51-E51)))</f>
        <v/>
      </c>
      <c r="J51" s="28">
        <f>IF(D51="","",D51-I51)</f>
        <v/>
      </c>
      <c r="K51" s="28">
        <f>IF(D51="","",I51-(IF(G51="Baki Berkurangan",MIN(D51*(1-(1-H51/100)^MAX(0,MIN(YEARFRAC(C51,TODAY())-1,F51))),D51-E51),MIN(((D51-E51)/F51)*MAX(0,MIN(YEARFRAC(C51,TODAY())-1,F51)),D51-E51))))</f>
        <v/>
      </c>
    </row>
    <row r="52" ht="15" customHeight="1" s="60">
      <c r="A52" s="25" t="n"/>
      <c r="B52" s="25" t="n"/>
      <c r="C52" s="25" t="n"/>
      <c r="D52" s="25" t="n"/>
      <c r="E52" s="25" t="n"/>
      <c r="F52" s="25" t="n"/>
      <c r="G52" s="25" t="n"/>
      <c r="H52" s="25" t="n"/>
      <c r="I52" s="28">
        <f>IF(OR(D52="",F52=""),"",IF(G52="Baki Berkurangan",MIN(D52*(1-(1-H52/100)^MAX(0,MIN(YEARFRAC(C52,TODAY()),F52))),D52-E52),MIN(((D52-E52)/F52)*MAX(0,MIN(YEARFRAC(C52,TODAY()),F52)),D52-E52)))</f>
        <v/>
      </c>
      <c r="J52" s="28">
        <f>IF(D52="","",D52-I52)</f>
        <v/>
      </c>
      <c r="K52" s="28">
        <f>IF(D52="","",I52-(IF(G52="Baki Berkurangan",MIN(D52*(1-(1-H52/100)^MAX(0,MIN(YEARFRAC(C52,TODAY())-1,F52))),D52-E52),MIN(((D52-E52)/F52)*MAX(0,MIN(YEARFRAC(C52,TODAY())-1,F52)),D52-E52))))</f>
        <v/>
      </c>
    </row>
    <row r="53" ht="15" customHeight="1" s="60">
      <c r="A53" s="25" t="n"/>
      <c r="B53" s="25" t="n"/>
      <c r="C53" s="25" t="n"/>
      <c r="D53" s="25" t="n"/>
      <c r="E53" s="25" t="n"/>
      <c r="F53" s="25" t="n"/>
      <c r="G53" s="25" t="n"/>
      <c r="H53" s="25" t="n"/>
      <c r="I53" s="28">
        <f>IF(OR(D53="",F53=""),"",IF(G53="Baki Berkurangan",MIN(D53*(1-(1-H53/100)^MAX(0,MIN(YEARFRAC(C53,TODAY()),F53))),D53-E53),MIN(((D53-E53)/F53)*MAX(0,MIN(YEARFRAC(C53,TODAY()),F53)),D53-E53)))</f>
        <v/>
      </c>
      <c r="J53" s="28">
        <f>IF(D53="","",D53-I53)</f>
        <v/>
      </c>
      <c r="K53" s="28">
        <f>IF(D53="","",I53-(IF(G53="Baki Berkurangan",MIN(D53*(1-(1-H53/100)^MAX(0,MIN(YEARFRAC(C53,TODAY())-1,F53))),D53-E53),MIN(((D53-E53)/F53)*MAX(0,MIN(YEARFRAC(C53,TODAY())-1,F53)),D53-E53))))</f>
        <v/>
      </c>
    </row>
    <row r="54" ht="15" customHeight="1" s="60">
      <c r="A54" s="25" t="n"/>
      <c r="B54" s="25" t="n"/>
      <c r="C54" s="25" t="n"/>
      <c r="D54" s="25" t="n"/>
      <c r="E54" s="25" t="n"/>
      <c r="F54" s="25" t="n"/>
      <c r="G54" s="25" t="n"/>
      <c r="H54" s="25" t="n"/>
      <c r="I54" s="28">
        <f>IF(OR(D54="",F54=""),"",IF(G54="Baki Berkurangan",MIN(D54*(1-(1-H54/100)^MAX(0,MIN(YEARFRAC(C54,TODAY()),F54))),D54-E54),MIN(((D54-E54)/F54)*MAX(0,MIN(YEARFRAC(C54,TODAY()),F54)),D54-E54)))</f>
        <v/>
      </c>
      <c r="J54" s="28">
        <f>IF(D54="","",D54-I54)</f>
        <v/>
      </c>
      <c r="K54" s="28">
        <f>IF(D54="","",I54-(IF(G54="Baki Berkurangan",MIN(D54*(1-(1-H54/100)^MAX(0,MIN(YEARFRAC(C54,TODAY())-1,F54))),D54-E54),MIN(((D54-E54)/F54)*MAX(0,MIN(YEARFRAC(C54,TODAY())-1,F54)),D54-E54))))</f>
        <v/>
      </c>
    </row>
    <row r="55" ht="15" customHeight="1" s="60">
      <c r="A55" s="34" t="inlineStr">
        <is>
          <t>JUMLAH</t>
        </is>
      </c>
      <c r="B55" s="41" t="n"/>
      <c r="C55" s="41" t="n"/>
      <c r="D55" s="35">
        <f>SUM(D5:D54)</f>
        <v/>
      </c>
      <c r="E55" s="41" t="n"/>
      <c r="F55" s="41" t="n"/>
      <c r="G55" s="41" t="n"/>
      <c r="H55" s="41" t="n"/>
      <c r="I55" s="35">
        <f>SUM(I5:I54)</f>
        <v/>
      </c>
      <c r="J55" s="35">
        <f>SUM(J5:J54)</f>
        <v/>
      </c>
      <c r="K55" s="35">
        <f>SUM(K5:K54)</f>
        <v/>
      </c>
    </row>
    <row r="56" ht="15.75" customHeight="1" s="60">
      <c r="A56" s="41" t="n"/>
      <c r="B56" s="41" t="n"/>
      <c r="C56" s="41" t="n"/>
      <c r="D56" s="41" t="n"/>
      <c r="E56" s="41" t="n"/>
      <c r="F56" s="41" t="n"/>
      <c r="G56" s="41" t="n"/>
      <c r="H56" s="41" t="n"/>
      <c r="I56" s="41" t="n"/>
      <c r="J56" s="41" t="n"/>
      <c r="K56" s="41" t="n"/>
    </row>
    <row r="57" ht="15" customHeight="1" s="60">
      <c r="A57" s="32" t="inlineStr">
        <is>
          <t>Semakan lawan Akaun (1040 - 1045):</t>
        </is>
      </c>
      <c r="B57" s="41" t="n"/>
      <c r="C57" s="41" t="n"/>
      <c r="D57" s="41" t="n"/>
      <c r="E57" s="41" t="n"/>
      <c r="F57" s="41" t="n"/>
      <c r="G57" s="41" t="n"/>
      <c r="H57" s="41" t="n"/>
      <c r="I57" s="41" t="n"/>
      <c r="J57" s="41" t="n"/>
      <c r="K57" s="41" t="n"/>
    </row>
    <row r="58" ht="15" customHeight="1" s="60">
      <c r="A58" s="41" t="inlineStr">
        <is>
          <t>Nilai Buku Bersih ikut Daftar (di atas)</t>
        </is>
      </c>
      <c r="B58" s="36">
        <f>J55</f>
        <v/>
      </c>
      <c r="C58" s="41" t="n"/>
      <c r="D58" s="41" t="n"/>
      <c r="E58" s="41" t="n"/>
      <c r="F58" s="41" t="n"/>
      <c r="G58" s="41" t="n"/>
      <c r="H58" s="41" t="n"/>
      <c r="I58" s="41" t="n"/>
      <c r="J58" s="41" t="n"/>
      <c r="K58" s="41" t="n"/>
    </row>
    <row r="59" ht="15" customHeight="1" s="60">
      <c r="A59" s="41" t="inlineStr">
        <is>
          <t>Nilai Buku Bersih ikut Lejar (Akaun 1040 - 1045)</t>
        </is>
      </c>
      <c r="B59" s="36">
        <f>SUMIF(Imbangan_Duga!$A$5:$A$150,1040,Imbangan_Duga!$H$5:$H$150)+SUMIF(Imbangan_Duga!$A$5:$A$150,1045,Imbangan_Duga!$H$5:$H$150)</f>
        <v/>
      </c>
      <c r="C59" s="41" t="n"/>
      <c r="D59" s="41" t="n"/>
      <c r="E59" s="41" t="n"/>
      <c r="F59" s="41" t="n"/>
      <c r="G59" s="41" t="n"/>
      <c r="H59" s="41" t="n"/>
      <c r="I59" s="41" t="n"/>
      <c r="J59" s="41" t="n"/>
      <c r="K59" s="41" t="n"/>
    </row>
    <row r="60" ht="15" customHeight="1" s="60">
      <c r="A60" s="32" t="inlineStr">
        <is>
          <t>Semakan:</t>
        </is>
      </c>
      <c r="B60" s="32">
        <f>IF(ROUND(B58-B59,2)=0,"SEPADAN","TIDAK SEPADAN - beza RM"&amp;TEXT(B58-B59,"#,##0.00")&amp;" - ada aset didaftar tanpa dipos, atau sebaliknya")</f>
        <v/>
      </c>
      <c r="C60" s="41" t="n"/>
      <c r="D60" s="41" t="n"/>
      <c r="E60" s="41" t="n"/>
      <c r="F60" s="41" t="n"/>
      <c r="G60" s="41" t="n"/>
      <c r="H60" s="41" t="n"/>
      <c r="I60" s="41" t="n"/>
      <c r="J60" s="41" t="n"/>
      <c r="K60" s="41" t="n"/>
    </row>
    <row r="61" ht="15.75" customHeight="1" s="60">
      <c r="A61" s="41" t="n"/>
      <c r="B61" s="41" t="n"/>
      <c r="C61" s="41" t="n"/>
      <c r="D61" s="41" t="n"/>
      <c r="E61" s="41" t="n"/>
      <c r="F61" s="41" t="n"/>
      <c r="G61" s="41" t="n"/>
      <c r="H61" s="41" t="n"/>
      <c r="I61" s="41" t="n"/>
      <c r="J61" s="41" t="n"/>
      <c r="K61" s="41" t="n"/>
    </row>
    <row r="62" ht="54.75" customHeight="1" s="60">
      <c r="A62" s="37" t="inlineStr">
        <is>
          <t>Nota ketepatan: "Susut Nilai Tahun Ini" (lajur K) disahkan tepat kepada sen untuk kedua-dua kaedah. "Susut Nilai Terkumpul" (lajur I, angka kumulatif sejak tarikh perolehan) mungkin berbeza beberapa ringgit sahaja daripada pengiraan manual disebabkan cara YEARFRAC kira bilangan hari - bukan ralat logik, hanya ketidaktepatan kecil pada angka kumulatif jangka panjang. Angka yang benar-benar dipos setiap tahun (lajur K) tidak terjejas.</t>
        </is>
      </c>
      <c r="B62" s="41" t="n"/>
      <c r="C62" s="41" t="n"/>
      <c r="D62" s="41" t="n"/>
      <c r="E62" s="41" t="n"/>
      <c r="F62" s="41" t="n"/>
      <c r="G62" s="41" t="n"/>
      <c r="H62" s="41" t="n"/>
      <c r="I62" s="41" t="n"/>
      <c r="J62" s="41" t="n"/>
      <c r="K62" s="41" t="n"/>
    </row>
    <row r="63" ht="15.75" customHeight="1" s="60">
      <c r="A63" s="41" t="n"/>
      <c r="B63" s="41" t="n"/>
      <c r="C63" s="41" t="n"/>
      <c r="D63" s="41" t="n"/>
      <c r="E63" s="41" t="n"/>
      <c r="F63" s="41" t="n"/>
      <c r="G63" s="41" t="n"/>
      <c r="H63" s="41" t="n"/>
      <c r="I63" s="41" t="n"/>
      <c r="J63" s="41" t="n"/>
      <c r="K63" s="41" t="n"/>
    </row>
    <row r="64" ht="15.75" customHeight="1" s="60">
      <c r="A64" s="41" t="n"/>
      <c r="B64" s="41" t="n"/>
      <c r="C64" s="41" t="n"/>
      <c r="D64" s="41" t="n"/>
      <c r="E64" s="41" t="n"/>
      <c r="F64" s="41" t="n"/>
      <c r="G64" s="41" t="n"/>
      <c r="H64" s="41" t="n"/>
      <c r="I64" s="41" t="n"/>
      <c r="J64" s="41" t="n"/>
      <c r="K64" s="41" t="n"/>
    </row>
    <row r="65" ht="15.75" customHeight="1" s="60">
      <c r="A65" s="41" t="n"/>
      <c r="B65" s="41" t="n"/>
      <c r="C65" s="41" t="n"/>
      <c r="D65" s="41" t="n"/>
      <c r="E65" s="41" t="n"/>
      <c r="F65" s="41" t="n"/>
      <c r="G65" s="41" t="n"/>
      <c r="H65" s="41" t="n"/>
      <c r="I65" s="41" t="n"/>
      <c r="J65" s="41" t="n"/>
      <c r="K65" s="41" t="n"/>
    </row>
    <row r="66" ht="15.75" customHeight="1" s="60">
      <c r="A66" s="41" t="n"/>
      <c r="B66" s="41" t="n"/>
      <c r="C66" s="41" t="n"/>
      <c r="D66" s="41" t="n"/>
      <c r="E66" s="41" t="n"/>
      <c r="F66" s="41" t="n"/>
      <c r="G66" s="41" t="n"/>
      <c r="H66" s="41" t="n"/>
      <c r="I66" s="41" t="n"/>
      <c r="J66" s="41" t="n"/>
      <c r="K66" s="41" t="n"/>
    </row>
    <row r="67" ht="15.75" customHeight="1" s="60">
      <c r="A67" s="41" t="n"/>
      <c r="B67" s="41" t="n"/>
      <c r="C67" s="41" t="n"/>
      <c r="D67" s="41" t="n"/>
      <c r="E67" s="41" t="n"/>
      <c r="F67" s="41" t="n"/>
      <c r="G67" s="41" t="n"/>
      <c r="H67" s="41" t="n"/>
      <c r="I67" s="41" t="n"/>
      <c r="J67" s="41" t="n"/>
      <c r="K67" s="41" t="n"/>
    </row>
    <row r="68" ht="15.75" customHeight="1" s="60">
      <c r="A68" s="41" t="n"/>
      <c r="B68" s="41" t="n"/>
      <c r="C68" s="41" t="n"/>
      <c r="D68" s="41" t="n"/>
      <c r="E68" s="41" t="n"/>
      <c r="F68" s="41" t="n"/>
      <c r="G68" s="41" t="n"/>
      <c r="H68" s="41" t="n"/>
      <c r="I68" s="41" t="n"/>
      <c r="J68" s="41" t="n"/>
      <c r="K68" s="41" t="n"/>
    </row>
    <row r="69" ht="15.75" customHeight="1" s="60">
      <c r="A69" s="41" t="n"/>
      <c r="B69" s="41" t="n"/>
      <c r="C69" s="41" t="n"/>
      <c r="D69" s="41" t="n"/>
      <c r="E69" s="41" t="n"/>
      <c r="F69" s="41" t="n"/>
      <c r="G69" s="41" t="n"/>
      <c r="H69" s="41" t="n"/>
      <c r="I69" s="41" t="n"/>
      <c r="J69" s="41" t="n"/>
      <c r="K69" s="41" t="n"/>
    </row>
    <row r="70" ht="15.75" customHeight="1" s="60">
      <c r="A70" s="41" t="n"/>
      <c r="B70" s="41" t="n"/>
      <c r="C70" s="41" t="n"/>
      <c r="D70" s="41" t="n"/>
      <c r="E70" s="41" t="n"/>
      <c r="F70" s="41" t="n"/>
      <c r="G70" s="41" t="n"/>
      <c r="H70" s="41" t="n"/>
      <c r="I70" s="41" t="n"/>
      <c r="J70" s="41" t="n"/>
      <c r="K70" s="41" t="n"/>
    </row>
    <row r="71" ht="15.75" customHeight="1" s="60">
      <c r="A71" s="41" t="n"/>
      <c r="B71" s="41" t="n"/>
      <c r="C71" s="41" t="n"/>
      <c r="D71" s="41" t="n"/>
      <c r="E71" s="41" t="n"/>
      <c r="F71" s="41" t="n"/>
      <c r="G71" s="41" t="n"/>
      <c r="H71" s="41" t="n"/>
      <c r="I71" s="41" t="n"/>
      <c r="J71" s="41" t="n"/>
      <c r="K71" s="41" t="n"/>
    </row>
    <row r="72" ht="15.75" customHeight="1" s="60">
      <c r="A72" s="41" t="n"/>
      <c r="B72" s="41" t="n"/>
      <c r="C72" s="41" t="n"/>
      <c r="D72" s="41" t="n"/>
      <c r="E72" s="41" t="n"/>
      <c r="F72" s="41" t="n"/>
      <c r="G72" s="41" t="n"/>
      <c r="H72" s="41" t="n"/>
      <c r="I72" s="41" t="n"/>
      <c r="J72" s="41" t="n"/>
      <c r="K72" s="41" t="n"/>
    </row>
    <row r="73" ht="15.75" customHeight="1" s="60">
      <c r="A73" s="41" t="n"/>
      <c r="B73" s="41" t="n"/>
      <c r="C73" s="41" t="n"/>
      <c r="D73" s="41" t="n"/>
      <c r="E73" s="41" t="n"/>
      <c r="F73" s="41" t="n"/>
      <c r="G73" s="41" t="n"/>
      <c r="H73" s="41" t="n"/>
      <c r="I73" s="41" t="n"/>
      <c r="J73" s="41" t="n"/>
      <c r="K73" s="41" t="n"/>
    </row>
    <row r="74" ht="15.75" customHeight="1" s="60">
      <c r="A74" s="41" t="n"/>
      <c r="B74" s="41" t="n"/>
      <c r="C74" s="41" t="n"/>
      <c r="D74" s="41" t="n"/>
      <c r="E74" s="41" t="n"/>
      <c r="F74" s="41" t="n"/>
      <c r="G74" s="41" t="n"/>
      <c r="H74" s="41" t="n"/>
      <c r="I74" s="41" t="n"/>
      <c r="J74" s="41" t="n"/>
      <c r="K74" s="41" t="n"/>
    </row>
    <row r="75" ht="15.75" customHeight="1" s="60">
      <c r="A75" s="41" t="n"/>
      <c r="B75" s="41" t="n"/>
      <c r="C75" s="41" t="n"/>
      <c r="D75" s="41" t="n"/>
      <c r="E75" s="41" t="n"/>
      <c r="F75" s="41" t="n"/>
      <c r="G75" s="41" t="n"/>
      <c r="H75" s="41" t="n"/>
      <c r="I75" s="41" t="n"/>
      <c r="J75" s="41" t="n"/>
      <c r="K75" s="41" t="n"/>
    </row>
    <row r="76" ht="15.75" customHeight="1" s="60">
      <c r="A76" s="41" t="n"/>
      <c r="B76" s="41" t="n"/>
      <c r="C76" s="41" t="n"/>
      <c r="D76" s="41" t="n"/>
      <c r="E76" s="41" t="n"/>
      <c r="F76" s="41" t="n"/>
      <c r="G76" s="41" t="n"/>
      <c r="H76" s="41" t="n"/>
      <c r="I76" s="41" t="n"/>
      <c r="J76" s="41" t="n"/>
      <c r="K76" s="41" t="n"/>
    </row>
    <row r="77" ht="15.75" customHeight="1" s="60">
      <c r="A77" s="41" t="n"/>
      <c r="B77" s="41" t="n"/>
      <c r="C77" s="41" t="n"/>
      <c r="D77" s="41" t="n"/>
      <c r="E77" s="41" t="n"/>
      <c r="F77" s="41" t="n"/>
      <c r="G77" s="41" t="n"/>
      <c r="H77" s="41" t="n"/>
      <c r="I77" s="41" t="n"/>
      <c r="J77" s="41" t="n"/>
      <c r="K77" s="41" t="n"/>
    </row>
    <row r="78" ht="15.75" customHeight="1" s="60">
      <c r="A78" s="41" t="n"/>
      <c r="B78" s="41" t="n"/>
      <c r="C78" s="41" t="n"/>
      <c r="D78" s="41" t="n"/>
      <c r="E78" s="41" t="n"/>
      <c r="F78" s="41" t="n"/>
      <c r="G78" s="41" t="n"/>
      <c r="H78" s="41" t="n"/>
      <c r="I78" s="41" t="n"/>
      <c r="J78" s="41" t="n"/>
      <c r="K78" s="41" t="n"/>
    </row>
    <row r="79" ht="15.75" customHeight="1" s="60">
      <c r="A79" s="41" t="n"/>
      <c r="B79" s="41" t="n"/>
      <c r="C79" s="41" t="n"/>
      <c r="D79" s="41" t="n"/>
      <c r="E79" s="41" t="n"/>
      <c r="F79" s="41" t="n"/>
      <c r="G79" s="41" t="n"/>
      <c r="H79" s="41" t="n"/>
      <c r="I79" s="41" t="n"/>
      <c r="J79" s="41" t="n"/>
      <c r="K79" s="41" t="n"/>
    </row>
    <row r="80" ht="15.75" customHeight="1" s="60">
      <c r="A80" s="41" t="n"/>
      <c r="B80" s="41" t="n"/>
      <c r="C80" s="41" t="n"/>
      <c r="D80" s="41" t="n"/>
      <c r="E80" s="41" t="n"/>
      <c r="F80" s="41" t="n"/>
      <c r="G80" s="41" t="n"/>
      <c r="H80" s="41" t="n"/>
      <c r="I80" s="41" t="n"/>
      <c r="J80" s="41" t="n"/>
      <c r="K80" s="41" t="n"/>
    </row>
    <row r="81" ht="15.75" customHeight="1" s="60">
      <c r="A81" s="41" t="n"/>
      <c r="B81" s="41" t="n"/>
      <c r="C81" s="41" t="n"/>
      <c r="D81" s="41" t="n"/>
      <c r="E81" s="41" t="n"/>
      <c r="F81" s="41" t="n"/>
      <c r="G81" s="41" t="n"/>
      <c r="H81" s="41" t="n"/>
      <c r="I81" s="41" t="n"/>
      <c r="J81" s="41" t="n"/>
      <c r="K81" s="41" t="n"/>
    </row>
    <row r="82" ht="15.75" customHeight="1" s="60">
      <c r="A82" s="41" t="n"/>
      <c r="B82" s="41" t="n"/>
      <c r="C82" s="41" t="n"/>
      <c r="D82" s="41" t="n"/>
      <c r="E82" s="41" t="n"/>
      <c r="F82" s="41" t="n"/>
      <c r="G82" s="41" t="n"/>
      <c r="H82" s="41" t="n"/>
      <c r="I82" s="41" t="n"/>
      <c r="J82" s="41" t="n"/>
      <c r="K82" s="41" t="n"/>
    </row>
    <row r="83" ht="15.75" customHeight="1" s="60">
      <c r="A83" s="41" t="n"/>
      <c r="B83" s="41" t="n"/>
      <c r="C83" s="41" t="n"/>
      <c r="D83" s="41" t="n"/>
      <c r="E83" s="41" t="n"/>
      <c r="F83" s="41" t="n"/>
      <c r="G83" s="41" t="n"/>
      <c r="H83" s="41" t="n"/>
      <c r="I83" s="41" t="n"/>
      <c r="J83" s="41" t="n"/>
      <c r="K83" s="41" t="n"/>
    </row>
    <row r="84" ht="15.75" customHeight="1" s="60">
      <c r="A84" s="41" t="n"/>
      <c r="B84" s="41" t="n"/>
      <c r="C84" s="41" t="n"/>
      <c r="D84" s="41" t="n"/>
      <c r="E84" s="41" t="n"/>
      <c r="F84" s="41" t="n"/>
      <c r="G84" s="41" t="n"/>
      <c r="H84" s="41" t="n"/>
      <c r="I84" s="41" t="n"/>
      <c r="J84" s="41" t="n"/>
      <c r="K84" s="41" t="n"/>
    </row>
    <row r="85" ht="15.75" customHeight="1" s="60">
      <c r="A85" s="41" t="n"/>
      <c r="B85" s="41" t="n"/>
      <c r="C85" s="41" t="n"/>
      <c r="D85" s="41" t="n"/>
      <c r="E85" s="41" t="n"/>
      <c r="F85" s="41" t="n"/>
      <c r="G85" s="41" t="n"/>
      <c r="H85" s="41" t="n"/>
      <c r="I85" s="41" t="n"/>
      <c r="J85" s="41" t="n"/>
      <c r="K85" s="41" t="n"/>
    </row>
    <row r="86" ht="15.75" customHeight="1" s="60">
      <c r="A86" s="41" t="n"/>
      <c r="B86" s="41" t="n"/>
      <c r="C86" s="41" t="n"/>
      <c r="D86" s="41" t="n"/>
      <c r="E86" s="41" t="n"/>
      <c r="F86" s="41" t="n"/>
      <c r="G86" s="41" t="n"/>
      <c r="H86" s="41" t="n"/>
      <c r="I86" s="41" t="n"/>
      <c r="J86" s="41" t="n"/>
      <c r="K86" s="41" t="n"/>
    </row>
    <row r="87" ht="15.75" customHeight="1" s="60">
      <c r="A87" s="41" t="n"/>
      <c r="B87" s="41" t="n"/>
      <c r="C87" s="41" t="n"/>
      <c r="D87" s="41" t="n"/>
      <c r="E87" s="41" t="n"/>
      <c r="F87" s="41" t="n"/>
      <c r="G87" s="41" t="n"/>
      <c r="H87" s="41" t="n"/>
      <c r="I87" s="41" t="n"/>
      <c r="J87" s="41" t="n"/>
      <c r="K87" s="41" t="n"/>
    </row>
    <row r="88" ht="15.75" customHeight="1" s="60">
      <c r="A88" s="41" t="n"/>
      <c r="B88" s="41" t="n"/>
      <c r="C88" s="41" t="n"/>
      <c r="D88" s="41" t="n"/>
      <c r="E88" s="41" t="n"/>
      <c r="F88" s="41" t="n"/>
      <c r="G88" s="41" t="n"/>
      <c r="H88" s="41" t="n"/>
      <c r="I88" s="41" t="n"/>
      <c r="J88" s="41" t="n"/>
      <c r="K88" s="41" t="n"/>
    </row>
    <row r="89" ht="15.75" customHeight="1" s="60">
      <c r="A89" s="41" t="n"/>
      <c r="B89" s="41" t="n"/>
      <c r="C89" s="41" t="n"/>
      <c r="D89" s="41" t="n"/>
      <c r="E89" s="41" t="n"/>
      <c r="F89" s="41" t="n"/>
      <c r="G89" s="41" t="n"/>
      <c r="H89" s="41" t="n"/>
      <c r="I89" s="41" t="n"/>
      <c r="J89" s="41" t="n"/>
      <c r="K89" s="41" t="n"/>
    </row>
    <row r="90" ht="15.75" customHeight="1" s="60">
      <c r="A90" s="41" t="n"/>
      <c r="B90" s="41" t="n"/>
      <c r="C90" s="41" t="n"/>
      <c r="D90" s="41" t="n"/>
      <c r="E90" s="41" t="n"/>
      <c r="F90" s="41" t="n"/>
      <c r="G90" s="41" t="n"/>
      <c r="H90" s="41" t="n"/>
      <c r="I90" s="41" t="n"/>
      <c r="J90" s="41" t="n"/>
      <c r="K90" s="41" t="n"/>
    </row>
    <row r="91" ht="15.75" customHeight="1" s="60">
      <c r="A91" s="41" t="n"/>
      <c r="B91" s="41" t="n"/>
      <c r="C91" s="41" t="n"/>
      <c r="D91" s="41" t="n"/>
      <c r="E91" s="41" t="n"/>
      <c r="F91" s="41" t="n"/>
      <c r="G91" s="41" t="n"/>
      <c r="H91" s="41" t="n"/>
      <c r="I91" s="41" t="n"/>
      <c r="J91" s="41" t="n"/>
      <c r="K91" s="41" t="n"/>
    </row>
    <row r="92" ht="15.75" customHeight="1" s="60">
      <c r="A92" s="41" t="n"/>
      <c r="B92" s="41" t="n"/>
      <c r="C92" s="41" t="n"/>
      <c r="D92" s="41" t="n"/>
      <c r="E92" s="41" t="n"/>
      <c r="F92" s="41" t="n"/>
      <c r="G92" s="41" t="n"/>
      <c r="H92" s="41" t="n"/>
      <c r="I92" s="41" t="n"/>
      <c r="J92" s="41" t="n"/>
      <c r="K92" s="41" t="n"/>
    </row>
    <row r="93" ht="15.75" customHeight="1" s="60">
      <c r="A93" s="41" t="n"/>
      <c r="B93" s="41" t="n"/>
      <c r="C93" s="41" t="n"/>
      <c r="D93" s="41" t="n"/>
      <c r="E93" s="41" t="n"/>
      <c r="F93" s="41" t="n"/>
      <c r="G93" s="41" t="n"/>
      <c r="H93" s="41" t="n"/>
      <c r="I93" s="41" t="n"/>
      <c r="J93" s="41" t="n"/>
      <c r="K93" s="41" t="n"/>
    </row>
    <row r="94" ht="15.75" customHeight="1" s="60">
      <c r="A94" s="41" t="n"/>
      <c r="B94" s="41" t="n"/>
      <c r="C94" s="41" t="n"/>
      <c r="D94" s="41" t="n"/>
      <c r="E94" s="41" t="n"/>
      <c r="F94" s="41" t="n"/>
      <c r="G94" s="41" t="n"/>
      <c r="H94" s="41" t="n"/>
      <c r="I94" s="41" t="n"/>
      <c r="J94" s="41" t="n"/>
      <c r="K94" s="41" t="n"/>
    </row>
    <row r="95" ht="15.75" customHeight="1" s="60">
      <c r="A95" s="41" t="n"/>
      <c r="B95" s="41" t="n"/>
      <c r="C95" s="41" t="n"/>
      <c r="D95" s="41" t="n"/>
      <c r="E95" s="41" t="n"/>
      <c r="F95" s="41" t="n"/>
      <c r="G95" s="41" t="n"/>
      <c r="H95" s="41" t="n"/>
      <c r="I95" s="41" t="n"/>
      <c r="J95" s="41" t="n"/>
      <c r="K95" s="41" t="n"/>
    </row>
    <row r="96" ht="15.75" customHeight="1" s="60">
      <c r="A96" s="41" t="n"/>
      <c r="B96" s="41" t="n"/>
      <c r="C96" s="41" t="n"/>
      <c r="D96" s="41" t="n"/>
      <c r="E96" s="41" t="n"/>
      <c r="F96" s="41" t="n"/>
      <c r="G96" s="41" t="n"/>
      <c r="H96" s="41" t="n"/>
      <c r="I96" s="41" t="n"/>
      <c r="J96" s="41" t="n"/>
      <c r="K96" s="41" t="n"/>
    </row>
    <row r="97" ht="15.75" customHeight="1" s="60">
      <c r="A97" s="41" t="n"/>
      <c r="B97" s="41" t="n"/>
      <c r="C97" s="41" t="n"/>
      <c r="D97" s="41" t="n"/>
      <c r="E97" s="41" t="n"/>
      <c r="F97" s="41" t="n"/>
      <c r="G97" s="41" t="n"/>
      <c r="H97" s="41" t="n"/>
      <c r="I97" s="41" t="n"/>
      <c r="J97" s="41" t="n"/>
      <c r="K97" s="41" t="n"/>
    </row>
    <row r="98" ht="15.75" customHeight="1" s="60">
      <c r="A98" s="41" t="n"/>
      <c r="B98" s="41" t="n"/>
      <c r="C98" s="41" t="n"/>
      <c r="D98" s="41" t="n"/>
      <c r="E98" s="41" t="n"/>
      <c r="F98" s="41" t="n"/>
      <c r="G98" s="41" t="n"/>
      <c r="H98" s="41" t="n"/>
      <c r="I98" s="41" t="n"/>
      <c r="J98" s="41" t="n"/>
      <c r="K98" s="41" t="n"/>
    </row>
    <row r="99" ht="15.75" customHeight="1" s="60">
      <c r="A99" s="41" t="n"/>
      <c r="B99" s="41" t="n"/>
      <c r="C99" s="41" t="n"/>
      <c r="D99" s="41" t="n"/>
      <c r="E99" s="41" t="n"/>
      <c r="F99" s="41" t="n"/>
      <c r="G99" s="41" t="n"/>
      <c r="H99" s="41" t="n"/>
      <c r="I99" s="41" t="n"/>
      <c r="J99" s="41" t="n"/>
      <c r="K99" s="41" t="n"/>
    </row>
    <row r="100" ht="15.75" customHeight="1" s="60">
      <c r="A100" s="41" t="n"/>
      <c r="B100" s="41" t="n"/>
      <c r="C100" s="41" t="n"/>
      <c r="D100" s="41" t="n"/>
      <c r="E100" s="41" t="n"/>
      <c r="F100" s="41" t="n"/>
      <c r="G100" s="41" t="n"/>
      <c r="H100" s="41" t="n"/>
      <c r="I100" s="41" t="n"/>
      <c r="J100" s="41" t="n"/>
      <c r="K100" s="41" t="n"/>
    </row>
    <row r="101" ht="15.75" customHeight="1" s="60">
      <c r="A101" s="41" t="n"/>
      <c r="B101" s="41" t="n"/>
      <c r="C101" s="41" t="n"/>
      <c r="D101" s="41" t="n"/>
      <c r="E101" s="41" t="n"/>
      <c r="F101" s="41" t="n"/>
      <c r="G101" s="41" t="n"/>
      <c r="H101" s="41" t="n"/>
      <c r="I101" s="41" t="n"/>
      <c r="J101" s="41" t="n"/>
      <c r="K101" s="41" t="n"/>
    </row>
    <row r="102" ht="15.75" customHeight="1" s="60">
      <c r="A102" s="41" t="n"/>
      <c r="B102" s="41" t="n"/>
      <c r="C102" s="41" t="n"/>
      <c r="D102" s="41" t="n"/>
      <c r="E102" s="41" t="n"/>
      <c r="F102" s="41" t="n"/>
      <c r="G102" s="41" t="n"/>
      <c r="H102" s="41" t="n"/>
      <c r="I102" s="41" t="n"/>
      <c r="J102" s="41" t="n"/>
      <c r="K102" s="41" t="n"/>
    </row>
    <row r="103" ht="15.75" customHeight="1" s="60">
      <c r="A103" s="41" t="n"/>
      <c r="B103" s="41" t="n"/>
      <c r="C103" s="41" t="n"/>
      <c r="D103" s="41" t="n"/>
      <c r="E103" s="41" t="n"/>
      <c r="F103" s="41" t="n"/>
      <c r="G103" s="41" t="n"/>
      <c r="H103" s="41" t="n"/>
      <c r="I103" s="41" t="n"/>
      <c r="J103" s="41" t="n"/>
      <c r="K103" s="41" t="n"/>
    </row>
    <row r="104" ht="15.75" customHeight="1" s="60">
      <c r="A104" s="41" t="n"/>
      <c r="B104" s="41" t="n"/>
      <c r="C104" s="41" t="n"/>
      <c r="D104" s="41" t="n"/>
      <c r="E104" s="41" t="n"/>
      <c r="F104" s="41" t="n"/>
      <c r="G104" s="41" t="n"/>
      <c r="H104" s="41" t="n"/>
      <c r="I104" s="41" t="n"/>
      <c r="J104" s="41" t="n"/>
      <c r="K104" s="41" t="n"/>
    </row>
    <row r="105" ht="15.75" customHeight="1" s="60">
      <c r="A105" s="41" t="n"/>
      <c r="B105" s="41" t="n"/>
      <c r="C105" s="41" t="n"/>
      <c r="D105" s="41" t="n"/>
      <c r="E105" s="41" t="n"/>
      <c r="F105" s="41" t="n"/>
      <c r="G105" s="41" t="n"/>
      <c r="H105" s="41" t="n"/>
      <c r="I105" s="41" t="n"/>
      <c r="J105" s="41" t="n"/>
      <c r="K105" s="41" t="n"/>
    </row>
    <row r="106" ht="15.75" customHeight="1" s="60">
      <c r="A106" s="41" t="n"/>
      <c r="B106" s="41" t="n"/>
      <c r="C106" s="41" t="n"/>
      <c r="D106" s="41" t="n"/>
      <c r="E106" s="41" t="n"/>
      <c r="F106" s="41" t="n"/>
      <c r="G106" s="41" t="n"/>
      <c r="H106" s="41" t="n"/>
      <c r="I106" s="41" t="n"/>
      <c r="J106" s="41" t="n"/>
      <c r="K106" s="41" t="n"/>
    </row>
    <row r="107" ht="15.75" customHeight="1" s="60">
      <c r="A107" s="41" t="n"/>
      <c r="B107" s="41" t="n"/>
      <c r="C107" s="41" t="n"/>
      <c r="D107" s="41" t="n"/>
      <c r="E107" s="41" t="n"/>
      <c r="F107" s="41" t="n"/>
      <c r="G107" s="41" t="n"/>
      <c r="H107" s="41" t="n"/>
      <c r="I107" s="41" t="n"/>
      <c r="J107" s="41" t="n"/>
      <c r="K107" s="41" t="n"/>
    </row>
    <row r="108" ht="15.75" customHeight="1" s="60">
      <c r="A108" s="41" t="n"/>
      <c r="B108" s="41" t="n"/>
      <c r="C108" s="41" t="n"/>
      <c r="D108" s="41" t="n"/>
      <c r="E108" s="41" t="n"/>
      <c r="F108" s="41" t="n"/>
      <c r="G108" s="41" t="n"/>
      <c r="H108" s="41" t="n"/>
      <c r="I108" s="41" t="n"/>
      <c r="J108" s="41" t="n"/>
      <c r="K108" s="41" t="n"/>
    </row>
    <row r="109" ht="15.75" customHeight="1" s="60">
      <c r="A109" s="41" t="n"/>
      <c r="B109" s="41" t="n"/>
      <c r="C109" s="41" t="n"/>
      <c r="D109" s="41" t="n"/>
      <c r="E109" s="41" t="n"/>
      <c r="F109" s="41" t="n"/>
      <c r="G109" s="41" t="n"/>
      <c r="H109" s="41" t="n"/>
      <c r="I109" s="41" t="n"/>
      <c r="J109" s="41" t="n"/>
      <c r="K109" s="41" t="n"/>
    </row>
    <row r="110" ht="15.75" customHeight="1" s="60">
      <c r="A110" s="41" t="n"/>
      <c r="B110" s="41" t="n"/>
      <c r="C110" s="41" t="n"/>
      <c r="D110" s="41" t="n"/>
      <c r="E110" s="41" t="n"/>
      <c r="F110" s="41" t="n"/>
      <c r="G110" s="41" t="n"/>
      <c r="H110" s="41" t="n"/>
      <c r="I110" s="41" t="n"/>
      <c r="J110" s="41" t="n"/>
      <c r="K110" s="41" t="n"/>
    </row>
    <row r="111" ht="15.75" customHeight="1" s="60">
      <c r="A111" s="41" t="n"/>
      <c r="B111" s="41" t="n"/>
      <c r="C111" s="41" t="n"/>
      <c r="D111" s="41" t="n"/>
      <c r="E111" s="41" t="n"/>
      <c r="F111" s="41" t="n"/>
      <c r="G111" s="41" t="n"/>
      <c r="H111" s="41" t="n"/>
      <c r="I111" s="41" t="n"/>
      <c r="J111" s="41" t="n"/>
      <c r="K111" s="41" t="n"/>
    </row>
    <row r="112" ht="15.75" customHeight="1" s="60">
      <c r="A112" s="41" t="n"/>
      <c r="B112" s="41" t="n"/>
      <c r="C112" s="41" t="n"/>
      <c r="D112" s="41" t="n"/>
      <c r="E112" s="41" t="n"/>
      <c r="F112" s="41" t="n"/>
      <c r="G112" s="41" t="n"/>
      <c r="H112" s="41" t="n"/>
      <c r="I112" s="41" t="n"/>
      <c r="J112" s="41" t="n"/>
      <c r="K112" s="41" t="n"/>
    </row>
    <row r="113" ht="15.75" customHeight="1" s="60">
      <c r="A113" s="41" t="n"/>
      <c r="B113" s="41" t="n"/>
      <c r="C113" s="41" t="n"/>
      <c r="D113" s="41" t="n"/>
      <c r="E113" s="41" t="n"/>
      <c r="F113" s="41" t="n"/>
      <c r="G113" s="41" t="n"/>
      <c r="H113" s="41" t="n"/>
      <c r="I113" s="41" t="n"/>
      <c r="J113" s="41" t="n"/>
      <c r="K113" s="41" t="n"/>
    </row>
    <row r="114" ht="15.75" customHeight="1" s="60">
      <c r="A114" s="41" t="n"/>
      <c r="B114" s="41" t="n"/>
      <c r="C114" s="41" t="n"/>
      <c r="D114" s="41" t="n"/>
      <c r="E114" s="41" t="n"/>
      <c r="F114" s="41" t="n"/>
      <c r="G114" s="41" t="n"/>
      <c r="H114" s="41" t="n"/>
      <c r="I114" s="41" t="n"/>
      <c r="J114" s="41" t="n"/>
      <c r="K114" s="41" t="n"/>
    </row>
    <row r="115" ht="15.75" customHeight="1" s="60">
      <c r="A115" s="41" t="n"/>
      <c r="B115" s="41" t="n"/>
      <c r="C115" s="41" t="n"/>
      <c r="D115" s="41" t="n"/>
      <c r="E115" s="41" t="n"/>
      <c r="F115" s="41" t="n"/>
      <c r="G115" s="41" t="n"/>
      <c r="H115" s="41" t="n"/>
      <c r="I115" s="41" t="n"/>
      <c r="J115" s="41" t="n"/>
      <c r="K115" s="41" t="n"/>
    </row>
    <row r="116" ht="15.75" customHeight="1" s="60">
      <c r="A116" s="41" t="n"/>
      <c r="B116" s="41" t="n"/>
      <c r="C116" s="41" t="n"/>
      <c r="D116" s="41" t="n"/>
      <c r="E116" s="41" t="n"/>
      <c r="F116" s="41" t="n"/>
      <c r="G116" s="41" t="n"/>
      <c r="H116" s="41" t="n"/>
      <c r="I116" s="41" t="n"/>
      <c r="J116" s="41" t="n"/>
      <c r="K116" s="41" t="n"/>
    </row>
    <row r="117" ht="15.75" customHeight="1" s="60">
      <c r="A117" s="41" t="n"/>
      <c r="B117" s="41" t="n"/>
      <c r="C117" s="41" t="n"/>
      <c r="D117" s="41" t="n"/>
      <c r="E117" s="41" t="n"/>
      <c r="F117" s="41" t="n"/>
      <c r="G117" s="41" t="n"/>
      <c r="H117" s="41" t="n"/>
      <c r="I117" s="41" t="n"/>
      <c r="J117" s="41" t="n"/>
      <c r="K117" s="41" t="n"/>
    </row>
    <row r="118" ht="15.75" customHeight="1" s="60">
      <c r="A118" s="41" t="n"/>
      <c r="B118" s="41" t="n"/>
      <c r="C118" s="41" t="n"/>
      <c r="D118" s="41" t="n"/>
      <c r="E118" s="41" t="n"/>
      <c r="F118" s="41" t="n"/>
      <c r="G118" s="41" t="n"/>
      <c r="H118" s="41" t="n"/>
      <c r="I118" s="41" t="n"/>
      <c r="J118" s="41" t="n"/>
      <c r="K118" s="41" t="n"/>
    </row>
    <row r="119" ht="15.75" customHeight="1" s="60">
      <c r="A119" s="41" t="n"/>
      <c r="B119" s="41" t="n"/>
      <c r="C119" s="41" t="n"/>
      <c r="D119" s="41" t="n"/>
      <c r="E119" s="41" t="n"/>
      <c r="F119" s="41" t="n"/>
      <c r="G119" s="41" t="n"/>
      <c r="H119" s="41" t="n"/>
      <c r="I119" s="41" t="n"/>
      <c r="J119" s="41" t="n"/>
      <c r="K119" s="41" t="n"/>
    </row>
    <row r="120" ht="15.75" customHeight="1" s="60">
      <c r="A120" s="41" t="n"/>
      <c r="B120" s="41" t="n"/>
      <c r="C120" s="41" t="n"/>
      <c r="D120" s="41" t="n"/>
      <c r="E120" s="41" t="n"/>
      <c r="F120" s="41" t="n"/>
      <c r="G120" s="41" t="n"/>
      <c r="H120" s="41" t="n"/>
      <c r="I120" s="41" t="n"/>
      <c r="J120" s="41" t="n"/>
      <c r="K120" s="41" t="n"/>
    </row>
    <row r="121" ht="15.75" customHeight="1" s="60">
      <c r="A121" s="41" t="n"/>
      <c r="B121" s="41" t="n"/>
      <c r="C121" s="41" t="n"/>
      <c r="D121" s="41" t="n"/>
      <c r="E121" s="41" t="n"/>
      <c r="F121" s="41" t="n"/>
      <c r="G121" s="41" t="n"/>
      <c r="H121" s="41" t="n"/>
      <c r="I121" s="41" t="n"/>
      <c r="J121" s="41" t="n"/>
      <c r="K121" s="41" t="n"/>
    </row>
    <row r="122" ht="15.75" customHeight="1" s="60">
      <c r="A122" s="41" t="n"/>
      <c r="B122" s="41" t="n"/>
      <c r="C122" s="41" t="n"/>
      <c r="D122" s="41" t="n"/>
      <c r="E122" s="41" t="n"/>
      <c r="F122" s="41" t="n"/>
      <c r="G122" s="41" t="n"/>
      <c r="H122" s="41" t="n"/>
      <c r="I122" s="41" t="n"/>
      <c r="J122" s="41" t="n"/>
      <c r="K122" s="41" t="n"/>
    </row>
    <row r="123" ht="15.75" customHeight="1" s="60">
      <c r="A123" s="41" t="n"/>
      <c r="B123" s="41" t="n"/>
      <c r="C123" s="41" t="n"/>
      <c r="D123" s="41" t="n"/>
      <c r="E123" s="41" t="n"/>
      <c r="F123" s="41" t="n"/>
      <c r="G123" s="41" t="n"/>
      <c r="H123" s="41" t="n"/>
      <c r="I123" s="41" t="n"/>
      <c r="J123" s="41" t="n"/>
      <c r="K123" s="41" t="n"/>
    </row>
    <row r="124" ht="15.75" customHeight="1" s="60">
      <c r="A124" s="41" t="n"/>
      <c r="B124" s="41" t="n"/>
      <c r="C124" s="41" t="n"/>
      <c r="D124" s="41" t="n"/>
      <c r="E124" s="41" t="n"/>
      <c r="F124" s="41" t="n"/>
      <c r="G124" s="41" t="n"/>
      <c r="H124" s="41" t="n"/>
      <c r="I124" s="41" t="n"/>
      <c r="J124" s="41" t="n"/>
      <c r="K124" s="41" t="n"/>
    </row>
    <row r="125" ht="15.75" customHeight="1" s="60">
      <c r="A125" s="41" t="n"/>
      <c r="B125" s="41" t="n"/>
      <c r="C125" s="41" t="n"/>
      <c r="D125" s="41" t="n"/>
      <c r="E125" s="41" t="n"/>
      <c r="F125" s="41" t="n"/>
      <c r="G125" s="41" t="n"/>
      <c r="H125" s="41" t="n"/>
      <c r="I125" s="41" t="n"/>
      <c r="J125" s="41" t="n"/>
      <c r="K125" s="41" t="n"/>
    </row>
    <row r="126" ht="15.75" customHeight="1" s="60">
      <c r="A126" s="41" t="n"/>
      <c r="B126" s="41" t="n"/>
      <c r="C126" s="41" t="n"/>
      <c r="D126" s="41" t="n"/>
      <c r="E126" s="41" t="n"/>
      <c r="F126" s="41" t="n"/>
      <c r="G126" s="41" t="n"/>
      <c r="H126" s="41" t="n"/>
      <c r="I126" s="41" t="n"/>
      <c r="J126" s="41" t="n"/>
      <c r="K126" s="41" t="n"/>
    </row>
    <row r="127" ht="15.75" customHeight="1" s="60">
      <c r="A127" s="41" t="n"/>
      <c r="B127" s="41" t="n"/>
      <c r="C127" s="41" t="n"/>
      <c r="D127" s="41" t="n"/>
      <c r="E127" s="41" t="n"/>
      <c r="F127" s="41" t="n"/>
      <c r="G127" s="41" t="n"/>
      <c r="H127" s="41" t="n"/>
      <c r="I127" s="41" t="n"/>
      <c r="J127" s="41" t="n"/>
      <c r="K127" s="41" t="n"/>
    </row>
    <row r="128" ht="15.75" customHeight="1" s="60">
      <c r="A128" s="41" t="n"/>
      <c r="B128" s="41" t="n"/>
      <c r="C128" s="41" t="n"/>
      <c r="D128" s="41" t="n"/>
      <c r="E128" s="41" t="n"/>
      <c r="F128" s="41" t="n"/>
      <c r="G128" s="41" t="n"/>
      <c r="H128" s="41" t="n"/>
      <c r="I128" s="41" t="n"/>
      <c r="J128" s="41" t="n"/>
      <c r="K128" s="41" t="n"/>
    </row>
    <row r="129" ht="15.75" customHeight="1" s="60">
      <c r="A129" s="41" t="n"/>
      <c r="B129" s="41" t="n"/>
      <c r="C129" s="41" t="n"/>
      <c r="D129" s="41" t="n"/>
      <c r="E129" s="41" t="n"/>
      <c r="F129" s="41" t="n"/>
      <c r="G129" s="41" t="n"/>
      <c r="H129" s="41" t="n"/>
      <c r="I129" s="41" t="n"/>
      <c r="J129" s="41" t="n"/>
      <c r="K129" s="41" t="n"/>
    </row>
    <row r="130" ht="15.75" customHeight="1" s="60">
      <c r="A130" s="41" t="n"/>
      <c r="B130" s="41" t="n"/>
      <c r="C130" s="41" t="n"/>
      <c r="D130" s="41" t="n"/>
      <c r="E130" s="41" t="n"/>
      <c r="F130" s="41" t="n"/>
      <c r="G130" s="41" t="n"/>
      <c r="H130" s="41" t="n"/>
      <c r="I130" s="41" t="n"/>
      <c r="J130" s="41" t="n"/>
      <c r="K130" s="41" t="n"/>
    </row>
    <row r="131" ht="15.75" customHeight="1" s="60">
      <c r="A131" s="41" t="n"/>
      <c r="B131" s="41" t="n"/>
      <c r="C131" s="41" t="n"/>
      <c r="D131" s="41" t="n"/>
      <c r="E131" s="41" t="n"/>
      <c r="F131" s="41" t="n"/>
      <c r="G131" s="41" t="n"/>
      <c r="H131" s="41" t="n"/>
      <c r="I131" s="41" t="n"/>
      <c r="J131" s="41" t="n"/>
      <c r="K131" s="41" t="n"/>
    </row>
    <row r="132" ht="15.75" customHeight="1" s="60">
      <c r="A132" s="41" t="n"/>
      <c r="B132" s="41" t="n"/>
      <c r="C132" s="41" t="n"/>
      <c r="D132" s="41" t="n"/>
      <c r="E132" s="41" t="n"/>
      <c r="F132" s="41" t="n"/>
      <c r="G132" s="41" t="n"/>
      <c r="H132" s="41" t="n"/>
      <c r="I132" s="41" t="n"/>
      <c r="J132" s="41" t="n"/>
      <c r="K132" s="41" t="n"/>
    </row>
    <row r="133" ht="15.75" customHeight="1" s="60">
      <c r="A133" s="41" t="n"/>
      <c r="B133" s="41" t="n"/>
      <c r="C133" s="41" t="n"/>
      <c r="D133" s="41" t="n"/>
      <c r="E133" s="41" t="n"/>
      <c r="F133" s="41" t="n"/>
      <c r="G133" s="41" t="n"/>
      <c r="H133" s="41" t="n"/>
      <c r="I133" s="41" t="n"/>
      <c r="J133" s="41" t="n"/>
      <c r="K133" s="41" t="n"/>
    </row>
    <row r="134" ht="15.75" customHeight="1" s="60">
      <c r="A134" s="41" t="n"/>
      <c r="B134" s="41" t="n"/>
      <c r="C134" s="41" t="n"/>
      <c r="D134" s="41" t="n"/>
      <c r="E134" s="41" t="n"/>
      <c r="F134" s="41" t="n"/>
      <c r="G134" s="41" t="n"/>
      <c r="H134" s="41" t="n"/>
      <c r="I134" s="41" t="n"/>
      <c r="J134" s="41" t="n"/>
      <c r="K134" s="41" t="n"/>
    </row>
    <row r="135" ht="15.75" customHeight="1" s="60">
      <c r="A135" s="41" t="n"/>
      <c r="B135" s="41" t="n"/>
      <c r="C135" s="41" t="n"/>
      <c r="D135" s="41" t="n"/>
      <c r="E135" s="41" t="n"/>
      <c r="F135" s="41" t="n"/>
      <c r="G135" s="41" t="n"/>
      <c r="H135" s="41" t="n"/>
      <c r="I135" s="41" t="n"/>
      <c r="J135" s="41" t="n"/>
      <c r="K135" s="41" t="n"/>
    </row>
    <row r="136" ht="15.75" customHeight="1" s="60">
      <c r="A136" s="41" t="n"/>
      <c r="B136" s="41" t="n"/>
      <c r="C136" s="41" t="n"/>
      <c r="D136" s="41" t="n"/>
      <c r="E136" s="41" t="n"/>
      <c r="F136" s="41" t="n"/>
      <c r="G136" s="41" t="n"/>
      <c r="H136" s="41" t="n"/>
      <c r="I136" s="41" t="n"/>
      <c r="J136" s="41" t="n"/>
      <c r="K136" s="41" t="n"/>
    </row>
    <row r="137" ht="15.75" customHeight="1" s="60">
      <c r="A137" s="41" t="n"/>
      <c r="B137" s="41" t="n"/>
      <c r="C137" s="41" t="n"/>
      <c r="D137" s="41" t="n"/>
      <c r="E137" s="41" t="n"/>
      <c r="F137" s="41" t="n"/>
      <c r="G137" s="41" t="n"/>
      <c r="H137" s="41" t="n"/>
      <c r="I137" s="41" t="n"/>
      <c r="J137" s="41" t="n"/>
      <c r="K137" s="41" t="n"/>
    </row>
    <row r="138" ht="15.75" customHeight="1" s="60">
      <c r="A138" s="41" t="n"/>
      <c r="B138" s="41" t="n"/>
      <c r="C138" s="41" t="n"/>
      <c r="D138" s="41" t="n"/>
      <c r="E138" s="41" t="n"/>
      <c r="F138" s="41" t="n"/>
      <c r="G138" s="41" t="n"/>
      <c r="H138" s="41" t="n"/>
      <c r="I138" s="41" t="n"/>
      <c r="J138" s="41" t="n"/>
      <c r="K138" s="41" t="n"/>
    </row>
    <row r="139" ht="15.75" customHeight="1" s="60">
      <c r="A139" s="41" t="n"/>
      <c r="B139" s="41" t="n"/>
      <c r="C139" s="41" t="n"/>
      <c r="D139" s="41" t="n"/>
      <c r="E139" s="41" t="n"/>
      <c r="F139" s="41" t="n"/>
      <c r="G139" s="41" t="n"/>
      <c r="H139" s="41" t="n"/>
      <c r="I139" s="41" t="n"/>
      <c r="J139" s="41" t="n"/>
      <c r="K139" s="41" t="n"/>
    </row>
    <row r="140" ht="15.75" customHeight="1" s="60">
      <c r="A140" s="41" t="n"/>
      <c r="B140" s="41" t="n"/>
      <c r="C140" s="41" t="n"/>
      <c r="D140" s="41" t="n"/>
      <c r="E140" s="41" t="n"/>
      <c r="F140" s="41" t="n"/>
      <c r="G140" s="41" t="n"/>
      <c r="H140" s="41" t="n"/>
      <c r="I140" s="41" t="n"/>
      <c r="J140" s="41" t="n"/>
      <c r="K140" s="41" t="n"/>
    </row>
    <row r="141" ht="15.75" customHeight="1" s="60">
      <c r="A141" s="41" t="n"/>
      <c r="B141" s="41" t="n"/>
      <c r="C141" s="41" t="n"/>
      <c r="D141" s="41" t="n"/>
      <c r="E141" s="41" t="n"/>
      <c r="F141" s="41" t="n"/>
      <c r="G141" s="41" t="n"/>
      <c r="H141" s="41" t="n"/>
      <c r="I141" s="41" t="n"/>
      <c r="J141" s="41" t="n"/>
      <c r="K141" s="41" t="n"/>
    </row>
    <row r="142" ht="15.75" customHeight="1" s="60">
      <c r="A142" s="41" t="n"/>
      <c r="B142" s="41" t="n"/>
      <c r="C142" s="41" t="n"/>
      <c r="D142" s="41" t="n"/>
      <c r="E142" s="41" t="n"/>
      <c r="F142" s="41" t="n"/>
      <c r="G142" s="41" t="n"/>
      <c r="H142" s="41" t="n"/>
      <c r="I142" s="41" t="n"/>
      <c r="J142" s="41" t="n"/>
      <c r="K142" s="41" t="n"/>
    </row>
    <row r="143" ht="15.75" customHeight="1" s="60">
      <c r="A143" s="41" t="n"/>
      <c r="B143" s="41" t="n"/>
      <c r="C143" s="41" t="n"/>
      <c r="D143" s="41" t="n"/>
      <c r="E143" s="41" t="n"/>
      <c r="F143" s="41" t="n"/>
      <c r="G143" s="41" t="n"/>
      <c r="H143" s="41" t="n"/>
      <c r="I143" s="41" t="n"/>
      <c r="J143" s="41" t="n"/>
      <c r="K143" s="41" t="n"/>
    </row>
    <row r="144" ht="15.75" customHeight="1" s="60">
      <c r="A144" s="41" t="n"/>
      <c r="B144" s="41" t="n"/>
      <c r="C144" s="41" t="n"/>
      <c r="D144" s="41" t="n"/>
      <c r="E144" s="41" t="n"/>
      <c r="F144" s="41" t="n"/>
      <c r="G144" s="41" t="n"/>
      <c r="H144" s="41" t="n"/>
      <c r="I144" s="41" t="n"/>
      <c r="J144" s="41" t="n"/>
      <c r="K144" s="41" t="n"/>
    </row>
    <row r="145" ht="15.75" customHeight="1" s="60">
      <c r="A145" s="41" t="n"/>
      <c r="B145" s="41" t="n"/>
      <c r="C145" s="41" t="n"/>
      <c r="D145" s="41" t="n"/>
      <c r="E145" s="41" t="n"/>
      <c r="F145" s="41" t="n"/>
      <c r="G145" s="41" t="n"/>
      <c r="H145" s="41" t="n"/>
      <c r="I145" s="41" t="n"/>
      <c r="J145" s="41" t="n"/>
      <c r="K145" s="41" t="n"/>
    </row>
    <row r="146" ht="15.75" customHeight="1" s="60">
      <c r="A146" s="41" t="n"/>
      <c r="B146" s="41" t="n"/>
      <c r="C146" s="41" t="n"/>
      <c r="D146" s="41" t="n"/>
      <c r="E146" s="41" t="n"/>
      <c r="F146" s="41" t="n"/>
      <c r="G146" s="41" t="n"/>
      <c r="H146" s="41" t="n"/>
      <c r="I146" s="41" t="n"/>
      <c r="J146" s="41" t="n"/>
      <c r="K146" s="41" t="n"/>
    </row>
    <row r="147" ht="15.75" customHeight="1" s="60">
      <c r="A147" s="41" t="n"/>
      <c r="B147" s="41" t="n"/>
      <c r="C147" s="41" t="n"/>
      <c r="D147" s="41" t="n"/>
      <c r="E147" s="41" t="n"/>
      <c r="F147" s="41" t="n"/>
      <c r="G147" s="41" t="n"/>
      <c r="H147" s="41" t="n"/>
      <c r="I147" s="41" t="n"/>
      <c r="J147" s="41" t="n"/>
      <c r="K147" s="41" t="n"/>
    </row>
    <row r="148" ht="15.75" customHeight="1" s="60">
      <c r="A148" s="41" t="n"/>
      <c r="B148" s="41" t="n"/>
      <c r="C148" s="41" t="n"/>
      <c r="D148" s="41" t="n"/>
      <c r="E148" s="41" t="n"/>
      <c r="F148" s="41" t="n"/>
      <c r="G148" s="41" t="n"/>
      <c r="H148" s="41" t="n"/>
      <c r="I148" s="41" t="n"/>
      <c r="J148" s="41" t="n"/>
      <c r="K148" s="41" t="n"/>
    </row>
    <row r="149" ht="15.75" customHeight="1" s="60">
      <c r="A149" s="41" t="n"/>
      <c r="B149" s="41" t="n"/>
      <c r="C149" s="41" t="n"/>
      <c r="D149" s="41" t="n"/>
      <c r="E149" s="41" t="n"/>
      <c r="F149" s="41" t="n"/>
      <c r="G149" s="41" t="n"/>
      <c r="H149" s="41" t="n"/>
      <c r="I149" s="41" t="n"/>
      <c r="J149" s="41" t="n"/>
      <c r="K149" s="41" t="n"/>
    </row>
    <row r="150" ht="15.75" customHeight="1" s="60">
      <c r="A150" s="41" t="n"/>
      <c r="B150" s="41" t="n"/>
      <c r="C150" s="41" t="n"/>
      <c r="D150" s="41" t="n"/>
      <c r="E150" s="41" t="n"/>
      <c r="F150" s="41" t="n"/>
      <c r="G150" s="41" t="n"/>
      <c r="H150" s="41" t="n"/>
      <c r="I150" s="41" t="n"/>
      <c r="J150" s="41" t="n"/>
      <c r="K150" s="41" t="n"/>
    </row>
    <row r="151" ht="15.75" customHeight="1" s="60">
      <c r="A151" s="41" t="n"/>
      <c r="B151" s="41" t="n"/>
      <c r="C151" s="41" t="n"/>
      <c r="D151" s="41" t="n"/>
      <c r="E151" s="41" t="n"/>
      <c r="F151" s="41" t="n"/>
      <c r="G151" s="41" t="n"/>
      <c r="H151" s="41" t="n"/>
      <c r="I151" s="41" t="n"/>
      <c r="J151" s="41" t="n"/>
      <c r="K151" s="41" t="n"/>
    </row>
    <row r="152" ht="15.75" customHeight="1" s="60">
      <c r="A152" s="41" t="n"/>
      <c r="B152" s="41" t="n"/>
      <c r="C152" s="41" t="n"/>
      <c r="D152" s="41" t="n"/>
      <c r="E152" s="41" t="n"/>
      <c r="F152" s="41" t="n"/>
      <c r="G152" s="41" t="n"/>
      <c r="H152" s="41" t="n"/>
      <c r="I152" s="41" t="n"/>
      <c r="J152" s="41" t="n"/>
      <c r="K152" s="41" t="n"/>
    </row>
    <row r="153" ht="15.75" customHeight="1" s="60">
      <c r="A153" s="41" t="n"/>
      <c r="B153" s="41" t="n"/>
      <c r="C153" s="41" t="n"/>
      <c r="D153" s="41" t="n"/>
      <c r="E153" s="41" t="n"/>
      <c r="F153" s="41" t="n"/>
      <c r="G153" s="41" t="n"/>
      <c r="H153" s="41" t="n"/>
      <c r="I153" s="41" t="n"/>
      <c r="J153" s="41" t="n"/>
      <c r="K153" s="41" t="n"/>
    </row>
    <row r="154" ht="15.75" customHeight="1" s="60">
      <c r="A154" s="41" t="n"/>
      <c r="B154" s="41" t="n"/>
      <c r="C154" s="41" t="n"/>
      <c r="D154" s="41" t="n"/>
      <c r="E154" s="41" t="n"/>
      <c r="F154" s="41" t="n"/>
      <c r="G154" s="41" t="n"/>
      <c r="H154" s="41" t="n"/>
      <c r="I154" s="41" t="n"/>
      <c r="J154" s="41" t="n"/>
      <c r="K154" s="41" t="n"/>
    </row>
    <row r="155" ht="15.75" customHeight="1" s="60">
      <c r="A155" s="41" t="n"/>
      <c r="B155" s="41" t="n"/>
      <c r="C155" s="41" t="n"/>
      <c r="D155" s="41" t="n"/>
      <c r="E155" s="41" t="n"/>
      <c r="F155" s="41" t="n"/>
      <c r="G155" s="41" t="n"/>
      <c r="H155" s="41" t="n"/>
      <c r="I155" s="41" t="n"/>
      <c r="J155" s="41" t="n"/>
      <c r="K155" s="41" t="n"/>
    </row>
    <row r="156" ht="15.75" customHeight="1" s="60">
      <c r="A156" s="41" t="n"/>
      <c r="B156" s="41" t="n"/>
      <c r="C156" s="41" t="n"/>
      <c r="D156" s="41" t="n"/>
      <c r="E156" s="41" t="n"/>
      <c r="F156" s="41" t="n"/>
      <c r="G156" s="41" t="n"/>
      <c r="H156" s="41" t="n"/>
      <c r="I156" s="41" t="n"/>
      <c r="J156" s="41" t="n"/>
      <c r="K156" s="41" t="n"/>
    </row>
    <row r="157" ht="15.75" customHeight="1" s="60">
      <c r="A157" s="41" t="n"/>
      <c r="B157" s="41" t="n"/>
      <c r="C157" s="41" t="n"/>
      <c r="D157" s="41" t="n"/>
      <c r="E157" s="41" t="n"/>
      <c r="F157" s="41" t="n"/>
      <c r="G157" s="41" t="n"/>
      <c r="H157" s="41" t="n"/>
      <c r="I157" s="41" t="n"/>
      <c r="J157" s="41" t="n"/>
      <c r="K157" s="41" t="n"/>
    </row>
    <row r="158" ht="15.75" customHeight="1" s="60">
      <c r="A158" s="41" t="n"/>
      <c r="B158" s="41" t="n"/>
      <c r="C158" s="41" t="n"/>
      <c r="D158" s="41" t="n"/>
      <c r="E158" s="41" t="n"/>
      <c r="F158" s="41" t="n"/>
      <c r="G158" s="41" t="n"/>
      <c r="H158" s="41" t="n"/>
      <c r="I158" s="41" t="n"/>
      <c r="J158" s="41" t="n"/>
      <c r="K158" s="41" t="n"/>
    </row>
    <row r="159" ht="15.75" customHeight="1" s="60">
      <c r="A159" s="41" t="n"/>
      <c r="B159" s="41" t="n"/>
      <c r="C159" s="41" t="n"/>
      <c r="D159" s="41" t="n"/>
      <c r="E159" s="41" t="n"/>
      <c r="F159" s="41" t="n"/>
      <c r="G159" s="41" t="n"/>
      <c r="H159" s="41" t="n"/>
      <c r="I159" s="41" t="n"/>
      <c r="J159" s="41" t="n"/>
      <c r="K159" s="41" t="n"/>
    </row>
    <row r="160" ht="15.75" customHeight="1" s="60">
      <c r="A160" s="41" t="n"/>
      <c r="B160" s="41" t="n"/>
      <c r="C160" s="41" t="n"/>
      <c r="D160" s="41" t="n"/>
      <c r="E160" s="41" t="n"/>
      <c r="F160" s="41" t="n"/>
      <c r="G160" s="41" t="n"/>
      <c r="H160" s="41" t="n"/>
      <c r="I160" s="41" t="n"/>
      <c r="J160" s="41" t="n"/>
      <c r="K160" s="41" t="n"/>
    </row>
    <row r="161" ht="15.75" customHeight="1" s="60">
      <c r="A161" s="41" t="n"/>
      <c r="B161" s="41" t="n"/>
      <c r="C161" s="41" t="n"/>
      <c r="D161" s="41" t="n"/>
      <c r="E161" s="41" t="n"/>
      <c r="F161" s="41" t="n"/>
      <c r="G161" s="41" t="n"/>
      <c r="H161" s="41" t="n"/>
      <c r="I161" s="41" t="n"/>
      <c r="J161" s="41" t="n"/>
      <c r="K161" s="41" t="n"/>
    </row>
    <row r="162" ht="15.75" customHeight="1" s="60">
      <c r="A162" s="41" t="n"/>
      <c r="B162" s="41" t="n"/>
      <c r="C162" s="41" t="n"/>
      <c r="D162" s="41" t="n"/>
      <c r="E162" s="41" t="n"/>
      <c r="F162" s="41" t="n"/>
      <c r="G162" s="41" t="n"/>
      <c r="H162" s="41" t="n"/>
      <c r="I162" s="41" t="n"/>
      <c r="J162" s="41" t="n"/>
      <c r="K162" s="41" t="n"/>
    </row>
    <row r="163" ht="15.75" customHeight="1" s="60">
      <c r="A163" s="41" t="n"/>
      <c r="B163" s="41" t="n"/>
      <c r="C163" s="41" t="n"/>
      <c r="D163" s="41" t="n"/>
      <c r="E163" s="41" t="n"/>
      <c r="F163" s="41" t="n"/>
      <c r="G163" s="41" t="n"/>
      <c r="H163" s="41" t="n"/>
      <c r="I163" s="41" t="n"/>
      <c r="J163" s="41" t="n"/>
      <c r="K163" s="41" t="n"/>
    </row>
    <row r="164" ht="15.75" customHeight="1" s="60">
      <c r="A164" s="41" t="n"/>
      <c r="B164" s="41" t="n"/>
      <c r="C164" s="41" t="n"/>
      <c r="D164" s="41" t="n"/>
      <c r="E164" s="41" t="n"/>
      <c r="F164" s="41" t="n"/>
      <c r="G164" s="41" t="n"/>
      <c r="H164" s="41" t="n"/>
      <c r="I164" s="41" t="n"/>
      <c r="J164" s="41" t="n"/>
      <c r="K164" s="41" t="n"/>
    </row>
    <row r="165" ht="15.75" customHeight="1" s="60">
      <c r="A165" s="41" t="n"/>
      <c r="B165" s="41" t="n"/>
      <c r="C165" s="41" t="n"/>
      <c r="D165" s="41" t="n"/>
      <c r="E165" s="41" t="n"/>
      <c r="F165" s="41" t="n"/>
      <c r="G165" s="41" t="n"/>
      <c r="H165" s="41" t="n"/>
      <c r="I165" s="41" t="n"/>
      <c r="J165" s="41" t="n"/>
      <c r="K165" s="41" t="n"/>
    </row>
    <row r="166" ht="15.75" customHeight="1" s="60">
      <c r="A166" s="41" t="n"/>
      <c r="B166" s="41" t="n"/>
      <c r="C166" s="41" t="n"/>
      <c r="D166" s="41" t="n"/>
      <c r="E166" s="41" t="n"/>
      <c r="F166" s="41" t="n"/>
      <c r="G166" s="41" t="n"/>
      <c r="H166" s="41" t="n"/>
      <c r="I166" s="41" t="n"/>
      <c r="J166" s="41" t="n"/>
      <c r="K166" s="41" t="n"/>
    </row>
    <row r="167" ht="15.75" customHeight="1" s="60">
      <c r="A167" s="41" t="n"/>
      <c r="B167" s="41" t="n"/>
      <c r="C167" s="41" t="n"/>
      <c r="D167" s="41" t="n"/>
      <c r="E167" s="41" t="n"/>
      <c r="F167" s="41" t="n"/>
      <c r="G167" s="41" t="n"/>
      <c r="H167" s="41" t="n"/>
      <c r="I167" s="41" t="n"/>
      <c r="J167" s="41" t="n"/>
      <c r="K167" s="41" t="n"/>
    </row>
    <row r="168" ht="15.75" customHeight="1" s="60">
      <c r="A168" s="41" t="n"/>
      <c r="B168" s="41" t="n"/>
      <c r="C168" s="41" t="n"/>
      <c r="D168" s="41" t="n"/>
      <c r="E168" s="41" t="n"/>
      <c r="F168" s="41" t="n"/>
      <c r="G168" s="41" t="n"/>
      <c r="H168" s="41" t="n"/>
      <c r="I168" s="41" t="n"/>
      <c r="J168" s="41" t="n"/>
      <c r="K168" s="41" t="n"/>
    </row>
    <row r="169" ht="15.75" customHeight="1" s="60">
      <c r="A169" s="41" t="n"/>
      <c r="B169" s="41" t="n"/>
      <c r="C169" s="41" t="n"/>
      <c r="D169" s="41" t="n"/>
      <c r="E169" s="41" t="n"/>
      <c r="F169" s="41" t="n"/>
      <c r="G169" s="41" t="n"/>
      <c r="H169" s="41" t="n"/>
      <c r="I169" s="41" t="n"/>
      <c r="J169" s="41" t="n"/>
      <c r="K169" s="41" t="n"/>
    </row>
    <row r="170" ht="15.75" customHeight="1" s="60">
      <c r="A170" s="41" t="n"/>
      <c r="B170" s="41" t="n"/>
      <c r="C170" s="41" t="n"/>
      <c r="D170" s="41" t="n"/>
      <c r="E170" s="41" t="n"/>
      <c r="F170" s="41" t="n"/>
      <c r="G170" s="41" t="n"/>
      <c r="H170" s="41" t="n"/>
      <c r="I170" s="41" t="n"/>
      <c r="J170" s="41" t="n"/>
      <c r="K170" s="41" t="n"/>
    </row>
    <row r="171" ht="15.75" customHeight="1" s="60">
      <c r="A171" s="41" t="n"/>
      <c r="B171" s="41" t="n"/>
      <c r="C171" s="41" t="n"/>
      <c r="D171" s="41" t="n"/>
      <c r="E171" s="41" t="n"/>
      <c r="F171" s="41" t="n"/>
      <c r="G171" s="41" t="n"/>
      <c r="H171" s="41" t="n"/>
      <c r="I171" s="41" t="n"/>
      <c r="J171" s="41" t="n"/>
      <c r="K171" s="41" t="n"/>
    </row>
    <row r="172" ht="15.75" customHeight="1" s="60">
      <c r="A172" s="41" t="n"/>
      <c r="B172" s="41" t="n"/>
      <c r="C172" s="41" t="n"/>
      <c r="D172" s="41" t="n"/>
      <c r="E172" s="41" t="n"/>
      <c r="F172" s="41" t="n"/>
      <c r="G172" s="41" t="n"/>
      <c r="H172" s="41" t="n"/>
      <c r="I172" s="41" t="n"/>
      <c r="J172" s="41" t="n"/>
      <c r="K172" s="41" t="n"/>
    </row>
    <row r="173" ht="15.75" customHeight="1" s="60">
      <c r="A173" s="41" t="n"/>
      <c r="B173" s="41" t="n"/>
      <c r="C173" s="41" t="n"/>
      <c r="D173" s="41" t="n"/>
      <c r="E173" s="41" t="n"/>
      <c r="F173" s="41" t="n"/>
      <c r="G173" s="41" t="n"/>
      <c r="H173" s="41" t="n"/>
      <c r="I173" s="41" t="n"/>
      <c r="J173" s="41" t="n"/>
      <c r="K173" s="41" t="n"/>
    </row>
    <row r="174" ht="15.75" customHeight="1" s="60">
      <c r="A174" s="41" t="n"/>
      <c r="B174" s="41" t="n"/>
      <c r="C174" s="41" t="n"/>
      <c r="D174" s="41" t="n"/>
      <c r="E174" s="41" t="n"/>
      <c r="F174" s="41" t="n"/>
      <c r="G174" s="41" t="n"/>
      <c r="H174" s="41" t="n"/>
      <c r="I174" s="41" t="n"/>
      <c r="J174" s="41" t="n"/>
      <c r="K174" s="41" t="n"/>
    </row>
    <row r="175" ht="15.75" customHeight="1" s="60">
      <c r="A175" s="41" t="n"/>
      <c r="B175" s="41" t="n"/>
      <c r="C175" s="41" t="n"/>
      <c r="D175" s="41" t="n"/>
      <c r="E175" s="41" t="n"/>
      <c r="F175" s="41" t="n"/>
      <c r="G175" s="41" t="n"/>
      <c r="H175" s="41" t="n"/>
      <c r="I175" s="41" t="n"/>
      <c r="J175" s="41" t="n"/>
      <c r="K175" s="41" t="n"/>
    </row>
    <row r="176" ht="15.75" customHeight="1" s="60">
      <c r="A176" s="41" t="n"/>
      <c r="B176" s="41" t="n"/>
      <c r="C176" s="41" t="n"/>
      <c r="D176" s="41" t="n"/>
      <c r="E176" s="41" t="n"/>
      <c r="F176" s="41" t="n"/>
      <c r="G176" s="41" t="n"/>
      <c r="H176" s="41" t="n"/>
      <c r="I176" s="41" t="n"/>
      <c r="J176" s="41" t="n"/>
      <c r="K176" s="41" t="n"/>
    </row>
    <row r="177" ht="15.75" customHeight="1" s="60">
      <c r="A177" s="41" t="n"/>
      <c r="B177" s="41" t="n"/>
      <c r="C177" s="41" t="n"/>
      <c r="D177" s="41" t="n"/>
      <c r="E177" s="41" t="n"/>
      <c r="F177" s="41" t="n"/>
      <c r="G177" s="41" t="n"/>
      <c r="H177" s="41" t="n"/>
      <c r="I177" s="41" t="n"/>
      <c r="J177" s="41" t="n"/>
      <c r="K177" s="41" t="n"/>
    </row>
    <row r="178" ht="15.75" customHeight="1" s="60">
      <c r="A178" s="41" t="n"/>
      <c r="B178" s="41" t="n"/>
      <c r="C178" s="41" t="n"/>
      <c r="D178" s="41" t="n"/>
      <c r="E178" s="41" t="n"/>
      <c r="F178" s="41" t="n"/>
      <c r="G178" s="41" t="n"/>
      <c r="H178" s="41" t="n"/>
      <c r="I178" s="41" t="n"/>
      <c r="J178" s="41" t="n"/>
      <c r="K178" s="41" t="n"/>
    </row>
    <row r="179" ht="15.75" customHeight="1" s="60">
      <c r="A179" s="41" t="n"/>
      <c r="B179" s="41" t="n"/>
      <c r="C179" s="41" t="n"/>
      <c r="D179" s="41" t="n"/>
      <c r="E179" s="41" t="n"/>
      <c r="F179" s="41" t="n"/>
      <c r="G179" s="41" t="n"/>
      <c r="H179" s="41" t="n"/>
      <c r="I179" s="41" t="n"/>
      <c r="J179" s="41" t="n"/>
      <c r="K179" s="41" t="n"/>
    </row>
    <row r="180" ht="15.75" customHeight="1" s="60">
      <c r="A180" s="41" t="n"/>
      <c r="B180" s="41" t="n"/>
      <c r="C180" s="41" t="n"/>
      <c r="D180" s="41" t="n"/>
      <c r="E180" s="41" t="n"/>
      <c r="F180" s="41" t="n"/>
      <c r="G180" s="41" t="n"/>
      <c r="H180" s="41" t="n"/>
      <c r="I180" s="41" t="n"/>
      <c r="J180" s="41" t="n"/>
      <c r="K180" s="41" t="n"/>
    </row>
    <row r="181" ht="15.75" customHeight="1" s="60">
      <c r="A181" s="41" t="n"/>
      <c r="B181" s="41" t="n"/>
      <c r="C181" s="41" t="n"/>
      <c r="D181" s="41" t="n"/>
      <c r="E181" s="41" t="n"/>
      <c r="F181" s="41" t="n"/>
      <c r="G181" s="41" t="n"/>
      <c r="H181" s="41" t="n"/>
      <c r="I181" s="41" t="n"/>
      <c r="J181" s="41" t="n"/>
      <c r="K181" s="41" t="n"/>
    </row>
    <row r="182" ht="15.75" customHeight="1" s="60">
      <c r="A182" s="41" t="n"/>
      <c r="B182" s="41" t="n"/>
      <c r="C182" s="41" t="n"/>
      <c r="D182" s="41" t="n"/>
      <c r="E182" s="41" t="n"/>
      <c r="F182" s="41" t="n"/>
      <c r="G182" s="41" t="n"/>
      <c r="H182" s="41" t="n"/>
      <c r="I182" s="41" t="n"/>
      <c r="J182" s="41" t="n"/>
      <c r="K182" s="41" t="n"/>
    </row>
    <row r="183" ht="15.75" customHeight="1" s="60">
      <c r="A183" s="41" t="n"/>
      <c r="B183" s="41" t="n"/>
      <c r="C183" s="41" t="n"/>
      <c r="D183" s="41" t="n"/>
      <c r="E183" s="41" t="n"/>
      <c r="F183" s="41" t="n"/>
      <c r="G183" s="41" t="n"/>
      <c r="H183" s="41" t="n"/>
      <c r="I183" s="41" t="n"/>
      <c r="J183" s="41" t="n"/>
      <c r="K183" s="41" t="n"/>
    </row>
    <row r="184" ht="15.75" customHeight="1" s="60">
      <c r="A184" s="41" t="n"/>
      <c r="B184" s="41" t="n"/>
      <c r="C184" s="41" t="n"/>
      <c r="D184" s="41" t="n"/>
      <c r="E184" s="41" t="n"/>
      <c r="F184" s="41" t="n"/>
      <c r="G184" s="41" t="n"/>
      <c r="H184" s="41" t="n"/>
      <c r="I184" s="41" t="n"/>
      <c r="J184" s="41" t="n"/>
      <c r="K184" s="41" t="n"/>
    </row>
    <row r="185" ht="15.75" customHeight="1" s="60">
      <c r="A185" s="41" t="n"/>
      <c r="B185" s="41" t="n"/>
      <c r="C185" s="41" t="n"/>
      <c r="D185" s="41" t="n"/>
      <c r="E185" s="41" t="n"/>
      <c r="F185" s="41" t="n"/>
      <c r="G185" s="41" t="n"/>
      <c r="H185" s="41" t="n"/>
      <c r="I185" s="41" t="n"/>
      <c r="J185" s="41" t="n"/>
      <c r="K185" s="41" t="n"/>
    </row>
    <row r="186" ht="15.75" customHeight="1" s="60">
      <c r="A186" s="41" t="n"/>
      <c r="B186" s="41" t="n"/>
      <c r="C186" s="41" t="n"/>
      <c r="D186" s="41" t="n"/>
      <c r="E186" s="41" t="n"/>
      <c r="F186" s="41" t="n"/>
      <c r="G186" s="41" t="n"/>
      <c r="H186" s="41" t="n"/>
      <c r="I186" s="41" t="n"/>
      <c r="J186" s="41" t="n"/>
      <c r="K186" s="41" t="n"/>
    </row>
    <row r="187" ht="15.75" customHeight="1" s="60">
      <c r="A187" s="41" t="n"/>
      <c r="B187" s="41" t="n"/>
      <c r="C187" s="41" t="n"/>
      <c r="D187" s="41" t="n"/>
      <c r="E187" s="41" t="n"/>
      <c r="F187" s="41" t="n"/>
      <c r="G187" s="41" t="n"/>
      <c r="H187" s="41" t="n"/>
      <c r="I187" s="41" t="n"/>
      <c r="J187" s="41" t="n"/>
      <c r="K187" s="41" t="n"/>
    </row>
    <row r="188" ht="15.75" customHeight="1" s="60">
      <c r="A188" s="41" t="n"/>
      <c r="B188" s="41" t="n"/>
      <c r="C188" s="41" t="n"/>
      <c r="D188" s="41" t="n"/>
      <c r="E188" s="41" t="n"/>
      <c r="F188" s="41" t="n"/>
      <c r="G188" s="41" t="n"/>
      <c r="H188" s="41" t="n"/>
      <c r="I188" s="41" t="n"/>
      <c r="J188" s="41" t="n"/>
      <c r="K188" s="41" t="n"/>
    </row>
    <row r="189" ht="15.75" customHeight="1" s="60">
      <c r="A189" s="41" t="n"/>
      <c r="B189" s="41" t="n"/>
      <c r="C189" s="41" t="n"/>
      <c r="D189" s="41" t="n"/>
      <c r="E189" s="41" t="n"/>
      <c r="F189" s="41" t="n"/>
      <c r="G189" s="41" t="n"/>
      <c r="H189" s="41" t="n"/>
      <c r="I189" s="41" t="n"/>
      <c r="J189" s="41" t="n"/>
      <c r="K189" s="41" t="n"/>
    </row>
    <row r="190" ht="15.75" customHeight="1" s="60">
      <c r="A190" s="41" t="n"/>
      <c r="B190" s="41" t="n"/>
      <c r="C190" s="41" t="n"/>
      <c r="D190" s="41" t="n"/>
      <c r="E190" s="41" t="n"/>
      <c r="F190" s="41" t="n"/>
      <c r="G190" s="41" t="n"/>
      <c r="H190" s="41" t="n"/>
      <c r="I190" s="41" t="n"/>
      <c r="J190" s="41" t="n"/>
      <c r="K190" s="41" t="n"/>
    </row>
    <row r="191" ht="15.75" customHeight="1" s="60">
      <c r="A191" s="41" t="n"/>
      <c r="B191" s="41" t="n"/>
      <c r="C191" s="41" t="n"/>
      <c r="D191" s="41" t="n"/>
      <c r="E191" s="41" t="n"/>
      <c r="F191" s="41" t="n"/>
      <c r="G191" s="41" t="n"/>
      <c r="H191" s="41" t="n"/>
      <c r="I191" s="41" t="n"/>
      <c r="J191" s="41" t="n"/>
      <c r="K191" s="41" t="n"/>
    </row>
    <row r="192" ht="15.75" customHeight="1" s="60">
      <c r="A192" s="41" t="n"/>
      <c r="B192" s="41" t="n"/>
      <c r="C192" s="41" t="n"/>
      <c r="D192" s="41" t="n"/>
      <c r="E192" s="41" t="n"/>
      <c r="F192" s="41" t="n"/>
      <c r="G192" s="41" t="n"/>
      <c r="H192" s="41" t="n"/>
      <c r="I192" s="41" t="n"/>
      <c r="J192" s="41" t="n"/>
      <c r="K192" s="41" t="n"/>
    </row>
    <row r="193" ht="15.75" customHeight="1" s="60">
      <c r="A193" s="41" t="n"/>
      <c r="B193" s="41" t="n"/>
      <c r="C193" s="41" t="n"/>
      <c r="D193" s="41" t="n"/>
      <c r="E193" s="41" t="n"/>
      <c r="F193" s="41" t="n"/>
      <c r="G193" s="41" t="n"/>
      <c r="H193" s="41" t="n"/>
      <c r="I193" s="41" t="n"/>
      <c r="J193" s="41" t="n"/>
      <c r="K193" s="41" t="n"/>
    </row>
    <row r="194" ht="15.75" customHeight="1" s="60">
      <c r="A194" s="41" t="n"/>
      <c r="B194" s="41" t="n"/>
      <c r="C194" s="41" t="n"/>
      <c r="D194" s="41" t="n"/>
      <c r="E194" s="41" t="n"/>
      <c r="F194" s="41" t="n"/>
      <c r="G194" s="41" t="n"/>
      <c r="H194" s="41" t="n"/>
      <c r="I194" s="41" t="n"/>
      <c r="J194" s="41" t="n"/>
      <c r="K194" s="41" t="n"/>
    </row>
    <row r="195" ht="15.75" customHeight="1" s="60">
      <c r="A195" s="41" t="n"/>
      <c r="B195" s="41" t="n"/>
      <c r="C195" s="41" t="n"/>
      <c r="D195" s="41" t="n"/>
      <c r="E195" s="41" t="n"/>
      <c r="F195" s="41" t="n"/>
      <c r="G195" s="41" t="n"/>
      <c r="H195" s="41" t="n"/>
      <c r="I195" s="41" t="n"/>
      <c r="J195" s="41" t="n"/>
      <c r="K195" s="41" t="n"/>
    </row>
    <row r="196" ht="15.75" customHeight="1" s="60">
      <c r="A196" s="41" t="n"/>
      <c r="B196" s="41" t="n"/>
      <c r="C196" s="41" t="n"/>
      <c r="D196" s="41" t="n"/>
      <c r="E196" s="41" t="n"/>
      <c r="F196" s="41" t="n"/>
      <c r="G196" s="41" t="n"/>
      <c r="H196" s="41" t="n"/>
      <c r="I196" s="41" t="n"/>
      <c r="J196" s="41" t="n"/>
      <c r="K196" s="41" t="n"/>
    </row>
    <row r="197" ht="15.75" customHeight="1" s="60">
      <c r="A197" s="41" t="n"/>
      <c r="B197" s="41" t="n"/>
      <c r="C197" s="41" t="n"/>
      <c r="D197" s="41" t="n"/>
      <c r="E197" s="41" t="n"/>
      <c r="F197" s="41" t="n"/>
      <c r="G197" s="41" t="n"/>
      <c r="H197" s="41" t="n"/>
      <c r="I197" s="41" t="n"/>
      <c r="J197" s="41" t="n"/>
      <c r="K197" s="41" t="n"/>
    </row>
    <row r="198" ht="15.75" customHeight="1" s="60">
      <c r="A198" s="41" t="n"/>
      <c r="B198" s="41" t="n"/>
      <c r="C198" s="41" t="n"/>
      <c r="D198" s="41" t="n"/>
      <c r="E198" s="41" t="n"/>
      <c r="F198" s="41" t="n"/>
      <c r="G198" s="41" t="n"/>
      <c r="H198" s="41" t="n"/>
      <c r="I198" s="41" t="n"/>
      <c r="J198" s="41" t="n"/>
      <c r="K198" s="41" t="n"/>
    </row>
    <row r="199" ht="15.75" customHeight="1" s="60">
      <c r="A199" s="41" t="n"/>
      <c r="B199" s="41" t="n"/>
      <c r="C199" s="41" t="n"/>
      <c r="D199" s="41" t="n"/>
      <c r="E199" s="41" t="n"/>
      <c r="F199" s="41" t="n"/>
      <c r="G199" s="41" t="n"/>
      <c r="H199" s="41" t="n"/>
      <c r="I199" s="41" t="n"/>
      <c r="J199" s="41" t="n"/>
      <c r="K199" s="41" t="n"/>
    </row>
    <row r="200" ht="15.75" customHeight="1" s="60">
      <c r="A200" s="41" t="n"/>
      <c r="B200" s="41" t="n"/>
      <c r="C200" s="41" t="n"/>
      <c r="D200" s="41" t="n"/>
      <c r="E200" s="41" t="n"/>
      <c r="F200" s="41" t="n"/>
      <c r="G200" s="41" t="n"/>
      <c r="H200" s="41" t="n"/>
      <c r="I200" s="41" t="n"/>
      <c r="J200" s="41" t="n"/>
      <c r="K200" s="41" t="n"/>
    </row>
    <row r="201" ht="15.75" customHeight="1" s="60">
      <c r="A201" s="41" t="n"/>
      <c r="B201" s="41" t="n"/>
      <c r="C201" s="41" t="n"/>
      <c r="D201" s="41" t="n"/>
      <c r="E201" s="41" t="n"/>
      <c r="F201" s="41" t="n"/>
      <c r="G201" s="41" t="n"/>
      <c r="H201" s="41" t="n"/>
      <c r="I201" s="41" t="n"/>
      <c r="J201" s="41" t="n"/>
      <c r="K201" s="41" t="n"/>
    </row>
    <row r="202" ht="15.75" customHeight="1" s="60">
      <c r="A202" s="41" t="n"/>
      <c r="B202" s="41" t="n"/>
      <c r="C202" s="41" t="n"/>
      <c r="D202" s="41" t="n"/>
      <c r="E202" s="41" t="n"/>
      <c r="F202" s="41" t="n"/>
      <c r="G202" s="41" t="n"/>
      <c r="H202" s="41" t="n"/>
      <c r="I202" s="41" t="n"/>
      <c r="J202" s="41" t="n"/>
      <c r="K202" s="41" t="n"/>
    </row>
    <row r="203" ht="15.75" customHeight="1" s="60">
      <c r="A203" s="41" t="n"/>
      <c r="B203" s="41" t="n"/>
      <c r="C203" s="41" t="n"/>
      <c r="D203" s="41" t="n"/>
      <c r="E203" s="41" t="n"/>
      <c r="F203" s="41" t="n"/>
      <c r="G203" s="41" t="n"/>
      <c r="H203" s="41" t="n"/>
      <c r="I203" s="41" t="n"/>
      <c r="J203" s="41" t="n"/>
      <c r="K203" s="41" t="n"/>
    </row>
    <row r="204" ht="15.75" customHeight="1" s="60">
      <c r="A204" s="41" t="n"/>
      <c r="B204" s="41" t="n"/>
      <c r="C204" s="41" t="n"/>
      <c r="D204" s="41" t="n"/>
      <c r="E204" s="41" t="n"/>
      <c r="F204" s="41" t="n"/>
      <c r="G204" s="41" t="n"/>
      <c r="H204" s="41" t="n"/>
      <c r="I204" s="41" t="n"/>
      <c r="J204" s="41" t="n"/>
      <c r="K204" s="41" t="n"/>
    </row>
    <row r="205" ht="15.75" customHeight="1" s="60">
      <c r="A205" s="41" t="n"/>
      <c r="B205" s="41" t="n"/>
      <c r="C205" s="41" t="n"/>
      <c r="D205" s="41" t="n"/>
      <c r="E205" s="41" t="n"/>
      <c r="F205" s="41" t="n"/>
      <c r="G205" s="41" t="n"/>
      <c r="H205" s="41" t="n"/>
      <c r="I205" s="41" t="n"/>
      <c r="J205" s="41" t="n"/>
      <c r="K205" s="41" t="n"/>
    </row>
    <row r="206" ht="15.75" customHeight="1" s="60">
      <c r="A206" s="41" t="n"/>
      <c r="B206" s="41" t="n"/>
      <c r="C206" s="41" t="n"/>
      <c r="D206" s="41" t="n"/>
      <c r="E206" s="41" t="n"/>
      <c r="F206" s="41" t="n"/>
      <c r="G206" s="41" t="n"/>
      <c r="H206" s="41" t="n"/>
      <c r="I206" s="41" t="n"/>
      <c r="J206" s="41" t="n"/>
      <c r="K206" s="41" t="n"/>
    </row>
    <row r="207" ht="15.75" customHeight="1" s="60">
      <c r="A207" s="41" t="n"/>
      <c r="B207" s="41" t="n"/>
      <c r="C207" s="41" t="n"/>
      <c r="D207" s="41" t="n"/>
      <c r="E207" s="41" t="n"/>
      <c r="F207" s="41" t="n"/>
      <c r="G207" s="41" t="n"/>
      <c r="H207" s="41" t="n"/>
      <c r="I207" s="41" t="n"/>
      <c r="J207" s="41" t="n"/>
      <c r="K207" s="41" t="n"/>
    </row>
    <row r="208" ht="15.75" customHeight="1" s="60">
      <c r="A208" s="41" t="n"/>
      <c r="B208" s="41" t="n"/>
      <c r="C208" s="41" t="n"/>
      <c r="D208" s="41" t="n"/>
      <c r="E208" s="41" t="n"/>
      <c r="F208" s="41" t="n"/>
      <c r="G208" s="41" t="n"/>
      <c r="H208" s="41" t="n"/>
      <c r="I208" s="41" t="n"/>
      <c r="J208" s="41" t="n"/>
      <c r="K208" s="41" t="n"/>
    </row>
    <row r="209" ht="15.75" customHeight="1" s="60">
      <c r="A209" s="41" t="n"/>
      <c r="B209" s="41" t="n"/>
      <c r="C209" s="41" t="n"/>
      <c r="D209" s="41" t="n"/>
      <c r="E209" s="41" t="n"/>
      <c r="F209" s="41" t="n"/>
      <c r="G209" s="41" t="n"/>
      <c r="H209" s="41" t="n"/>
      <c r="I209" s="41" t="n"/>
      <c r="J209" s="41" t="n"/>
      <c r="K209" s="41" t="n"/>
    </row>
    <row r="210" ht="15.75" customHeight="1" s="60">
      <c r="A210" s="41" t="n"/>
      <c r="B210" s="41" t="n"/>
      <c r="C210" s="41" t="n"/>
      <c r="D210" s="41" t="n"/>
      <c r="E210" s="41" t="n"/>
      <c r="F210" s="41" t="n"/>
      <c r="G210" s="41" t="n"/>
      <c r="H210" s="41" t="n"/>
      <c r="I210" s="41" t="n"/>
      <c r="J210" s="41" t="n"/>
      <c r="K210" s="41" t="n"/>
    </row>
    <row r="211" ht="15.75" customHeight="1" s="60">
      <c r="A211" s="41" t="n"/>
      <c r="B211" s="41" t="n"/>
      <c r="C211" s="41" t="n"/>
      <c r="D211" s="41" t="n"/>
      <c r="E211" s="41" t="n"/>
      <c r="F211" s="41" t="n"/>
      <c r="G211" s="41" t="n"/>
      <c r="H211" s="41" t="n"/>
      <c r="I211" s="41" t="n"/>
      <c r="J211" s="41" t="n"/>
      <c r="K211" s="41" t="n"/>
    </row>
    <row r="212" ht="15.75" customHeight="1" s="60">
      <c r="A212" s="41" t="n"/>
      <c r="B212" s="41" t="n"/>
      <c r="C212" s="41" t="n"/>
      <c r="D212" s="41" t="n"/>
      <c r="E212" s="41" t="n"/>
      <c r="F212" s="41" t="n"/>
      <c r="G212" s="41" t="n"/>
      <c r="H212" s="41" t="n"/>
      <c r="I212" s="41" t="n"/>
      <c r="J212" s="41" t="n"/>
      <c r="K212" s="41" t="n"/>
    </row>
    <row r="213" ht="15.75" customHeight="1" s="60">
      <c r="A213" s="41" t="n"/>
      <c r="B213" s="41" t="n"/>
      <c r="C213" s="41" t="n"/>
      <c r="D213" s="41" t="n"/>
      <c r="E213" s="41" t="n"/>
      <c r="F213" s="41" t="n"/>
      <c r="G213" s="41" t="n"/>
      <c r="H213" s="41" t="n"/>
      <c r="I213" s="41" t="n"/>
      <c r="J213" s="41" t="n"/>
      <c r="K213" s="41" t="n"/>
    </row>
    <row r="214" ht="15.75" customHeight="1" s="60">
      <c r="A214" s="41" t="n"/>
      <c r="B214" s="41" t="n"/>
      <c r="C214" s="41" t="n"/>
      <c r="D214" s="41" t="n"/>
      <c r="E214" s="41" t="n"/>
      <c r="F214" s="41" t="n"/>
      <c r="G214" s="41" t="n"/>
      <c r="H214" s="41" t="n"/>
      <c r="I214" s="41" t="n"/>
      <c r="J214" s="41" t="n"/>
      <c r="K214" s="41" t="n"/>
    </row>
    <row r="215" ht="15.75" customHeight="1" s="60">
      <c r="A215" s="41" t="n"/>
      <c r="B215" s="41" t="n"/>
      <c r="C215" s="41" t="n"/>
      <c r="D215" s="41" t="n"/>
      <c r="E215" s="41" t="n"/>
      <c r="F215" s="41" t="n"/>
      <c r="G215" s="41" t="n"/>
      <c r="H215" s="41" t="n"/>
      <c r="I215" s="41" t="n"/>
      <c r="J215" s="41" t="n"/>
      <c r="K215" s="41" t="n"/>
    </row>
    <row r="216" ht="15.75" customHeight="1" s="60">
      <c r="A216" s="41" t="n"/>
      <c r="B216" s="41" t="n"/>
      <c r="C216" s="41" t="n"/>
      <c r="D216" s="41" t="n"/>
      <c r="E216" s="41" t="n"/>
      <c r="F216" s="41" t="n"/>
      <c r="G216" s="41" t="n"/>
      <c r="H216" s="41" t="n"/>
      <c r="I216" s="41" t="n"/>
      <c r="J216" s="41" t="n"/>
      <c r="K216" s="41" t="n"/>
    </row>
    <row r="217" ht="15.75" customHeight="1" s="60">
      <c r="A217" s="41" t="n"/>
      <c r="B217" s="41" t="n"/>
      <c r="C217" s="41" t="n"/>
      <c r="D217" s="41" t="n"/>
      <c r="E217" s="41" t="n"/>
      <c r="F217" s="41" t="n"/>
      <c r="G217" s="41" t="n"/>
      <c r="H217" s="41" t="n"/>
      <c r="I217" s="41" t="n"/>
      <c r="J217" s="41" t="n"/>
      <c r="K217" s="41" t="n"/>
    </row>
    <row r="218" ht="15.75" customHeight="1" s="60">
      <c r="A218" s="41" t="n"/>
      <c r="B218" s="41" t="n"/>
      <c r="C218" s="41" t="n"/>
      <c r="D218" s="41" t="n"/>
      <c r="E218" s="41" t="n"/>
      <c r="F218" s="41" t="n"/>
      <c r="G218" s="41" t="n"/>
      <c r="H218" s="41" t="n"/>
      <c r="I218" s="41" t="n"/>
      <c r="J218" s="41" t="n"/>
      <c r="K218" s="41" t="n"/>
    </row>
    <row r="219" ht="15.75" customHeight="1" s="60">
      <c r="A219" s="41" t="n"/>
      <c r="B219" s="41" t="n"/>
      <c r="C219" s="41" t="n"/>
      <c r="D219" s="41" t="n"/>
      <c r="E219" s="41" t="n"/>
      <c r="F219" s="41" t="n"/>
      <c r="G219" s="41" t="n"/>
      <c r="H219" s="41" t="n"/>
      <c r="I219" s="41" t="n"/>
      <c r="J219" s="41" t="n"/>
      <c r="K219" s="41" t="n"/>
    </row>
    <row r="220" ht="15.75" customHeight="1" s="60">
      <c r="A220" s="41" t="n"/>
      <c r="B220" s="41" t="n"/>
      <c r="C220" s="41" t="n"/>
      <c r="D220" s="41" t="n"/>
      <c r="E220" s="41" t="n"/>
      <c r="F220" s="41" t="n"/>
      <c r="G220" s="41" t="n"/>
      <c r="H220" s="41" t="n"/>
      <c r="I220" s="41" t="n"/>
      <c r="J220" s="41" t="n"/>
      <c r="K220" s="41" t="n"/>
    </row>
    <row r="221" ht="15.75" customHeight="1" s="60">
      <c r="A221" s="41" t="n"/>
      <c r="B221" s="41" t="n"/>
      <c r="C221" s="41" t="n"/>
      <c r="D221" s="41" t="n"/>
      <c r="E221" s="41" t="n"/>
      <c r="F221" s="41" t="n"/>
      <c r="G221" s="41" t="n"/>
      <c r="H221" s="41" t="n"/>
      <c r="I221" s="41" t="n"/>
      <c r="J221" s="41" t="n"/>
      <c r="K221" s="41" t="n"/>
    </row>
    <row r="222" ht="15.75" customHeight="1" s="60">
      <c r="A222" s="41" t="n"/>
      <c r="B222" s="41" t="n"/>
      <c r="C222" s="41" t="n"/>
      <c r="D222" s="41" t="n"/>
      <c r="E222" s="41" t="n"/>
      <c r="F222" s="41" t="n"/>
      <c r="G222" s="41" t="n"/>
      <c r="H222" s="41" t="n"/>
      <c r="I222" s="41" t="n"/>
      <c r="J222" s="41" t="n"/>
      <c r="K222" s="41" t="n"/>
    </row>
    <row r="223" ht="15.75" customHeight="1" s="60">
      <c r="A223" s="41" t="n"/>
      <c r="B223" s="41" t="n"/>
      <c r="C223" s="41" t="n"/>
      <c r="D223" s="41" t="n"/>
      <c r="E223" s="41" t="n"/>
      <c r="F223" s="41" t="n"/>
      <c r="G223" s="41" t="n"/>
      <c r="H223" s="41" t="n"/>
      <c r="I223" s="41" t="n"/>
      <c r="J223" s="41" t="n"/>
      <c r="K223" s="41" t="n"/>
    </row>
    <row r="224" ht="15.75" customHeight="1" s="60">
      <c r="A224" s="41" t="n"/>
      <c r="B224" s="41" t="n"/>
      <c r="C224" s="41" t="n"/>
      <c r="D224" s="41" t="n"/>
      <c r="E224" s="41" t="n"/>
      <c r="F224" s="41" t="n"/>
      <c r="G224" s="41" t="n"/>
      <c r="H224" s="41" t="n"/>
      <c r="I224" s="41" t="n"/>
      <c r="J224" s="41" t="n"/>
      <c r="K224" s="41" t="n"/>
    </row>
    <row r="225" ht="15.75" customHeight="1" s="60">
      <c r="A225" s="41" t="n"/>
      <c r="B225" s="41" t="n"/>
      <c r="C225" s="41" t="n"/>
      <c r="D225" s="41" t="n"/>
      <c r="E225" s="41" t="n"/>
      <c r="F225" s="41" t="n"/>
      <c r="G225" s="41" t="n"/>
      <c r="H225" s="41" t="n"/>
      <c r="I225" s="41" t="n"/>
      <c r="J225" s="41" t="n"/>
      <c r="K225" s="41" t="n"/>
    </row>
    <row r="226" ht="15.75" customHeight="1" s="60">
      <c r="A226" s="41" t="n"/>
      <c r="B226" s="41" t="n"/>
      <c r="C226" s="41" t="n"/>
      <c r="D226" s="41" t="n"/>
      <c r="E226" s="41" t="n"/>
      <c r="F226" s="41" t="n"/>
      <c r="G226" s="41" t="n"/>
      <c r="H226" s="41" t="n"/>
      <c r="I226" s="41" t="n"/>
      <c r="J226" s="41" t="n"/>
      <c r="K226" s="41" t="n"/>
    </row>
    <row r="227" ht="15.75" customHeight="1" s="60">
      <c r="A227" s="41" t="n"/>
      <c r="B227" s="41" t="n"/>
      <c r="C227" s="41" t="n"/>
      <c r="D227" s="41" t="n"/>
      <c r="E227" s="41" t="n"/>
      <c r="F227" s="41" t="n"/>
      <c r="G227" s="41" t="n"/>
      <c r="H227" s="41" t="n"/>
      <c r="I227" s="41" t="n"/>
      <c r="J227" s="41" t="n"/>
      <c r="K227" s="41" t="n"/>
    </row>
    <row r="228" ht="15.75" customHeight="1" s="60">
      <c r="A228" s="41" t="n"/>
      <c r="B228" s="41" t="n"/>
      <c r="C228" s="41" t="n"/>
      <c r="D228" s="41" t="n"/>
      <c r="E228" s="41" t="n"/>
      <c r="F228" s="41" t="n"/>
      <c r="G228" s="41" t="n"/>
      <c r="H228" s="41" t="n"/>
      <c r="I228" s="41" t="n"/>
      <c r="J228" s="41" t="n"/>
      <c r="K228" s="41" t="n"/>
    </row>
    <row r="229" ht="15.75" customHeight="1" s="60">
      <c r="A229" s="41" t="n"/>
      <c r="B229" s="41" t="n"/>
      <c r="C229" s="41" t="n"/>
      <c r="D229" s="41" t="n"/>
      <c r="E229" s="41" t="n"/>
      <c r="F229" s="41" t="n"/>
      <c r="G229" s="41" t="n"/>
      <c r="H229" s="41" t="n"/>
      <c r="I229" s="41" t="n"/>
      <c r="J229" s="41" t="n"/>
      <c r="K229" s="41" t="n"/>
    </row>
    <row r="230" ht="15.75" customHeight="1" s="60">
      <c r="A230" s="41" t="n"/>
      <c r="B230" s="41" t="n"/>
      <c r="C230" s="41" t="n"/>
      <c r="D230" s="41" t="n"/>
      <c r="E230" s="41" t="n"/>
      <c r="F230" s="41" t="n"/>
      <c r="G230" s="41" t="n"/>
      <c r="H230" s="41" t="n"/>
      <c r="I230" s="41" t="n"/>
      <c r="J230" s="41" t="n"/>
      <c r="K230" s="41" t="n"/>
    </row>
    <row r="231" ht="15.75" customHeight="1" s="60">
      <c r="A231" s="41" t="n"/>
      <c r="B231" s="41" t="n"/>
      <c r="C231" s="41" t="n"/>
      <c r="D231" s="41" t="n"/>
      <c r="E231" s="41" t="n"/>
      <c r="F231" s="41" t="n"/>
      <c r="G231" s="41" t="n"/>
      <c r="H231" s="41" t="n"/>
      <c r="I231" s="41" t="n"/>
      <c r="J231" s="41" t="n"/>
      <c r="K231" s="41" t="n"/>
    </row>
    <row r="232" ht="15.75" customHeight="1" s="60">
      <c r="A232" s="41" t="n"/>
      <c r="B232" s="41" t="n"/>
      <c r="C232" s="41" t="n"/>
      <c r="D232" s="41" t="n"/>
      <c r="E232" s="41" t="n"/>
      <c r="F232" s="41" t="n"/>
      <c r="G232" s="41" t="n"/>
      <c r="H232" s="41" t="n"/>
      <c r="I232" s="41" t="n"/>
      <c r="J232" s="41" t="n"/>
      <c r="K232" s="41" t="n"/>
    </row>
    <row r="233" ht="15.75" customHeight="1" s="60">
      <c r="A233" s="41" t="n"/>
      <c r="B233" s="41" t="n"/>
      <c r="C233" s="41" t="n"/>
      <c r="D233" s="41" t="n"/>
      <c r="E233" s="41" t="n"/>
      <c r="F233" s="41" t="n"/>
      <c r="G233" s="41" t="n"/>
      <c r="H233" s="41" t="n"/>
      <c r="I233" s="41" t="n"/>
      <c r="J233" s="41" t="n"/>
      <c r="K233" s="41" t="n"/>
    </row>
    <row r="234" ht="15.75" customHeight="1" s="60">
      <c r="A234" s="41" t="n"/>
      <c r="B234" s="41" t="n"/>
      <c r="C234" s="41" t="n"/>
      <c r="D234" s="41" t="n"/>
      <c r="E234" s="41" t="n"/>
      <c r="F234" s="41" t="n"/>
      <c r="G234" s="41" t="n"/>
      <c r="H234" s="41" t="n"/>
      <c r="I234" s="41" t="n"/>
      <c r="J234" s="41" t="n"/>
      <c r="K234" s="41" t="n"/>
    </row>
    <row r="235" ht="15.75" customHeight="1" s="60">
      <c r="A235" s="41" t="n"/>
      <c r="B235" s="41" t="n"/>
      <c r="C235" s="41" t="n"/>
      <c r="D235" s="41" t="n"/>
      <c r="E235" s="41" t="n"/>
      <c r="F235" s="41" t="n"/>
      <c r="G235" s="41" t="n"/>
      <c r="H235" s="41" t="n"/>
      <c r="I235" s="41" t="n"/>
      <c r="J235" s="41" t="n"/>
      <c r="K235" s="41" t="n"/>
    </row>
    <row r="236" ht="15.75" customHeight="1" s="60">
      <c r="A236" s="41" t="n"/>
      <c r="B236" s="41" t="n"/>
      <c r="C236" s="41" t="n"/>
      <c r="D236" s="41" t="n"/>
      <c r="E236" s="41" t="n"/>
      <c r="F236" s="41" t="n"/>
      <c r="G236" s="41" t="n"/>
      <c r="H236" s="41" t="n"/>
      <c r="I236" s="41" t="n"/>
      <c r="J236" s="41" t="n"/>
      <c r="K236" s="41" t="n"/>
    </row>
    <row r="237" ht="15.75" customHeight="1" s="60">
      <c r="A237" s="41" t="n"/>
      <c r="B237" s="41" t="n"/>
      <c r="C237" s="41" t="n"/>
      <c r="D237" s="41" t="n"/>
      <c r="E237" s="41" t="n"/>
      <c r="F237" s="41" t="n"/>
      <c r="G237" s="41" t="n"/>
      <c r="H237" s="41" t="n"/>
      <c r="I237" s="41" t="n"/>
      <c r="J237" s="41" t="n"/>
      <c r="K237" s="41" t="n"/>
    </row>
    <row r="238" ht="15.75" customHeight="1" s="60">
      <c r="A238" s="41" t="n"/>
      <c r="B238" s="41" t="n"/>
      <c r="C238" s="41" t="n"/>
      <c r="D238" s="41" t="n"/>
      <c r="E238" s="41" t="n"/>
      <c r="F238" s="41" t="n"/>
      <c r="G238" s="41" t="n"/>
      <c r="H238" s="41" t="n"/>
      <c r="I238" s="41" t="n"/>
      <c r="J238" s="41" t="n"/>
      <c r="K238" s="41" t="n"/>
    </row>
    <row r="239" ht="15.75" customHeight="1" s="60">
      <c r="A239" s="41" t="n"/>
      <c r="B239" s="41" t="n"/>
      <c r="C239" s="41" t="n"/>
      <c r="D239" s="41" t="n"/>
      <c r="E239" s="41" t="n"/>
      <c r="F239" s="41" t="n"/>
      <c r="G239" s="41" t="n"/>
      <c r="H239" s="41" t="n"/>
      <c r="I239" s="41" t="n"/>
      <c r="J239" s="41" t="n"/>
      <c r="K239" s="41" t="n"/>
    </row>
    <row r="240" ht="15.75" customHeight="1" s="60">
      <c r="A240" s="41" t="n"/>
      <c r="B240" s="41" t="n"/>
      <c r="C240" s="41" t="n"/>
      <c r="D240" s="41" t="n"/>
      <c r="E240" s="41" t="n"/>
      <c r="F240" s="41" t="n"/>
      <c r="G240" s="41" t="n"/>
      <c r="H240" s="41" t="n"/>
      <c r="I240" s="41" t="n"/>
      <c r="J240" s="41" t="n"/>
      <c r="K240" s="41" t="n"/>
    </row>
    <row r="241" ht="15.75" customHeight="1" s="60">
      <c r="A241" s="41" t="n"/>
      <c r="B241" s="41" t="n"/>
      <c r="C241" s="41" t="n"/>
      <c r="D241" s="41" t="n"/>
      <c r="E241" s="41" t="n"/>
      <c r="F241" s="41" t="n"/>
      <c r="G241" s="41" t="n"/>
      <c r="H241" s="41" t="n"/>
      <c r="I241" s="41" t="n"/>
      <c r="J241" s="41" t="n"/>
      <c r="K241" s="41" t="n"/>
    </row>
    <row r="242" ht="15.75" customHeight="1" s="60">
      <c r="A242" s="41" t="n"/>
      <c r="B242" s="41" t="n"/>
      <c r="C242" s="41" t="n"/>
      <c r="D242" s="41" t="n"/>
      <c r="E242" s="41" t="n"/>
      <c r="F242" s="41" t="n"/>
      <c r="G242" s="41" t="n"/>
      <c r="H242" s="41" t="n"/>
      <c r="I242" s="41" t="n"/>
      <c r="J242" s="41" t="n"/>
      <c r="K242" s="41" t="n"/>
    </row>
    <row r="243" ht="15.75" customHeight="1" s="60">
      <c r="A243" s="41" t="n"/>
      <c r="B243" s="41" t="n"/>
      <c r="C243" s="41" t="n"/>
      <c r="D243" s="41" t="n"/>
      <c r="E243" s="41" t="n"/>
      <c r="F243" s="41" t="n"/>
      <c r="G243" s="41" t="n"/>
      <c r="H243" s="41" t="n"/>
      <c r="I243" s="41" t="n"/>
      <c r="J243" s="41" t="n"/>
      <c r="K243" s="41" t="n"/>
    </row>
    <row r="244" ht="15.75" customHeight="1" s="60">
      <c r="A244" s="41" t="n"/>
      <c r="B244" s="41" t="n"/>
      <c r="C244" s="41" t="n"/>
      <c r="D244" s="41" t="n"/>
      <c r="E244" s="41" t="n"/>
      <c r="F244" s="41" t="n"/>
      <c r="G244" s="41" t="n"/>
      <c r="H244" s="41" t="n"/>
      <c r="I244" s="41" t="n"/>
      <c r="J244" s="41" t="n"/>
      <c r="K244" s="41" t="n"/>
    </row>
    <row r="245" ht="15.75" customHeight="1" s="60">
      <c r="A245" s="41" t="n"/>
      <c r="B245" s="41" t="n"/>
      <c r="C245" s="41" t="n"/>
      <c r="D245" s="41" t="n"/>
      <c r="E245" s="41" t="n"/>
      <c r="F245" s="41" t="n"/>
      <c r="G245" s="41" t="n"/>
      <c r="H245" s="41" t="n"/>
      <c r="I245" s="41" t="n"/>
      <c r="J245" s="41" t="n"/>
      <c r="K245" s="41" t="n"/>
    </row>
    <row r="246" ht="15.75" customHeight="1" s="60">
      <c r="A246" s="41" t="n"/>
      <c r="B246" s="41" t="n"/>
      <c r="C246" s="41" t="n"/>
      <c r="D246" s="41" t="n"/>
      <c r="E246" s="41" t="n"/>
      <c r="F246" s="41" t="n"/>
      <c r="G246" s="41" t="n"/>
      <c r="H246" s="41" t="n"/>
      <c r="I246" s="41" t="n"/>
      <c r="J246" s="41" t="n"/>
      <c r="K246" s="41" t="n"/>
    </row>
    <row r="247" ht="15.75" customHeight="1" s="60">
      <c r="A247" s="41" t="n"/>
      <c r="B247" s="41" t="n"/>
      <c r="C247" s="41" t="n"/>
      <c r="D247" s="41" t="n"/>
      <c r="E247" s="41" t="n"/>
      <c r="F247" s="41" t="n"/>
      <c r="G247" s="41" t="n"/>
      <c r="H247" s="41" t="n"/>
      <c r="I247" s="41" t="n"/>
      <c r="J247" s="41" t="n"/>
      <c r="K247" s="41" t="n"/>
    </row>
    <row r="248" ht="15.75" customHeight="1" s="60">
      <c r="A248" s="41" t="n"/>
      <c r="B248" s="41" t="n"/>
      <c r="C248" s="41" t="n"/>
      <c r="D248" s="41" t="n"/>
      <c r="E248" s="41" t="n"/>
      <c r="F248" s="41" t="n"/>
      <c r="G248" s="41" t="n"/>
      <c r="H248" s="41" t="n"/>
      <c r="I248" s="41" t="n"/>
      <c r="J248" s="41" t="n"/>
      <c r="K248" s="41" t="n"/>
    </row>
    <row r="249" ht="15.75" customHeight="1" s="60">
      <c r="A249" s="41" t="n"/>
      <c r="B249" s="41" t="n"/>
      <c r="C249" s="41" t="n"/>
      <c r="D249" s="41" t="n"/>
      <c r="E249" s="41" t="n"/>
      <c r="F249" s="41" t="n"/>
      <c r="G249" s="41" t="n"/>
      <c r="H249" s="41" t="n"/>
      <c r="I249" s="41" t="n"/>
      <c r="J249" s="41" t="n"/>
      <c r="K249" s="41" t="n"/>
    </row>
    <row r="250" ht="15.75" customHeight="1" s="60">
      <c r="A250" s="41" t="n"/>
      <c r="B250" s="41" t="n"/>
      <c r="C250" s="41" t="n"/>
      <c r="D250" s="41" t="n"/>
      <c r="E250" s="41" t="n"/>
      <c r="F250" s="41" t="n"/>
      <c r="G250" s="41" t="n"/>
      <c r="H250" s="41" t="n"/>
      <c r="I250" s="41" t="n"/>
      <c r="J250" s="41" t="n"/>
      <c r="K250" s="41" t="n"/>
    </row>
    <row r="251" ht="15.75" customHeight="1" s="60">
      <c r="A251" s="41" t="n"/>
      <c r="B251" s="41" t="n"/>
      <c r="C251" s="41" t="n"/>
      <c r="D251" s="41" t="n"/>
      <c r="E251" s="41" t="n"/>
      <c r="F251" s="41" t="n"/>
      <c r="G251" s="41" t="n"/>
      <c r="H251" s="41" t="n"/>
      <c r="I251" s="41" t="n"/>
      <c r="J251" s="41" t="n"/>
      <c r="K251" s="41" t="n"/>
    </row>
    <row r="252" ht="15.75" customHeight="1" s="60">
      <c r="A252" s="41" t="n"/>
      <c r="B252" s="41" t="n"/>
      <c r="C252" s="41" t="n"/>
      <c r="D252" s="41" t="n"/>
      <c r="E252" s="41" t="n"/>
      <c r="F252" s="41" t="n"/>
      <c r="G252" s="41" t="n"/>
      <c r="H252" s="41" t="n"/>
      <c r="I252" s="41" t="n"/>
      <c r="J252" s="41" t="n"/>
      <c r="K252" s="41" t="n"/>
    </row>
    <row r="253" ht="15.75" customHeight="1" s="60">
      <c r="A253" s="41" t="n"/>
      <c r="B253" s="41" t="n"/>
      <c r="C253" s="41" t="n"/>
      <c r="D253" s="41" t="n"/>
      <c r="E253" s="41" t="n"/>
      <c r="F253" s="41" t="n"/>
      <c r="G253" s="41" t="n"/>
      <c r="H253" s="41" t="n"/>
      <c r="I253" s="41" t="n"/>
      <c r="J253" s="41" t="n"/>
      <c r="K253" s="41" t="n"/>
    </row>
    <row r="254" ht="15.75" customHeight="1" s="60">
      <c r="A254" s="41" t="n"/>
      <c r="B254" s="41" t="n"/>
      <c r="C254" s="41" t="n"/>
      <c r="D254" s="41" t="n"/>
      <c r="E254" s="41" t="n"/>
      <c r="F254" s="41" t="n"/>
      <c r="G254" s="41" t="n"/>
      <c r="H254" s="41" t="n"/>
      <c r="I254" s="41" t="n"/>
      <c r="J254" s="41" t="n"/>
      <c r="K254" s="41" t="n"/>
    </row>
    <row r="255" ht="15.75" customHeight="1" s="60">
      <c r="A255" s="41" t="n"/>
      <c r="B255" s="41" t="n"/>
      <c r="C255" s="41" t="n"/>
      <c r="D255" s="41" t="n"/>
      <c r="E255" s="41" t="n"/>
      <c r="F255" s="41" t="n"/>
      <c r="G255" s="41" t="n"/>
      <c r="H255" s="41" t="n"/>
      <c r="I255" s="41" t="n"/>
      <c r="J255" s="41" t="n"/>
      <c r="K255" s="41" t="n"/>
    </row>
    <row r="256" ht="15.75" customHeight="1" s="60">
      <c r="A256" s="41" t="n"/>
      <c r="B256" s="41" t="n"/>
      <c r="C256" s="41" t="n"/>
      <c r="D256" s="41" t="n"/>
      <c r="E256" s="41" t="n"/>
      <c r="F256" s="41" t="n"/>
      <c r="G256" s="41" t="n"/>
      <c r="H256" s="41" t="n"/>
      <c r="I256" s="41" t="n"/>
      <c r="J256" s="41" t="n"/>
      <c r="K256" s="41" t="n"/>
    </row>
    <row r="257" ht="15.75" customHeight="1" s="60">
      <c r="A257" s="41" t="n"/>
      <c r="B257" s="41" t="n"/>
      <c r="C257" s="41" t="n"/>
      <c r="D257" s="41" t="n"/>
      <c r="E257" s="41" t="n"/>
      <c r="F257" s="41" t="n"/>
      <c r="G257" s="41" t="n"/>
      <c r="H257" s="41" t="n"/>
      <c r="I257" s="41" t="n"/>
      <c r="J257" s="41" t="n"/>
      <c r="K257" s="41" t="n"/>
    </row>
    <row r="258" ht="15.75" customHeight="1" s="60">
      <c r="A258" s="41" t="n"/>
      <c r="B258" s="41" t="n"/>
      <c r="C258" s="41" t="n"/>
      <c r="D258" s="41" t="n"/>
      <c r="E258" s="41" t="n"/>
      <c r="F258" s="41" t="n"/>
      <c r="G258" s="41" t="n"/>
      <c r="H258" s="41" t="n"/>
      <c r="I258" s="41" t="n"/>
      <c r="J258" s="41" t="n"/>
      <c r="K258" s="41" t="n"/>
    </row>
    <row r="259" ht="15.75" customHeight="1" s="60">
      <c r="A259" s="41" t="n"/>
      <c r="B259" s="41" t="n"/>
      <c r="C259" s="41" t="n"/>
      <c r="D259" s="41" t="n"/>
      <c r="E259" s="41" t="n"/>
      <c r="F259" s="41" t="n"/>
      <c r="G259" s="41" t="n"/>
      <c r="H259" s="41" t="n"/>
      <c r="I259" s="41" t="n"/>
      <c r="J259" s="41" t="n"/>
      <c r="K259" s="41" t="n"/>
    </row>
    <row r="260" ht="15.75" customHeight="1" s="60">
      <c r="A260" s="41" t="n"/>
      <c r="B260" s="41" t="n"/>
      <c r="C260" s="41" t="n"/>
      <c r="D260" s="41" t="n"/>
      <c r="E260" s="41" t="n"/>
      <c r="F260" s="41" t="n"/>
      <c r="G260" s="41" t="n"/>
      <c r="H260" s="41" t="n"/>
      <c r="I260" s="41" t="n"/>
      <c r="J260" s="41" t="n"/>
      <c r="K260" s="41" t="n"/>
    </row>
    <row r="261" ht="15.75" customHeight="1" s="60">
      <c r="A261" s="41" t="n"/>
      <c r="B261" s="41" t="n"/>
      <c r="C261" s="41" t="n"/>
      <c r="D261" s="41" t="n"/>
      <c r="E261" s="41" t="n"/>
      <c r="F261" s="41" t="n"/>
      <c r="G261" s="41" t="n"/>
      <c r="H261" s="41" t="n"/>
      <c r="I261" s="41" t="n"/>
      <c r="J261" s="41" t="n"/>
      <c r="K261" s="41" t="n"/>
    </row>
    <row r="262" ht="15.75" customHeight="1" s="60">
      <c r="A262" s="41" t="n"/>
      <c r="B262" s="41" t="n"/>
      <c r="C262" s="41" t="n"/>
      <c r="D262" s="41" t="n"/>
      <c r="E262" s="41" t="n"/>
      <c r="F262" s="41" t="n"/>
      <c r="G262" s="41" t="n"/>
      <c r="H262" s="41" t="n"/>
      <c r="I262" s="41" t="n"/>
      <c r="J262" s="41" t="n"/>
      <c r="K262" s="41" t="n"/>
    </row>
    <row r="263" ht="15.75" customHeight="1" s="60">
      <c r="A263" s="41" t="n"/>
      <c r="B263" s="41" t="n"/>
      <c r="C263" s="41" t="n"/>
      <c r="D263" s="41" t="n"/>
      <c r="E263" s="41" t="n"/>
      <c r="F263" s="41" t="n"/>
      <c r="G263" s="41" t="n"/>
      <c r="H263" s="41" t="n"/>
      <c r="I263" s="41" t="n"/>
      <c r="J263" s="41" t="n"/>
      <c r="K263" s="41" t="n"/>
    </row>
    <row r="264" ht="15.75" customHeight="1" s="60">
      <c r="A264" s="41" t="n"/>
      <c r="B264" s="41" t="n"/>
      <c r="C264" s="41" t="n"/>
      <c r="D264" s="41" t="n"/>
      <c r="E264" s="41" t="n"/>
      <c r="F264" s="41" t="n"/>
      <c r="G264" s="41" t="n"/>
      <c r="H264" s="41" t="n"/>
      <c r="I264" s="41" t="n"/>
      <c r="J264" s="41" t="n"/>
      <c r="K264" s="41" t="n"/>
    </row>
    <row r="265" ht="15.75" customHeight="1" s="60">
      <c r="A265" s="41" t="n"/>
      <c r="B265" s="41" t="n"/>
      <c r="C265" s="41" t="n"/>
      <c r="D265" s="41" t="n"/>
      <c r="E265" s="41" t="n"/>
      <c r="F265" s="41" t="n"/>
      <c r="G265" s="41" t="n"/>
      <c r="H265" s="41" t="n"/>
      <c r="I265" s="41" t="n"/>
      <c r="J265" s="41" t="n"/>
      <c r="K265" s="41" t="n"/>
    </row>
    <row r="266" ht="15.75" customHeight="1" s="60">
      <c r="A266" s="41" t="n"/>
      <c r="B266" s="41" t="n"/>
      <c r="C266" s="41" t="n"/>
      <c r="D266" s="41" t="n"/>
      <c r="E266" s="41" t="n"/>
      <c r="F266" s="41" t="n"/>
      <c r="G266" s="41" t="n"/>
      <c r="H266" s="41" t="n"/>
      <c r="I266" s="41" t="n"/>
      <c r="J266" s="41" t="n"/>
      <c r="K266" s="41" t="n"/>
    </row>
    <row r="267" ht="15.75" customHeight="1" s="60">
      <c r="A267" s="41" t="n"/>
      <c r="B267" s="41" t="n"/>
      <c r="C267" s="41" t="n"/>
      <c r="D267" s="41" t="n"/>
      <c r="E267" s="41" t="n"/>
      <c r="F267" s="41" t="n"/>
      <c r="G267" s="41" t="n"/>
      <c r="H267" s="41" t="n"/>
      <c r="I267" s="41" t="n"/>
      <c r="J267" s="41" t="n"/>
      <c r="K267" s="41" t="n"/>
    </row>
    <row r="268" ht="15.75" customHeight="1" s="60">
      <c r="A268" s="41" t="n"/>
      <c r="B268" s="41" t="n"/>
      <c r="C268" s="41" t="n"/>
      <c r="D268" s="41" t="n"/>
      <c r="E268" s="41" t="n"/>
      <c r="F268" s="41" t="n"/>
      <c r="G268" s="41" t="n"/>
      <c r="H268" s="41" t="n"/>
      <c r="I268" s="41" t="n"/>
      <c r="J268" s="41" t="n"/>
      <c r="K268" s="41" t="n"/>
    </row>
    <row r="269" ht="15.75" customHeight="1" s="60">
      <c r="A269" s="41" t="n"/>
      <c r="B269" s="41" t="n"/>
      <c r="C269" s="41" t="n"/>
      <c r="D269" s="41" t="n"/>
      <c r="E269" s="41" t="n"/>
      <c r="F269" s="41" t="n"/>
      <c r="G269" s="41" t="n"/>
      <c r="H269" s="41" t="n"/>
      <c r="I269" s="41" t="n"/>
      <c r="J269" s="41" t="n"/>
      <c r="K269" s="41" t="n"/>
    </row>
    <row r="270" ht="15.75" customHeight="1" s="60">
      <c r="A270" s="41" t="n"/>
      <c r="B270" s="41" t="n"/>
      <c r="C270" s="41" t="n"/>
      <c r="D270" s="41" t="n"/>
      <c r="E270" s="41" t="n"/>
      <c r="F270" s="41" t="n"/>
      <c r="G270" s="41" t="n"/>
      <c r="H270" s="41" t="n"/>
      <c r="I270" s="41" t="n"/>
      <c r="J270" s="41" t="n"/>
      <c r="K270" s="41" t="n"/>
    </row>
    <row r="271" ht="15.75" customHeight="1" s="60">
      <c r="A271" s="41" t="n"/>
      <c r="B271" s="41" t="n"/>
      <c r="C271" s="41" t="n"/>
      <c r="D271" s="41" t="n"/>
      <c r="E271" s="41" t="n"/>
      <c r="F271" s="41" t="n"/>
      <c r="G271" s="41" t="n"/>
      <c r="H271" s="41" t="n"/>
      <c r="I271" s="41" t="n"/>
      <c r="J271" s="41" t="n"/>
      <c r="K271" s="41" t="n"/>
    </row>
    <row r="272" ht="15.75" customHeight="1" s="60">
      <c r="A272" s="41" t="n"/>
      <c r="B272" s="41" t="n"/>
      <c r="C272" s="41" t="n"/>
      <c r="D272" s="41" t="n"/>
      <c r="E272" s="41" t="n"/>
      <c r="F272" s="41" t="n"/>
      <c r="G272" s="41" t="n"/>
      <c r="H272" s="41" t="n"/>
      <c r="I272" s="41" t="n"/>
      <c r="J272" s="41" t="n"/>
      <c r="K272" s="41" t="n"/>
    </row>
    <row r="273" ht="15.75" customHeight="1" s="60">
      <c r="A273" s="41" t="n"/>
      <c r="B273" s="41" t="n"/>
      <c r="C273" s="41" t="n"/>
      <c r="D273" s="41" t="n"/>
      <c r="E273" s="41" t="n"/>
      <c r="F273" s="41" t="n"/>
      <c r="G273" s="41" t="n"/>
      <c r="H273" s="41" t="n"/>
      <c r="I273" s="41" t="n"/>
      <c r="J273" s="41" t="n"/>
      <c r="K273" s="41" t="n"/>
    </row>
    <row r="274" ht="15.75" customHeight="1" s="60">
      <c r="A274" s="41" t="n"/>
      <c r="B274" s="41" t="n"/>
      <c r="C274" s="41" t="n"/>
      <c r="D274" s="41" t="n"/>
      <c r="E274" s="41" t="n"/>
      <c r="F274" s="41" t="n"/>
      <c r="G274" s="41" t="n"/>
      <c r="H274" s="41" t="n"/>
      <c r="I274" s="41" t="n"/>
      <c r="J274" s="41" t="n"/>
      <c r="K274" s="41" t="n"/>
    </row>
    <row r="275" ht="15.75" customHeight="1" s="60">
      <c r="A275" s="41" t="n"/>
      <c r="B275" s="41" t="n"/>
      <c r="C275" s="41" t="n"/>
      <c r="D275" s="41" t="n"/>
      <c r="E275" s="41" t="n"/>
      <c r="F275" s="41" t="n"/>
      <c r="G275" s="41" t="n"/>
      <c r="H275" s="41" t="n"/>
      <c r="I275" s="41" t="n"/>
      <c r="J275" s="41" t="n"/>
      <c r="K275" s="41" t="n"/>
    </row>
    <row r="276" ht="15.75" customHeight="1" s="60">
      <c r="A276" s="41" t="n"/>
      <c r="B276" s="41" t="n"/>
      <c r="C276" s="41" t="n"/>
      <c r="D276" s="41" t="n"/>
      <c r="E276" s="41" t="n"/>
      <c r="F276" s="41" t="n"/>
      <c r="G276" s="41" t="n"/>
      <c r="H276" s="41" t="n"/>
      <c r="I276" s="41" t="n"/>
      <c r="J276" s="41" t="n"/>
      <c r="K276" s="41" t="n"/>
    </row>
    <row r="277" ht="15.75" customHeight="1" s="60">
      <c r="A277" s="41" t="n"/>
      <c r="B277" s="41" t="n"/>
      <c r="C277" s="41" t="n"/>
      <c r="D277" s="41" t="n"/>
      <c r="E277" s="41" t="n"/>
      <c r="F277" s="41" t="n"/>
      <c r="G277" s="41" t="n"/>
      <c r="H277" s="41" t="n"/>
      <c r="I277" s="41" t="n"/>
      <c r="J277" s="41" t="n"/>
      <c r="K277" s="41" t="n"/>
    </row>
    <row r="278" ht="15.75" customHeight="1" s="60">
      <c r="A278" s="41" t="n"/>
      <c r="B278" s="41" t="n"/>
      <c r="C278" s="41" t="n"/>
      <c r="D278" s="41" t="n"/>
      <c r="E278" s="41" t="n"/>
      <c r="F278" s="41" t="n"/>
      <c r="G278" s="41" t="n"/>
      <c r="H278" s="41" t="n"/>
      <c r="I278" s="41" t="n"/>
      <c r="J278" s="41" t="n"/>
      <c r="K278" s="41" t="n"/>
    </row>
    <row r="279" ht="15.75" customHeight="1" s="60">
      <c r="A279" s="41" t="n"/>
      <c r="B279" s="41" t="n"/>
      <c r="C279" s="41" t="n"/>
      <c r="D279" s="41" t="n"/>
      <c r="E279" s="41" t="n"/>
      <c r="F279" s="41" t="n"/>
      <c r="G279" s="41" t="n"/>
      <c r="H279" s="41" t="n"/>
      <c r="I279" s="41" t="n"/>
      <c r="J279" s="41" t="n"/>
      <c r="K279" s="41" t="n"/>
    </row>
    <row r="280" ht="15.75" customHeight="1" s="60">
      <c r="A280" s="41" t="n"/>
      <c r="B280" s="41" t="n"/>
      <c r="C280" s="41" t="n"/>
      <c r="D280" s="41" t="n"/>
      <c r="E280" s="41" t="n"/>
      <c r="F280" s="41" t="n"/>
      <c r="G280" s="41" t="n"/>
      <c r="H280" s="41" t="n"/>
      <c r="I280" s="41" t="n"/>
      <c r="J280" s="41" t="n"/>
      <c r="K280" s="41" t="n"/>
    </row>
    <row r="281" ht="15.75" customHeight="1" s="60">
      <c r="A281" s="41" t="n"/>
      <c r="B281" s="41" t="n"/>
      <c r="C281" s="41" t="n"/>
      <c r="D281" s="41" t="n"/>
      <c r="E281" s="41" t="n"/>
      <c r="F281" s="41" t="n"/>
      <c r="G281" s="41" t="n"/>
      <c r="H281" s="41" t="n"/>
      <c r="I281" s="41" t="n"/>
      <c r="J281" s="41" t="n"/>
      <c r="K281" s="41" t="n"/>
    </row>
    <row r="282" ht="15.75" customHeight="1" s="60">
      <c r="A282" s="41" t="n"/>
      <c r="B282" s="41" t="n"/>
      <c r="C282" s="41" t="n"/>
      <c r="D282" s="41" t="n"/>
      <c r="E282" s="41" t="n"/>
      <c r="F282" s="41" t="n"/>
      <c r="G282" s="41" t="n"/>
      <c r="H282" s="41" t="n"/>
      <c r="I282" s="41" t="n"/>
      <c r="J282" s="41" t="n"/>
      <c r="K282" s="41" t="n"/>
    </row>
    <row r="283" ht="15.75" customHeight="1" s="60">
      <c r="A283" s="41" t="n"/>
      <c r="B283" s="41" t="n"/>
      <c r="C283" s="41" t="n"/>
      <c r="D283" s="41" t="n"/>
      <c r="E283" s="41" t="n"/>
      <c r="F283" s="41" t="n"/>
      <c r="G283" s="41" t="n"/>
      <c r="H283" s="41" t="n"/>
      <c r="I283" s="41" t="n"/>
      <c r="J283" s="41" t="n"/>
      <c r="K283" s="41" t="n"/>
    </row>
    <row r="284" ht="15.75" customHeight="1" s="60">
      <c r="A284" s="41" t="n"/>
      <c r="B284" s="41" t="n"/>
      <c r="C284" s="41" t="n"/>
      <c r="D284" s="41" t="n"/>
      <c r="E284" s="41" t="n"/>
      <c r="F284" s="41" t="n"/>
      <c r="G284" s="41" t="n"/>
      <c r="H284" s="41" t="n"/>
      <c r="I284" s="41" t="n"/>
      <c r="J284" s="41" t="n"/>
      <c r="K284" s="41" t="n"/>
    </row>
    <row r="285" ht="15.75" customHeight="1" s="60">
      <c r="A285" s="41" t="n"/>
      <c r="B285" s="41" t="n"/>
      <c r="C285" s="41" t="n"/>
      <c r="D285" s="41" t="n"/>
      <c r="E285" s="41" t="n"/>
      <c r="F285" s="41" t="n"/>
      <c r="G285" s="41" t="n"/>
      <c r="H285" s="41" t="n"/>
      <c r="I285" s="41" t="n"/>
      <c r="J285" s="41" t="n"/>
      <c r="K285" s="41" t="n"/>
    </row>
    <row r="286" ht="15.75" customHeight="1" s="60">
      <c r="A286" s="41" t="n"/>
      <c r="B286" s="41" t="n"/>
      <c r="C286" s="41" t="n"/>
      <c r="D286" s="41" t="n"/>
      <c r="E286" s="41" t="n"/>
      <c r="F286" s="41" t="n"/>
      <c r="G286" s="41" t="n"/>
      <c r="H286" s="41" t="n"/>
      <c r="I286" s="41" t="n"/>
      <c r="J286" s="41" t="n"/>
      <c r="K286" s="41" t="n"/>
    </row>
    <row r="287" ht="15.75" customHeight="1" s="60">
      <c r="A287" s="41" t="n"/>
      <c r="B287" s="41" t="n"/>
      <c r="C287" s="41" t="n"/>
      <c r="D287" s="41" t="n"/>
      <c r="E287" s="41" t="n"/>
      <c r="F287" s="41" t="n"/>
      <c r="G287" s="41" t="n"/>
      <c r="H287" s="41" t="n"/>
      <c r="I287" s="41" t="n"/>
      <c r="J287" s="41" t="n"/>
      <c r="K287" s="41" t="n"/>
    </row>
    <row r="288" ht="15.75" customHeight="1" s="60">
      <c r="A288" s="41" t="n"/>
      <c r="B288" s="41" t="n"/>
      <c r="C288" s="41" t="n"/>
      <c r="D288" s="41" t="n"/>
      <c r="E288" s="41" t="n"/>
      <c r="F288" s="41" t="n"/>
      <c r="G288" s="41" t="n"/>
      <c r="H288" s="41" t="n"/>
      <c r="I288" s="41" t="n"/>
      <c r="J288" s="41" t="n"/>
      <c r="K288" s="41" t="n"/>
    </row>
    <row r="289" ht="15.75" customHeight="1" s="60">
      <c r="A289" s="41" t="n"/>
      <c r="B289" s="41" t="n"/>
      <c r="C289" s="41" t="n"/>
      <c r="D289" s="41" t="n"/>
      <c r="E289" s="41" t="n"/>
      <c r="F289" s="41" t="n"/>
      <c r="G289" s="41" t="n"/>
      <c r="H289" s="41" t="n"/>
      <c r="I289" s="41" t="n"/>
      <c r="J289" s="41" t="n"/>
      <c r="K289" s="41" t="n"/>
    </row>
    <row r="290" ht="15.75" customHeight="1" s="60">
      <c r="A290" s="41" t="n"/>
      <c r="B290" s="41" t="n"/>
      <c r="C290" s="41" t="n"/>
      <c r="D290" s="41" t="n"/>
      <c r="E290" s="41" t="n"/>
      <c r="F290" s="41" t="n"/>
      <c r="G290" s="41" t="n"/>
      <c r="H290" s="41" t="n"/>
      <c r="I290" s="41" t="n"/>
      <c r="J290" s="41" t="n"/>
      <c r="K290" s="41" t="n"/>
    </row>
    <row r="291" ht="15.75" customHeight="1" s="60">
      <c r="A291" s="41" t="n"/>
      <c r="B291" s="41" t="n"/>
      <c r="C291" s="41" t="n"/>
      <c r="D291" s="41" t="n"/>
      <c r="E291" s="41" t="n"/>
      <c r="F291" s="41" t="n"/>
      <c r="G291" s="41" t="n"/>
      <c r="H291" s="41" t="n"/>
      <c r="I291" s="41" t="n"/>
      <c r="J291" s="41" t="n"/>
      <c r="K291" s="41" t="n"/>
    </row>
    <row r="292" ht="15.75" customHeight="1" s="60">
      <c r="A292" s="41" t="n"/>
      <c r="B292" s="41" t="n"/>
      <c r="C292" s="41" t="n"/>
      <c r="D292" s="41" t="n"/>
      <c r="E292" s="41" t="n"/>
      <c r="F292" s="41" t="n"/>
      <c r="G292" s="41" t="n"/>
      <c r="H292" s="41" t="n"/>
      <c r="I292" s="41" t="n"/>
      <c r="J292" s="41" t="n"/>
      <c r="K292" s="41" t="n"/>
    </row>
    <row r="293" ht="15.75" customHeight="1" s="60">
      <c r="A293" s="41" t="n"/>
      <c r="B293" s="41" t="n"/>
      <c r="C293" s="41" t="n"/>
      <c r="D293" s="41" t="n"/>
      <c r="E293" s="41" t="n"/>
      <c r="F293" s="41" t="n"/>
      <c r="G293" s="41" t="n"/>
      <c r="H293" s="41" t="n"/>
      <c r="I293" s="41" t="n"/>
      <c r="J293" s="41" t="n"/>
      <c r="K293" s="41" t="n"/>
    </row>
    <row r="294" ht="15.75" customHeight="1" s="60">
      <c r="A294" s="41" t="n"/>
      <c r="B294" s="41" t="n"/>
      <c r="C294" s="41" t="n"/>
      <c r="D294" s="41" t="n"/>
      <c r="E294" s="41" t="n"/>
      <c r="F294" s="41" t="n"/>
      <c r="G294" s="41" t="n"/>
      <c r="H294" s="41" t="n"/>
      <c r="I294" s="41" t="n"/>
      <c r="J294" s="41" t="n"/>
      <c r="K294" s="41" t="n"/>
    </row>
    <row r="295" ht="15.75" customHeight="1" s="60">
      <c r="A295" s="41" t="n"/>
      <c r="B295" s="41" t="n"/>
      <c r="C295" s="41" t="n"/>
      <c r="D295" s="41" t="n"/>
      <c r="E295" s="41" t="n"/>
      <c r="F295" s="41" t="n"/>
      <c r="G295" s="41" t="n"/>
      <c r="H295" s="41" t="n"/>
      <c r="I295" s="41" t="n"/>
      <c r="J295" s="41" t="n"/>
      <c r="K295" s="41" t="n"/>
    </row>
    <row r="296" ht="15.75" customHeight="1" s="60">
      <c r="A296" s="41" t="n"/>
      <c r="B296" s="41" t="n"/>
      <c r="C296" s="41" t="n"/>
      <c r="D296" s="41" t="n"/>
      <c r="E296" s="41" t="n"/>
      <c r="F296" s="41" t="n"/>
      <c r="G296" s="41" t="n"/>
      <c r="H296" s="41" t="n"/>
      <c r="I296" s="41" t="n"/>
      <c r="J296" s="41" t="n"/>
      <c r="K296" s="41" t="n"/>
    </row>
    <row r="297" ht="15.75" customHeight="1" s="60">
      <c r="A297" s="41" t="n"/>
      <c r="B297" s="41" t="n"/>
      <c r="C297" s="41" t="n"/>
      <c r="D297" s="41" t="n"/>
      <c r="E297" s="41" t="n"/>
      <c r="F297" s="41" t="n"/>
      <c r="G297" s="41" t="n"/>
      <c r="H297" s="41" t="n"/>
      <c r="I297" s="41" t="n"/>
      <c r="J297" s="41" t="n"/>
      <c r="K297" s="41" t="n"/>
    </row>
    <row r="298" ht="15.75" customHeight="1" s="60">
      <c r="A298" s="41" t="n"/>
      <c r="B298" s="41" t="n"/>
      <c r="C298" s="41" t="n"/>
      <c r="D298" s="41" t="n"/>
      <c r="E298" s="41" t="n"/>
      <c r="F298" s="41" t="n"/>
      <c r="G298" s="41" t="n"/>
      <c r="H298" s="41" t="n"/>
      <c r="I298" s="41" t="n"/>
      <c r="J298" s="41" t="n"/>
      <c r="K298" s="41" t="n"/>
    </row>
    <row r="299" ht="15.75" customHeight="1" s="60">
      <c r="A299" s="41" t="n"/>
      <c r="B299" s="41" t="n"/>
      <c r="C299" s="41" t="n"/>
      <c r="D299" s="41" t="n"/>
      <c r="E299" s="41" t="n"/>
      <c r="F299" s="41" t="n"/>
      <c r="G299" s="41" t="n"/>
      <c r="H299" s="41" t="n"/>
      <c r="I299" s="41" t="n"/>
      <c r="J299" s="41" t="n"/>
      <c r="K299" s="41" t="n"/>
    </row>
    <row r="300" ht="15.75" customHeight="1" s="60">
      <c r="A300" s="41" t="n"/>
      <c r="B300" s="41" t="n"/>
      <c r="C300" s="41" t="n"/>
      <c r="D300" s="41" t="n"/>
      <c r="E300" s="41" t="n"/>
      <c r="F300" s="41" t="n"/>
      <c r="G300" s="41" t="n"/>
      <c r="H300" s="41" t="n"/>
      <c r="I300" s="41" t="n"/>
      <c r="J300" s="41" t="n"/>
      <c r="K300" s="41" t="n"/>
    </row>
    <row r="301" ht="15.75" customHeight="1" s="60">
      <c r="A301" s="41" t="n"/>
      <c r="B301" s="41" t="n"/>
      <c r="C301" s="41" t="n"/>
      <c r="D301" s="41" t="n"/>
      <c r="E301" s="41" t="n"/>
      <c r="F301" s="41" t="n"/>
      <c r="G301" s="41" t="n"/>
      <c r="H301" s="41" t="n"/>
      <c r="I301" s="41" t="n"/>
      <c r="J301" s="41" t="n"/>
      <c r="K301" s="41" t="n"/>
    </row>
    <row r="302" ht="15.75" customHeight="1" s="60">
      <c r="A302" s="41" t="n"/>
      <c r="B302" s="41" t="n"/>
      <c r="C302" s="41" t="n"/>
      <c r="D302" s="41" t="n"/>
      <c r="E302" s="41" t="n"/>
      <c r="F302" s="41" t="n"/>
      <c r="G302" s="41" t="n"/>
      <c r="H302" s="41" t="n"/>
      <c r="I302" s="41" t="n"/>
      <c r="J302" s="41" t="n"/>
      <c r="K302" s="41" t="n"/>
    </row>
    <row r="303" ht="15.75" customHeight="1" s="60">
      <c r="A303" s="41" t="n"/>
      <c r="B303" s="41" t="n"/>
      <c r="C303" s="41" t="n"/>
      <c r="D303" s="41" t="n"/>
      <c r="E303" s="41" t="n"/>
      <c r="F303" s="41" t="n"/>
      <c r="G303" s="41" t="n"/>
      <c r="H303" s="41" t="n"/>
      <c r="I303" s="41" t="n"/>
      <c r="J303" s="41" t="n"/>
      <c r="K303" s="41" t="n"/>
    </row>
    <row r="304" ht="15.75" customHeight="1" s="60">
      <c r="A304" s="41" t="n"/>
      <c r="B304" s="41" t="n"/>
      <c r="C304" s="41" t="n"/>
      <c r="D304" s="41" t="n"/>
      <c r="E304" s="41" t="n"/>
      <c r="F304" s="41" t="n"/>
      <c r="G304" s="41" t="n"/>
      <c r="H304" s="41" t="n"/>
      <c r="I304" s="41" t="n"/>
      <c r="J304" s="41" t="n"/>
      <c r="K304" s="41" t="n"/>
    </row>
    <row r="305" ht="15.75" customHeight="1" s="60">
      <c r="A305" s="41" t="n"/>
      <c r="B305" s="41" t="n"/>
      <c r="C305" s="41" t="n"/>
      <c r="D305" s="41" t="n"/>
      <c r="E305" s="41" t="n"/>
      <c r="F305" s="41" t="n"/>
      <c r="G305" s="41" t="n"/>
      <c r="H305" s="41" t="n"/>
      <c r="I305" s="41" t="n"/>
      <c r="J305" s="41" t="n"/>
      <c r="K305" s="41" t="n"/>
    </row>
    <row r="306" ht="15.75" customHeight="1" s="60">
      <c r="A306" s="41" t="n"/>
      <c r="B306" s="41" t="n"/>
      <c r="C306" s="41" t="n"/>
      <c r="D306" s="41" t="n"/>
      <c r="E306" s="41" t="n"/>
      <c r="F306" s="41" t="n"/>
      <c r="G306" s="41" t="n"/>
      <c r="H306" s="41" t="n"/>
      <c r="I306" s="41" t="n"/>
      <c r="J306" s="41" t="n"/>
      <c r="K306" s="41" t="n"/>
    </row>
    <row r="307" ht="15.75" customHeight="1" s="60">
      <c r="A307" s="41" t="n"/>
      <c r="B307" s="41" t="n"/>
      <c r="C307" s="41" t="n"/>
      <c r="D307" s="41" t="n"/>
      <c r="E307" s="41" t="n"/>
      <c r="F307" s="41" t="n"/>
      <c r="G307" s="41" t="n"/>
      <c r="H307" s="41" t="n"/>
      <c r="I307" s="41" t="n"/>
      <c r="J307" s="41" t="n"/>
      <c r="K307" s="41" t="n"/>
    </row>
    <row r="308" ht="15.75" customHeight="1" s="60">
      <c r="A308" s="41" t="n"/>
      <c r="B308" s="41" t="n"/>
      <c r="C308" s="41" t="n"/>
      <c r="D308" s="41" t="n"/>
      <c r="E308" s="41" t="n"/>
      <c r="F308" s="41" t="n"/>
      <c r="G308" s="41" t="n"/>
      <c r="H308" s="41" t="n"/>
      <c r="I308" s="41" t="n"/>
      <c r="J308" s="41" t="n"/>
      <c r="K308" s="41" t="n"/>
    </row>
    <row r="309" ht="15.75" customHeight="1" s="60">
      <c r="A309" s="41" t="n"/>
      <c r="B309" s="41" t="n"/>
      <c r="C309" s="41" t="n"/>
      <c r="D309" s="41" t="n"/>
      <c r="E309" s="41" t="n"/>
      <c r="F309" s="41" t="n"/>
      <c r="G309" s="41" t="n"/>
      <c r="H309" s="41" t="n"/>
      <c r="I309" s="41" t="n"/>
      <c r="J309" s="41" t="n"/>
      <c r="K309" s="41" t="n"/>
    </row>
    <row r="310" ht="15.75" customHeight="1" s="60">
      <c r="A310" s="41" t="n"/>
      <c r="B310" s="41" t="n"/>
      <c r="C310" s="41" t="n"/>
      <c r="D310" s="41" t="n"/>
      <c r="E310" s="41" t="n"/>
      <c r="F310" s="41" t="n"/>
      <c r="G310" s="41" t="n"/>
      <c r="H310" s="41" t="n"/>
      <c r="I310" s="41" t="n"/>
      <c r="J310" s="41" t="n"/>
      <c r="K310" s="41" t="n"/>
    </row>
    <row r="311" ht="15.75" customHeight="1" s="60">
      <c r="A311" s="41" t="n"/>
      <c r="B311" s="41" t="n"/>
      <c r="C311" s="41" t="n"/>
      <c r="D311" s="41" t="n"/>
      <c r="E311" s="41" t="n"/>
      <c r="F311" s="41" t="n"/>
      <c r="G311" s="41" t="n"/>
      <c r="H311" s="41" t="n"/>
      <c r="I311" s="41" t="n"/>
      <c r="J311" s="41" t="n"/>
      <c r="K311" s="41" t="n"/>
    </row>
    <row r="312" ht="15.75" customHeight="1" s="60">
      <c r="A312" s="41" t="n"/>
      <c r="B312" s="41" t="n"/>
      <c r="C312" s="41" t="n"/>
      <c r="D312" s="41" t="n"/>
      <c r="E312" s="41" t="n"/>
      <c r="F312" s="41" t="n"/>
      <c r="G312" s="41" t="n"/>
      <c r="H312" s="41" t="n"/>
      <c r="I312" s="41" t="n"/>
      <c r="J312" s="41" t="n"/>
      <c r="K312" s="41" t="n"/>
    </row>
    <row r="313" ht="15.75" customHeight="1" s="60">
      <c r="A313" s="41" t="n"/>
      <c r="B313" s="41" t="n"/>
      <c r="C313" s="41" t="n"/>
      <c r="D313" s="41" t="n"/>
      <c r="E313" s="41" t="n"/>
      <c r="F313" s="41" t="n"/>
      <c r="G313" s="41" t="n"/>
      <c r="H313" s="41" t="n"/>
      <c r="I313" s="41" t="n"/>
      <c r="J313" s="41" t="n"/>
      <c r="K313" s="41" t="n"/>
    </row>
    <row r="314" ht="15.75" customHeight="1" s="60">
      <c r="A314" s="41" t="n"/>
      <c r="B314" s="41" t="n"/>
      <c r="C314" s="41" t="n"/>
      <c r="D314" s="41" t="n"/>
      <c r="E314" s="41" t="n"/>
      <c r="F314" s="41" t="n"/>
      <c r="G314" s="41" t="n"/>
      <c r="H314" s="41" t="n"/>
      <c r="I314" s="41" t="n"/>
      <c r="J314" s="41" t="n"/>
      <c r="K314" s="41" t="n"/>
    </row>
    <row r="315" ht="15.75" customHeight="1" s="60">
      <c r="A315" s="41" t="n"/>
      <c r="B315" s="41" t="n"/>
      <c r="C315" s="41" t="n"/>
      <c r="D315" s="41" t="n"/>
      <c r="E315" s="41" t="n"/>
      <c r="F315" s="41" t="n"/>
      <c r="G315" s="41" t="n"/>
      <c r="H315" s="41" t="n"/>
      <c r="I315" s="41" t="n"/>
      <c r="J315" s="41" t="n"/>
      <c r="K315" s="41" t="n"/>
    </row>
    <row r="316" ht="15.75" customHeight="1" s="60">
      <c r="A316" s="41" t="n"/>
      <c r="B316" s="41" t="n"/>
      <c r="C316" s="41" t="n"/>
      <c r="D316" s="41" t="n"/>
      <c r="E316" s="41" t="n"/>
      <c r="F316" s="41" t="n"/>
      <c r="G316" s="41" t="n"/>
      <c r="H316" s="41" t="n"/>
      <c r="I316" s="41" t="n"/>
      <c r="J316" s="41" t="n"/>
      <c r="K316" s="41" t="n"/>
    </row>
    <row r="317" ht="15.75" customHeight="1" s="60">
      <c r="A317" s="41" t="n"/>
      <c r="B317" s="41" t="n"/>
      <c r="C317" s="41" t="n"/>
      <c r="D317" s="41" t="n"/>
      <c r="E317" s="41" t="n"/>
      <c r="F317" s="41" t="n"/>
      <c r="G317" s="41" t="n"/>
      <c r="H317" s="41" t="n"/>
      <c r="I317" s="41" t="n"/>
      <c r="J317" s="41" t="n"/>
      <c r="K317" s="41" t="n"/>
    </row>
    <row r="318" ht="15.75" customHeight="1" s="60">
      <c r="A318" s="41" t="n"/>
      <c r="B318" s="41" t="n"/>
      <c r="C318" s="41" t="n"/>
      <c r="D318" s="41" t="n"/>
      <c r="E318" s="41" t="n"/>
      <c r="F318" s="41" t="n"/>
      <c r="G318" s="41" t="n"/>
      <c r="H318" s="41" t="n"/>
      <c r="I318" s="41" t="n"/>
      <c r="J318" s="41" t="n"/>
      <c r="K318" s="41" t="n"/>
    </row>
    <row r="319" ht="15.75" customHeight="1" s="60">
      <c r="A319" s="41" t="n"/>
      <c r="B319" s="41" t="n"/>
      <c r="C319" s="41" t="n"/>
      <c r="D319" s="41" t="n"/>
      <c r="E319" s="41" t="n"/>
      <c r="F319" s="41" t="n"/>
      <c r="G319" s="41" t="n"/>
      <c r="H319" s="41" t="n"/>
      <c r="I319" s="41" t="n"/>
      <c r="J319" s="41" t="n"/>
      <c r="K319" s="41" t="n"/>
    </row>
    <row r="320" ht="15.75" customHeight="1" s="60">
      <c r="A320" s="41" t="n"/>
      <c r="B320" s="41" t="n"/>
      <c r="C320" s="41" t="n"/>
      <c r="D320" s="41" t="n"/>
      <c r="E320" s="41" t="n"/>
      <c r="F320" s="41" t="n"/>
      <c r="G320" s="41" t="n"/>
      <c r="H320" s="41" t="n"/>
      <c r="I320" s="41" t="n"/>
      <c r="J320" s="41" t="n"/>
      <c r="K320" s="41" t="n"/>
    </row>
    <row r="321" ht="15.75" customHeight="1" s="60">
      <c r="A321" s="41" t="n"/>
      <c r="B321" s="41" t="n"/>
      <c r="C321" s="41" t="n"/>
      <c r="D321" s="41" t="n"/>
      <c r="E321" s="41" t="n"/>
      <c r="F321" s="41" t="n"/>
      <c r="G321" s="41" t="n"/>
      <c r="H321" s="41" t="n"/>
      <c r="I321" s="41" t="n"/>
      <c r="J321" s="41" t="n"/>
      <c r="K321" s="41" t="n"/>
    </row>
    <row r="322" ht="15.75" customHeight="1" s="60">
      <c r="A322" s="41" t="n"/>
      <c r="B322" s="41" t="n"/>
      <c r="C322" s="41" t="n"/>
      <c r="D322" s="41" t="n"/>
      <c r="E322" s="41" t="n"/>
      <c r="F322" s="41" t="n"/>
      <c r="G322" s="41" t="n"/>
      <c r="H322" s="41" t="n"/>
      <c r="I322" s="41" t="n"/>
      <c r="J322" s="41" t="n"/>
      <c r="K322" s="41" t="n"/>
    </row>
    <row r="323" ht="15.75" customHeight="1" s="60">
      <c r="A323" s="41" t="n"/>
      <c r="B323" s="41" t="n"/>
      <c r="C323" s="41" t="n"/>
      <c r="D323" s="41" t="n"/>
      <c r="E323" s="41" t="n"/>
      <c r="F323" s="41" t="n"/>
      <c r="G323" s="41" t="n"/>
      <c r="H323" s="41" t="n"/>
      <c r="I323" s="41" t="n"/>
      <c r="J323" s="41" t="n"/>
      <c r="K323" s="41" t="n"/>
    </row>
    <row r="324" ht="15.75" customHeight="1" s="60">
      <c r="A324" s="41" t="n"/>
      <c r="B324" s="41" t="n"/>
      <c r="C324" s="41" t="n"/>
      <c r="D324" s="41" t="n"/>
      <c r="E324" s="41" t="n"/>
      <c r="F324" s="41" t="n"/>
      <c r="G324" s="41" t="n"/>
      <c r="H324" s="41" t="n"/>
      <c r="I324" s="41" t="n"/>
      <c r="J324" s="41" t="n"/>
      <c r="K324" s="41" t="n"/>
    </row>
    <row r="325" ht="15.75" customHeight="1" s="60">
      <c r="A325" s="41" t="n"/>
      <c r="B325" s="41" t="n"/>
      <c r="C325" s="41" t="n"/>
      <c r="D325" s="41" t="n"/>
      <c r="E325" s="41" t="n"/>
      <c r="F325" s="41" t="n"/>
      <c r="G325" s="41" t="n"/>
      <c r="H325" s="41" t="n"/>
      <c r="I325" s="41" t="n"/>
      <c r="J325" s="41" t="n"/>
      <c r="K325" s="41" t="n"/>
    </row>
    <row r="326" ht="15.75" customHeight="1" s="60">
      <c r="A326" s="41" t="n"/>
      <c r="B326" s="41" t="n"/>
      <c r="C326" s="41" t="n"/>
      <c r="D326" s="41" t="n"/>
      <c r="E326" s="41" t="n"/>
      <c r="F326" s="41" t="n"/>
      <c r="G326" s="41" t="n"/>
      <c r="H326" s="41" t="n"/>
      <c r="I326" s="41" t="n"/>
      <c r="J326" s="41" t="n"/>
      <c r="K326" s="41" t="n"/>
    </row>
    <row r="327" ht="15.75" customHeight="1" s="60">
      <c r="A327" s="41" t="n"/>
      <c r="B327" s="41" t="n"/>
      <c r="C327" s="41" t="n"/>
      <c r="D327" s="41" t="n"/>
      <c r="E327" s="41" t="n"/>
      <c r="F327" s="41" t="n"/>
      <c r="G327" s="41" t="n"/>
      <c r="H327" s="41" t="n"/>
      <c r="I327" s="41" t="n"/>
      <c r="J327" s="41" t="n"/>
      <c r="K327" s="41" t="n"/>
    </row>
    <row r="328" ht="15.75" customHeight="1" s="60">
      <c r="A328" s="41" t="n"/>
      <c r="B328" s="41" t="n"/>
      <c r="C328" s="41" t="n"/>
      <c r="D328" s="41" t="n"/>
      <c r="E328" s="41" t="n"/>
      <c r="F328" s="41" t="n"/>
      <c r="G328" s="41" t="n"/>
      <c r="H328" s="41" t="n"/>
      <c r="I328" s="41" t="n"/>
      <c r="J328" s="41" t="n"/>
      <c r="K328" s="41" t="n"/>
    </row>
    <row r="329" ht="15.75" customHeight="1" s="60">
      <c r="A329" s="41" t="n"/>
      <c r="B329" s="41" t="n"/>
      <c r="C329" s="41" t="n"/>
      <c r="D329" s="41" t="n"/>
      <c r="E329" s="41" t="n"/>
      <c r="F329" s="41" t="n"/>
      <c r="G329" s="41" t="n"/>
      <c r="H329" s="41" t="n"/>
      <c r="I329" s="41" t="n"/>
      <c r="J329" s="41" t="n"/>
      <c r="K329" s="41" t="n"/>
    </row>
    <row r="330" ht="15.75" customHeight="1" s="60">
      <c r="A330" s="41" t="n"/>
      <c r="B330" s="41" t="n"/>
      <c r="C330" s="41" t="n"/>
      <c r="D330" s="41" t="n"/>
      <c r="E330" s="41" t="n"/>
      <c r="F330" s="41" t="n"/>
      <c r="G330" s="41" t="n"/>
      <c r="H330" s="41" t="n"/>
      <c r="I330" s="41" t="n"/>
      <c r="J330" s="41" t="n"/>
      <c r="K330" s="41" t="n"/>
    </row>
    <row r="331" ht="15.75" customHeight="1" s="60">
      <c r="A331" s="41" t="n"/>
      <c r="B331" s="41" t="n"/>
      <c r="C331" s="41" t="n"/>
      <c r="D331" s="41" t="n"/>
      <c r="E331" s="41" t="n"/>
      <c r="F331" s="41" t="n"/>
      <c r="G331" s="41" t="n"/>
      <c r="H331" s="41" t="n"/>
      <c r="I331" s="41" t="n"/>
      <c r="J331" s="41" t="n"/>
      <c r="K331" s="41" t="n"/>
    </row>
    <row r="332" ht="15.75" customHeight="1" s="60">
      <c r="A332" s="41" t="n"/>
      <c r="B332" s="41" t="n"/>
      <c r="C332" s="41" t="n"/>
      <c r="D332" s="41" t="n"/>
      <c r="E332" s="41" t="n"/>
      <c r="F332" s="41" t="n"/>
      <c r="G332" s="41" t="n"/>
      <c r="H332" s="41" t="n"/>
      <c r="I332" s="41" t="n"/>
      <c r="J332" s="41" t="n"/>
      <c r="K332" s="41" t="n"/>
    </row>
    <row r="333" ht="15.75" customHeight="1" s="60">
      <c r="A333" s="41" t="n"/>
      <c r="B333" s="41" t="n"/>
      <c r="C333" s="41" t="n"/>
      <c r="D333" s="41" t="n"/>
      <c r="E333" s="41" t="n"/>
      <c r="F333" s="41" t="n"/>
      <c r="G333" s="41" t="n"/>
      <c r="H333" s="41" t="n"/>
      <c r="I333" s="41" t="n"/>
      <c r="J333" s="41" t="n"/>
      <c r="K333" s="41" t="n"/>
    </row>
    <row r="334" ht="15.75" customHeight="1" s="60">
      <c r="A334" s="41" t="n"/>
      <c r="B334" s="41" t="n"/>
      <c r="C334" s="41" t="n"/>
      <c r="D334" s="41" t="n"/>
      <c r="E334" s="41" t="n"/>
      <c r="F334" s="41" t="n"/>
      <c r="G334" s="41" t="n"/>
      <c r="H334" s="41" t="n"/>
      <c r="I334" s="41" t="n"/>
      <c r="J334" s="41" t="n"/>
      <c r="K334" s="41" t="n"/>
    </row>
    <row r="335" ht="15.75" customHeight="1" s="60">
      <c r="A335" s="41" t="n"/>
      <c r="B335" s="41" t="n"/>
      <c r="C335" s="41" t="n"/>
      <c r="D335" s="41" t="n"/>
      <c r="E335" s="41" t="n"/>
      <c r="F335" s="41" t="n"/>
      <c r="G335" s="41" t="n"/>
      <c r="H335" s="41" t="n"/>
      <c r="I335" s="41" t="n"/>
      <c r="J335" s="41" t="n"/>
      <c r="K335" s="41" t="n"/>
    </row>
    <row r="336" ht="15.75" customHeight="1" s="60">
      <c r="A336" s="41" t="n"/>
      <c r="B336" s="41" t="n"/>
      <c r="C336" s="41" t="n"/>
      <c r="D336" s="41" t="n"/>
      <c r="E336" s="41" t="n"/>
      <c r="F336" s="41" t="n"/>
      <c r="G336" s="41" t="n"/>
      <c r="H336" s="41" t="n"/>
      <c r="I336" s="41" t="n"/>
      <c r="J336" s="41" t="n"/>
      <c r="K336" s="41" t="n"/>
    </row>
    <row r="337" ht="15.75" customHeight="1" s="60">
      <c r="A337" s="41" t="n"/>
      <c r="B337" s="41" t="n"/>
      <c r="C337" s="41" t="n"/>
      <c r="D337" s="41" t="n"/>
      <c r="E337" s="41" t="n"/>
      <c r="F337" s="41" t="n"/>
      <c r="G337" s="41" t="n"/>
      <c r="H337" s="41" t="n"/>
      <c r="I337" s="41" t="n"/>
      <c r="J337" s="41" t="n"/>
      <c r="K337" s="41" t="n"/>
    </row>
    <row r="338" ht="15.75" customHeight="1" s="60">
      <c r="A338" s="41" t="n"/>
      <c r="B338" s="41" t="n"/>
      <c r="C338" s="41" t="n"/>
      <c r="D338" s="41" t="n"/>
      <c r="E338" s="41" t="n"/>
      <c r="F338" s="41" t="n"/>
      <c r="G338" s="41" t="n"/>
      <c r="H338" s="41" t="n"/>
      <c r="I338" s="41" t="n"/>
      <c r="J338" s="41" t="n"/>
      <c r="K338" s="41" t="n"/>
    </row>
    <row r="339" ht="15.75" customHeight="1" s="60">
      <c r="A339" s="41" t="n"/>
      <c r="B339" s="41" t="n"/>
      <c r="C339" s="41" t="n"/>
      <c r="D339" s="41" t="n"/>
      <c r="E339" s="41" t="n"/>
      <c r="F339" s="41" t="n"/>
      <c r="G339" s="41" t="n"/>
      <c r="H339" s="41" t="n"/>
      <c r="I339" s="41" t="n"/>
      <c r="J339" s="41" t="n"/>
      <c r="K339" s="41" t="n"/>
    </row>
    <row r="340" ht="15.75" customHeight="1" s="60">
      <c r="A340" s="41" t="n"/>
      <c r="B340" s="41" t="n"/>
      <c r="C340" s="41" t="n"/>
      <c r="D340" s="41" t="n"/>
      <c r="E340" s="41" t="n"/>
      <c r="F340" s="41" t="n"/>
      <c r="G340" s="41" t="n"/>
      <c r="H340" s="41" t="n"/>
      <c r="I340" s="41" t="n"/>
      <c r="J340" s="41" t="n"/>
      <c r="K340" s="41" t="n"/>
    </row>
    <row r="341" ht="15.75" customHeight="1" s="60">
      <c r="A341" s="41" t="n"/>
      <c r="B341" s="41" t="n"/>
      <c r="C341" s="41" t="n"/>
      <c r="D341" s="41" t="n"/>
      <c r="E341" s="41" t="n"/>
      <c r="F341" s="41" t="n"/>
      <c r="G341" s="41" t="n"/>
      <c r="H341" s="41" t="n"/>
      <c r="I341" s="41" t="n"/>
      <c r="J341" s="41" t="n"/>
      <c r="K341" s="41" t="n"/>
    </row>
    <row r="342" ht="15.75" customHeight="1" s="60">
      <c r="A342" s="41" t="n"/>
      <c r="B342" s="41" t="n"/>
      <c r="C342" s="41" t="n"/>
      <c r="D342" s="41" t="n"/>
      <c r="E342" s="41" t="n"/>
      <c r="F342" s="41" t="n"/>
      <c r="G342" s="41" t="n"/>
      <c r="H342" s="41" t="n"/>
      <c r="I342" s="41" t="n"/>
      <c r="J342" s="41" t="n"/>
      <c r="K342" s="41" t="n"/>
    </row>
    <row r="343" ht="15.75" customHeight="1" s="60">
      <c r="A343" s="41" t="n"/>
      <c r="B343" s="41" t="n"/>
      <c r="C343" s="41" t="n"/>
      <c r="D343" s="41" t="n"/>
      <c r="E343" s="41" t="n"/>
      <c r="F343" s="41" t="n"/>
      <c r="G343" s="41" t="n"/>
      <c r="H343" s="41" t="n"/>
      <c r="I343" s="41" t="n"/>
      <c r="J343" s="41" t="n"/>
      <c r="K343" s="41" t="n"/>
    </row>
    <row r="344" ht="15.75" customHeight="1" s="60">
      <c r="A344" s="41" t="n"/>
      <c r="B344" s="41" t="n"/>
      <c r="C344" s="41" t="n"/>
      <c r="D344" s="41" t="n"/>
      <c r="E344" s="41" t="n"/>
      <c r="F344" s="41" t="n"/>
      <c r="G344" s="41" t="n"/>
      <c r="H344" s="41" t="n"/>
      <c r="I344" s="41" t="n"/>
      <c r="J344" s="41" t="n"/>
      <c r="K344" s="41" t="n"/>
    </row>
    <row r="345" ht="15.75" customHeight="1" s="60">
      <c r="A345" s="41" t="n"/>
      <c r="B345" s="41" t="n"/>
      <c r="C345" s="41" t="n"/>
      <c r="D345" s="41" t="n"/>
      <c r="E345" s="41" t="n"/>
      <c r="F345" s="41" t="n"/>
      <c r="G345" s="41" t="n"/>
      <c r="H345" s="41" t="n"/>
      <c r="I345" s="41" t="n"/>
      <c r="J345" s="41" t="n"/>
      <c r="K345" s="41" t="n"/>
    </row>
    <row r="346" ht="15.75" customHeight="1" s="60">
      <c r="A346" s="41" t="n"/>
      <c r="B346" s="41" t="n"/>
      <c r="C346" s="41" t="n"/>
      <c r="D346" s="41" t="n"/>
      <c r="E346" s="41" t="n"/>
      <c r="F346" s="41" t="n"/>
      <c r="G346" s="41" t="n"/>
      <c r="H346" s="41" t="n"/>
      <c r="I346" s="41" t="n"/>
      <c r="J346" s="41" t="n"/>
      <c r="K346" s="41" t="n"/>
    </row>
    <row r="347" ht="15.75" customHeight="1" s="60">
      <c r="A347" s="41" t="n"/>
      <c r="B347" s="41" t="n"/>
      <c r="C347" s="41" t="n"/>
      <c r="D347" s="41" t="n"/>
      <c r="E347" s="41" t="n"/>
      <c r="F347" s="41" t="n"/>
      <c r="G347" s="41" t="n"/>
      <c r="H347" s="41" t="n"/>
      <c r="I347" s="41" t="n"/>
      <c r="J347" s="41" t="n"/>
      <c r="K347" s="41" t="n"/>
    </row>
    <row r="348" ht="15.75" customHeight="1" s="60">
      <c r="A348" s="41" t="n"/>
      <c r="B348" s="41" t="n"/>
      <c r="C348" s="41" t="n"/>
      <c r="D348" s="41" t="n"/>
      <c r="E348" s="41" t="n"/>
      <c r="F348" s="41" t="n"/>
      <c r="G348" s="41" t="n"/>
      <c r="H348" s="41" t="n"/>
      <c r="I348" s="41" t="n"/>
      <c r="J348" s="41" t="n"/>
      <c r="K348" s="41" t="n"/>
    </row>
    <row r="349" ht="15.75" customHeight="1" s="60">
      <c r="A349" s="41" t="n"/>
      <c r="B349" s="41" t="n"/>
      <c r="C349" s="41" t="n"/>
      <c r="D349" s="41" t="n"/>
      <c r="E349" s="41" t="n"/>
      <c r="F349" s="41" t="n"/>
      <c r="G349" s="41" t="n"/>
      <c r="H349" s="41" t="n"/>
      <c r="I349" s="41" t="n"/>
      <c r="J349" s="41" t="n"/>
      <c r="K349" s="41" t="n"/>
    </row>
    <row r="350" ht="15.75" customHeight="1" s="60">
      <c r="A350" s="41" t="n"/>
      <c r="B350" s="41" t="n"/>
      <c r="C350" s="41" t="n"/>
      <c r="D350" s="41" t="n"/>
      <c r="E350" s="41" t="n"/>
      <c r="F350" s="41" t="n"/>
      <c r="G350" s="41" t="n"/>
      <c r="H350" s="41" t="n"/>
      <c r="I350" s="41" t="n"/>
      <c r="J350" s="41" t="n"/>
      <c r="K350" s="41" t="n"/>
    </row>
    <row r="351" ht="15.75" customHeight="1" s="60">
      <c r="A351" s="41" t="n"/>
      <c r="B351" s="41" t="n"/>
      <c r="C351" s="41" t="n"/>
      <c r="D351" s="41" t="n"/>
      <c r="E351" s="41" t="n"/>
      <c r="F351" s="41" t="n"/>
      <c r="G351" s="41" t="n"/>
      <c r="H351" s="41" t="n"/>
      <c r="I351" s="41" t="n"/>
      <c r="J351" s="41" t="n"/>
      <c r="K351" s="41" t="n"/>
    </row>
    <row r="352" ht="15.75" customHeight="1" s="60">
      <c r="A352" s="41" t="n"/>
      <c r="B352" s="41" t="n"/>
      <c r="C352" s="41" t="n"/>
      <c r="D352" s="41" t="n"/>
      <c r="E352" s="41" t="n"/>
      <c r="F352" s="41" t="n"/>
      <c r="G352" s="41" t="n"/>
      <c r="H352" s="41" t="n"/>
      <c r="I352" s="41" t="n"/>
      <c r="J352" s="41" t="n"/>
      <c r="K352" s="41" t="n"/>
    </row>
    <row r="353" ht="15.75" customHeight="1" s="60">
      <c r="A353" s="41" t="n"/>
      <c r="B353" s="41" t="n"/>
      <c r="C353" s="41" t="n"/>
      <c r="D353" s="41" t="n"/>
      <c r="E353" s="41" t="n"/>
      <c r="F353" s="41" t="n"/>
      <c r="G353" s="41" t="n"/>
      <c r="H353" s="41" t="n"/>
      <c r="I353" s="41" t="n"/>
      <c r="J353" s="41" t="n"/>
      <c r="K353" s="41" t="n"/>
    </row>
    <row r="354" ht="15.75" customHeight="1" s="60">
      <c r="A354" s="41" t="n"/>
      <c r="B354" s="41" t="n"/>
      <c r="C354" s="41" t="n"/>
      <c r="D354" s="41" t="n"/>
      <c r="E354" s="41" t="n"/>
      <c r="F354" s="41" t="n"/>
      <c r="G354" s="41" t="n"/>
      <c r="H354" s="41" t="n"/>
      <c r="I354" s="41" t="n"/>
      <c r="J354" s="41" t="n"/>
      <c r="K354" s="41" t="n"/>
    </row>
    <row r="355" ht="15.75" customHeight="1" s="60">
      <c r="A355" s="41" t="n"/>
      <c r="B355" s="41" t="n"/>
      <c r="C355" s="41" t="n"/>
      <c r="D355" s="41" t="n"/>
      <c r="E355" s="41" t="n"/>
      <c r="F355" s="41" t="n"/>
      <c r="G355" s="41" t="n"/>
      <c r="H355" s="41" t="n"/>
      <c r="I355" s="41" t="n"/>
      <c r="J355" s="41" t="n"/>
      <c r="K355" s="41" t="n"/>
    </row>
    <row r="356" ht="15.75" customHeight="1" s="60">
      <c r="A356" s="41" t="n"/>
      <c r="B356" s="41" t="n"/>
      <c r="C356" s="41" t="n"/>
      <c r="D356" s="41" t="n"/>
      <c r="E356" s="41" t="n"/>
      <c r="F356" s="41" t="n"/>
      <c r="G356" s="41" t="n"/>
      <c r="H356" s="41" t="n"/>
      <c r="I356" s="41" t="n"/>
      <c r="J356" s="41" t="n"/>
      <c r="K356" s="41" t="n"/>
    </row>
    <row r="357" ht="15.75" customHeight="1" s="60">
      <c r="A357" s="41" t="n"/>
      <c r="B357" s="41" t="n"/>
      <c r="C357" s="41" t="n"/>
      <c r="D357" s="41" t="n"/>
      <c r="E357" s="41" t="n"/>
      <c r="F357" s="41" t="n"/>
      <c r="G357" s="41" t="n"/>
      <c r="H357" s="41" t="n"/>
      <c r="I357" s="41" t="n"/>
      <c r="J357" s="41" t="n"/>
      <c r="K357" s="41" t="n"/>
    </row>
    <row r="358" ht="15.75" customHeight="1" s="60">
      <c r="A358" s="41" t="n"/>
      <c r="B358" s="41" t="n"/>
      <c r="C358" s="41" t="n"/>
      <c r="D358" s="41" t="n"/>
      <c r="E358" s="41" t="n"/>
      <c r="F358" s="41" t="n"/>
      <c r="G358" s="41" t="n"/>
      <c r="H358" s="41" t="n"/>
      <c r="I358" s="41" t="n"/>
      <c r="J358" s="41" t="n"/>
      <c r="K358" s="41" t="n"/>
    </row>
    <row r="359" ht="15.75" customHeight="1" s="60">
      <c r="A359" s="41" t="n"/>
      <c r="B359" s="41" t="n"/>
      <c r="C359" s="41" t="n"/>
      <c r="D359" s="41" t="n"/>
      <c r="E359" s="41" t="n"/>
      <c r="F359" s="41" t="n"/>
      <c r="G359" s="41" t="n"/>
      <c r="H359" s="41" t="n"/>
      <c r="I359" s="41" t="n"/>
      <c r="J359" s="41" t="n"/>
      <c r="K359" s="41" t="n"/>
    </row>
    <row r="360" ht="15.75" customHeight="1" s="60">
      <c r="A360" s="41" t="n"/>
      <c r="B360" s="41" t="n"/>
      <c r="C360" s="41" t="n"/>
      <c r="D360" s="41" t="n"/>
      <c r="E360" s="41" t="n"/>
      <c r="F360" s="41" t="n"/>
      <c r="G360" s="41" t="n"/>
      <c r="H360" s="41" t="n"/>
      <c r="I360" s="41" t="n"/>
      <c r="J360" s="41" t="n"/>
      <c r="K360" s="41" t="n"/>
    </row>
    <row r="361" ht="15.75" customHeight="1" s="60">
      <c r="A361" s="41" t="n"/>
      <c r="B361" s="41" t="n"/>
      <c r="C361" s="41" t="n"/>
      <c r="D361" s="41" t="n"/>
      <c r="E361" s="41" t="n"/>
      <c r="F361" s="41" t="n"/>
      <c r="G361" s="41" t="n"/>
      <c r="H361" s="41" t="n"/>
      <c r="I361" s="41" t="n"/>
      <c r="J361" s="41" t="n"/>
      <c r="K361" s="41" t="n"/>
    </row>
    <row r="362" ht="15.75" customHeight="1" s="60">
      <c r="A362" s="41" t="n"/>
      <c r="B362" s="41" t="n"/>
      <c r="C362" s="41" t="n"/>
      <c r="D362" s="41" t="n"/>
      <c r="E362" s="41" t="n"/>
      <c r="F362" s="41" t="n"/>
      <c r="G362" s="41" t="n"/>
      <c r="H362" s="41" t="n"/>
      <c r="I362" s="41" t="n"/>
      <c r="J362" s="41" t="n"/>
      <c r="K362" s="41" t="n"/>
    </row>
    <row r="363" ht="15.75" customHeight="1" s="60">
      <c r="A363" s="41" t="n"/>
      <c r="B363" s="41" t="n"/>
      <c r="C363" s="41" t="n"/>
      <c r="D363" s="41" t="n"/>
      <c r="E363" s="41" t="n"/>
      <c r="F363" s="41" t="n"/>
      <c r="G363" s="41" t="n"/>
      <c r="H363" s="41" t="n"/>
      <c r="I363" s="41" t="n"/>
      <c r="J363" s="41" t="n"/>
      <c r="K363" s="41" t="n"/>
    </row>
    <row r="364" ht="15.75" customHeight="1" s="60">
      <c r="A364" s="41" t="n"/>
      <c r="B364" s="41" t="n"/>
      <c r="C364" s="41" t="n"/>
      <c r="D364" s="41" t="n"/>
      <c r="E364" s="41" t="n"/>
      <c r="F364" s="41" t="n"/>
      <c r="G364" s="41" t="n"/>
      <c r="H364" s="41" t="n"/>
      <c r="I364" s="41" t="n"/>
      <c r="J364" s="41" t="n"/>
      <c r="K364" s="41" t="n"/>
    </row>
    <row r="365" ht="15.75" customHeight="1" s="60">
      <c r="A365" s="41" t="n"/>
      <c r="B365" s="41" t="n"/>
      <c r="C365" s="41" t="n"/>
      <c r="D365" s="41" t="n"/>
      <c r="E365" s="41" t="n"/>
      <c r="F365" s="41" t="n"/>
      <c r="G365" s="41" t="n"/>
      <c r="H365" s="41" t="n"/>
      <c r="I365" s="41" t="n"/>
      <c r="J365" s="41" t="n"/>
      <c r="K365" s="41" t="n"/>
    </row>
    <row r="366" ht="15.75" customHeight="1" s="60">
      <c r="A366" s="41" t="n"/>
      <c r="B366" s="41" t="n"/>
      <c r="C366" s="41" t="n"/>
      <c r="D366" s="41" t="n"/>
      <c r="E366" s="41" t="n"/>
      <c r="F366" s="41" t="n"/>
      <c r="G366" s="41" t="n"/>
      <c r="H366" s="41" t="n"/>
      <c r="I366" s="41" t="n"/>
      <c r="J366" s="41" t="n"/>
      <c r="K366" s="41" t="n"/>
    </row>
    <row r="367" ht="15.75" customHeight="1" s="60">
      <c r="A367" s="41" t="n"/>
      <c r="B367" s="41" t="n"/>
      <c r="C367" s="41" t="n"/>
      <c r="D367" s="41" t="n"/>
      <c r="E367" s="41" t="n"/>
      <c r="F367" s="41" t="n"/>
      <c r="G367" s="41" t="n"/>
      <c r="H367" s="41" t="n"/>
      <c r="I367" s="41" t="n"/>
      <c r="J367" s="41" t="n"/>
      <c r="K367" s="41" t="n"/>
    </row>
    <row r="368" ht="15.75" customHeight="1" s="60">
      <c r="A368" s="41" t="n"/>
      <c r="B368" s="41" t="n"/>
      <c r="C368" s="41" t="n"/>
      <c r="D368" s="41" t="n"/>
      <c r="E368" s="41" t="n"/>
      <c r="F368" s="41" t="n"/>
      <c r="G368" s="41" t="n"/>
      <c r="H368" s="41" t="n"/>
      <c r="I368" s="41" t="n"/>
      <c r="J368" s="41" t="n"/>
      <c r="K368" s="41" t="n"/>
    </row>
    <row r="369" ht="15.75" customHeight="1" s="60">
      <c r="A369" s="41" t="n"/>
      <c r="B369" s="41" t="n"/>
      <c r="C369" s="41" t="n"/>
      <c r="D369" s="41" t="n"/>
      <c r="E369" s="41" t="n"/>
      <c r="F369" s="41" t="n"/>
      <c r="G369" s="41" t="n"/>
      <c r="H369" s="41" t="n"/>
      <c r="I369" s="41" t="n"/>
      <c r="J369" s="41" t="n"/>
      <c r="K369" s="41" t="n"/>
    </row>
    <row r="370" ht="15.75" customHeight="1" s="60">
      <c r="A370" s="41" t="n"/>
      <c r="B370" s="41" t="n"/>
      <c r="C370" s="41" t="n"/>
      <c r="D370" s="41" t="n"/>
      <c r="E370" s="41" t="n"/>
      <c r="F370" s="41" t="n"/>
      <c r="G370" s="41" t="n"/>
      <c r="H370" s="41" t="n"/>
      <c r="I370" s="41" t="n"/>
      <c r="J370" s="41" t="n"/>
      <c r="K370" s="41" t="n"/>
    </row>
    <row r="371" ht="15.75" customHeight="1" s="60">
      <c r="A371" s="41" t="n"/>
      <c r="B371" s="41" t="n"/>
      <c r="C371" s="41" t="n"/>
      <c r="D371" s="41" t="n"/>
      <c r="E371" s="41" t="n"/>
      <c r="F371" s="41" t="n"/>
      <c r="G371" s="41" t="n"/>
      <c r="H371" s="41" t="n"/>
      <c r="I371" s="41" t="n"/>
      <c r="J371" s="41" t="n"/>
      <c r="K371" s="41" t="n"/>
    </row>
    <row r="372" ht="15.75" customHeight="1" s="60">
      <c r="A372" s="41" t="n"/>
      <c r="B372" s="41" t="n"/>
      <c r="C372" s="41" t="n"/>
      <c r="D372" s="41" t="n"/>
      <c r="E372" s="41" t="n"/>
      <c r="F372" s="41" t="n"/>
      <c r="G372" s="41" t="n"/>
      <c r="H372" s="41" t="n"/>
      <c r="I372" s="41" t="n"/>
      <c r="J372" s="41" t="n"/>
      <c r="K372" s="41" t="n"/>
    </row>
    <row r="373" ht="15.75" customHeight="1" s="60">
      <c r="A373" s="41" t="n"/>
      <c r="B373" s="41" t="n"/>
      <c r="C373" s="41" t="n"/>
      <c r="D373" s="41" t="n"/>
      <c r="E373" s="41" t="n"/>
      <c r="F373" s="41" t="n"/>
      <c r="G373" s="41" t="n"/>
      <c r="H373" s="41" t="n"/>
      <c r="I373" s="41" t="n"/>
      <c r="J373" s="41" t="n"/>
      <c r="K373" s="41" t="n"/>
    </row>
    <row r="374" ht="15.75" customHeight="1" s="60">
      <c r="A374" s="41" t="n"/>
      <c r="B374" s="41" t="n"/>
      <c r="C374" s="41" t="n"/>
      <c r="D374" s="41" t="n"/>
      <c r="E374" s="41" t="n"/>
      <c r="F374" s="41" t="n"/>
      <c r="G374" s="41" t="n"/>
      <c r="H374" s="41" t="n"/>
      <c r="I374" s="41" t="n"/>
      <c r="J374" s="41" t="n"/>
      <c r="K374" s="41" t="n"/>
    </row>
    <row r="375" ht="15.75" customHeight="1" s="60">
      <c r="A375" s="41" t="n"/>
      <c r="B375" s="41" t="n"/>
      <c r="C375" s="41" t="n"/>
      <c r="D375" s="41" t="n"/>
      <c r="E375" s="41" t="n"/>
      <c r="F375" s="41" t="n"/>
      <c r="G375" s="41" t="n"/>
      <c r="H375" s="41" t="n"/>
      <c r="I375" s="41" t="n"/>
      <c r="J375" s="41" t="n"/>
      <c r="K375" s="41" t="n"/>
    </row>
    <row r="376" ht="15.75" customHeight="1" s="60">
      <c r="A376" s="41" t="n"/>
      <c r="B376" s="41" t="n"/>
      <c r="C376" s="41" t="n"/>
      <c r="D376" s="41" t="n"/>
      <c r="E376" s="41" t="n"/>
      <c r="F376" s="41" t="n"/>
      <c r="G376" s="41" t="n"/>
      <c r="H376" s="41" t="n"/>
      <c r="I376" s="41" t="n"/>
      <c r="J376" s="41" t="n"/>
      <c r="K376" s="41" t="n"/>
    </row>
    <row r="377" ht="15.75" customHeight="1" s="60">
      <c r="A377" s="41" t="n"/>
      <c r="B377" s="41" t="n"/>
      <c r="C377" s="41" t="n"/>
      <c r="D377" s="41" t="n"/>
      <c r="E377" s="41" t="n"/>
      <c r="F377" s="41" t="n"/>
      <c r="G377" s="41" t="n"/>
      <c r="H377" s="41" t="n"/>
      <c r="I377" s="41" t="n"/>
      <c r="J377" s="41" t="n"/>
      <c r="K377" s="41" t="n"/>
    </row>
    <row r="378" ht="15.75" customHeight="1" s="60">
      <c r="A378" s="41" t="n"/>
      <c r="B378" s="41" t="n"/>
      <c r="C378" s="41" t="n"/>
      <c r="D378" s="41" t="n"/>
      <c r="E378" s="41" t="n"/>
      <c r="F378" s="41" t="n"/>
      <c r="G378" s="41" t="n"/>
      <c r="H378" s="41" t="n"/>
      <c r="I378" s="41" t="n"/>
      <c r="J378" s="41" t="n"/>
      <c r="K378" s="41" t="n"/>
    </row>
    <row r="379" ht="15.75" customHeight="1" s="60">
      <c r="A379" s="41" t="n"/>
      <c r="B379" s="41" t="n"/>
      <c r="C379" s="41" t="n"/>
      <c r="D379" s="41" t="n"/>
      <c r="E379" s="41" t="n"/>
      <c r="F379" s="41" t="n"/>
      <c r="G379" s="41" t="n"/>
      <c r="H379" s="41" t="n"/>
      <c r="I379" s="41" t="n"/>
      <c r="J379" s="41" t="n"/>
      <c r="K379" s="41" t="n"/>
    </row>
    <row r="380" ht="15.75" customHeight="1" s="60">
      <c r="A380" s="41" t="n"/>
      <c r="B380" s="41" t="n"/>
      <c r="C380" s="41" t="n"/>
      <c r="D380" s="41" t="n"/>
      <c r="E380" s="41" t="n"/>
      <c r="F380" s="41" t="n"/>
      <c r="G380" s="41" t="n"/>
      <c r="H380" s="41" t="n"/>
      <c r="I380" s="41" t="n"/>
      <c r="J380" s="41" t="n"/>
      <c r="K380" s="41" t="n"/>
    </row>
    <row r="381" ht="15.75" customHeight="1" s="60">
      <c r="A381" s="41" t="n"/>
      <c r="B381" s="41" t="n"/>
      <c r="C381" s="41" t="n"/>
      <c r="D381" s="41" t="n"/>
      <c r="E381" s="41" t="n"/>
      <c r="F381" s="41" t="n"/>
      <c r="G381" s="41" t="n"/>
      <c r="H381" s="41" t="n"/>
      <c r="I381" s="41" t="n"/>
      <c r="J381" s="41" t="n"/>
      <c r="K381" s="41" t="n"/>
    </row>
    <row r="382" ht="15.75" customHeight="1" s="60">
      <c r="A382" s="41" t="n"/>
      <c r="B382" s="41" t="n"/>
      <c r="C382" s="41" t="n"/>
      <c r="D382" s="41" t="n"/>
      <c r="E382" s="41" t="n"/>
      <c r="F382" s="41" t="n"/>
      <c r="G382" s="41" t="n"/>
      <c r="H382" s="41" t="n"/>
      <c r="I382" s="41" t="n"/>
      <c r="J382" s="41" t="n"/>
      <c r="K382" s="41" t="n"/>
    </row>
    <row r="383" ht="15.75" customHeight="1" s="60">
      <c r="A383" s="41" t="n"/>
      <c r="B383" s="41" t="n"/>
      <c r="C383" s="41" t="n"/>
      <c r="D383" s="41" t="n"/>
      <c r="E383" s="41" t="n"/>
      <c r="F383" s="41" t="n"/>
      <c r="G383" s="41" t="n"/>
      <c r="H383" s="41" t="n"/>
      <c r="I383" s="41" t="n"/>
      <c r="J383" s="41" t="n"/>
      <c r="K383" s="41" t="n"/>
    </row>
    <row r="384" ht="15.75" customHeight="1" s="60">
      <c r="A384" s="41" t="n"/>
      <c r="B384" s="41" t="n"/>
      <c r="C384" s="41" t="n"/>
      <c r="D384" s="41" t="n"/>
      <c r="E384" s="41" t="n"/>
      <c r="F384" s="41" t="n"/>
      <c r="G384" s="41" t="n"/>
      <c r="H384" s="41" t="n"/>
      <c r="I384" s="41" t="n"/>
      <c r="J384" s="41" t="n"/>
      <c r="K384" s="41" t="n"/>
    </row>
    <row r="385" ht="15.75" customHeight="1" s="60">
      <c r="A385" s="41" t="n"/>
      <c r="B385" s="41" t="n"/>
      <c r="C385" s="41" t="n"/>
      <c r="D385" s="41" t="n"/>
      <c r="E385" s="41" t="n"/>
      <c r="F385" s="41" t="n"/>
      <c r="G385" s="41" t="n"/>
      <c r="H385" s="41" t="n"/>
      <c r="I385" s="41" t="n"/>
      <c r="J385" s="41" t="n"/>
      <c r="K385" s="41" t="n"/>
    </row>
    <row r="386" ht="15.75" customHeight="1" s="60">
      <c r="A386" s="41" t="n"/>
      <c r="B386" s="41" t="n"/>
      <c r="C386" s="41" t="n"/>
      <c r="D386" s="41" t="n"/>
      <c r="E386" s="41" t="n"/>
      <c r="F386" s="41" t="n"/>
      <c r="G386" s="41" t="n"/>
      <c r="H386" s="41" t="n"/>
      <c r="I386" s="41" t="n"/>
      <c r="J386" s="41" t="n"/>
      <c r="K386" s="41" t="n"/>
    </row>
    <row r="387" ht="15.75" customHeight="1" s="60">
      <c r="A387" s="41" t="n"/>
      <c r="B387" s="41" t="n"/>
      <c r="C387" s="41" t="n"/>
      <c r="D387" s="41" t="n"/>
      <c r="E387" s="41" t="n"/>
      <c r="F387" s="41" t="n"/>
      <c r="G387" s="41" t="n"/>
      <c r="H387" s="41" t="n"/>
      <c r="I387" s="41" t="n"/>
      <c r="J387" s="41" t="n"/>
      <c r="K387" s="41" t="n"/>
    </row>
    <row r="388" ht="15.75" customHeight="1" s="60">
      <c r="A388" s="41" t="n"/>
      <c r="B388" s="41" t="n"/>
      <c r="C388" s="41" t="n"/>
      <c r="D388" s="41" t="n"/>
      <c r="E388" s="41" t="n"/>
      <c r="F388" s="41" t="n"/>
      <c r="G388" s="41" t="n"/>
      <c r="H388" s="41" t="n"/>
      <c r="I388" s="41" t="n"/>
      <c r="J388" s="41" t="n"/>
      <c r="K388" s="41" t="n"/>
    </row>
    <row r="389" ht="15.75" customHeight="1" s="60">
      <c r="A389" s="41" t="n"/>
      <c r="B389" s="41" t="n"/>
      <c r="C389" s="41" t="n"/>
      <c r="D389" s="41" t="n"/>
      <c r="E389" s="41" t="n"/>
      <c r="F389" s="41" t="n"/>
      <c r="G389" s="41" t="n"/>
      <c r="H389" s="41" t="n"/>
      <c r="I389" s="41" t="n"/>
      <c r="J389" s="41" t="n"/>
      <c r="K389" s="41" t="n"/>
    </row>
    <row r="390" ht="15.75" customHeight="1" s="60">
      <c r="A390" s="41" t="n"/>
      <c r="B390" s="41" t="n"/>
      <c r="C390" s="41" t="n"/>
      <c r="D390" s="41" t="n"/>
      <c r="E390" s="41" t="n"/>
      <c r="F390" s="41" t="n"/>
      <c r="G390" s="41" t="n"/>
      <c r="H390" s="41" t="n"/>
      <c r="I390" s="41" t="n"/>
      <c r="J390" s="41" t="n"/>
      <c r="K390" s="41" t="n"/>
    </row>
    <row r="391" ht="15.75" customHeight="1" s="60">
      <c r="A391" s="41" t="n"/>
      <c r="B391" s="41" t="n"/>
      <c r="C391" s="41" t="n"/>
      <c r="D391" s="41" t="n"/>
      <c r="E391" s="41" t="n"/>
      <c r="F391" s="41" t="n"/>
      <c r="G391" s="41" t="n"/>
      <c r="H391" s="41" t="n"/>
      <c r="I391" s="41" t="n"/>
      <c r="J391" s="41" t="n"/>
      <c r="K391" s="41" t="n"/>
    </row>
    <row r="392" ht="15.75" customHeight="1" s="60">
      <c r="A392" s="41" t="n"/>
      <c r="B392" s="41" t="n"/>
      <c r="C392" s="41" t="n"/>
      <c r="D392" s="41" t="n"/>
      <c r="E392" s="41" t="n"/>
      <c r="F392" s="41" t="n"/>
      <c r="G392" s="41" t="n"/>
      <c r="H392" s="41" t="n"/>
      <c r="I392" s="41" t="n"/>
      <c r="J392" s="41" t="n"/>
      <c r="K392" s="41" t="n"/>
    </row>
    <row r="393" ht="15.75" customHeight="1" s="60">
      <c r="A393" s="41" t="n"/>
      <c r="B393" s="41" t="n"/>
      <c r="C393" s="41" t="n"/>
      <c r="D393" s="41" t="n"/>
      <c r="E393" s="41" t="n"/>
      <c r="F393" s="41" t="n"/>
      <c r="G393" s="41" t="n"/>
      <c r="H393" s="41" t="n"/>
      <c r="I393" s="41" t="n"/>
      <c r="J393" s="41" t="n"/>
      <c r="K393" s="41" t="n"/>
    </row>
    <row r="394" ht="15.75" customHeight="1" s="60">
      <c r="A394" s="41" t="n"/>
      <c r="B394" s="41" t="n"/>
      <c r="C394" s="41" t="n"/>
      <c r="D394" s="41" t="n"/>
      <c r="E394" s="41" t="n"/>
      <c r="F394" s="41" t="n"/>
      <c r="G394" s="41" t="n"/>
      <c r="H394" s="41" t="n"/>
      <c r="I394" s="41" t="n"/>
      <c r="J394" s="41" t="n"/>
      <c r="K394" s="41" t="n"/>
    </row>
    <row r="395" ht="15.75" customHeight="1" s="60">
      <c r="A395" s="41" t="n"/>
      <c r="B395" s="41" t="n"/>
      <c r="C395" s="41" t="n"/>
      <c r="D395" s="41" t="n"/>
      <c r="E395" s="41" t="n"/>
      <c r="F395" s="41" t="n"/>
      <c r="G395" s="41" t="n"/>
      <c r="H395" s="41" t="n"/>
      <c r="I395" s="41" t="n"/>
      <c r="J395" s="41" t="n"/>
      <c r="K395" s="41" t="n"/>
    </row>
    <row r="396" ht="15.75" customHeight="1" s="60">
      <c r="A396" s="41" t="n"/>
      <c r="B396" s="41" t="n"/>
      <c r="C396" s="41" t="n"/>
      <c r="D396" s="41" t="n"/>
      <c r="E396" s="41" t="n"/>
      <c r="F396" s="41" t="n"/>
      <c r="G396" s="41" t="n"/>
      <c r="H396" s="41" t="n"/>
      <c r="I396" s="41" t="n"/>
      <c r="J396" s="41" t="n"/>
      <c r="K396" s="41" t="n"/>
    </row>
    <row r="397" ht="15.75" customHeight="1" s="60">
      <c r="A397" s="41" t="n"/>
      <c r="B397" s="41" t="n"/>
      <c r="C397" s="41" t="n"/>
      <c r="D397" s="41" t="n"/>
      <c r="E397" s="41" t="n"/>
      <c r="F397" s="41" t="n"/>
      <c r="G397" s="41" t="n"/>
      <c r="H397" s="41" t="n"/>
      <c r="I397" s="41" t="n"/>
      <c r="J397" s="41" t="n"/>
      <c r="K397" s="41" t="n"/>
    </row>
    <row r="398" ht="15.75" customHeight="1" s="60">
      <c r="A398" s="41" t="n"/>
      <c r="B398" s="41" t="n"/>
      <c r="C398" s="41" t="n"/>
      <c r="D398" s="41" t="n"/>
      <c r="E398" s="41" t="n"/>
      <c r="F398" s="41" t="n"/>
      <c r="G398" s="41" t="n"/>
      <c r="H398" s="41" t="n"/>
      <c r="I398" s="41" t="n"/>
      <c r="J398" s="41" t="n"/>
      <c r="K398" s="41" t="n"/>
    </row>
    <row r="399" ht="15.75" customHeight="1" s="60">
      <c r="A399" s="41" t="n"/>
      <c r="B399" s="41" t="n"/>
      <c r="C399" s="41" t="n"/>
      <c r="D399" s="41" t="n"/>
      <c r="E399" s="41" t="n"/>
      <c r="F399" s="41" t="n"/>
      <c r="G399" s="41" t="n"/>
      <c r="H399" s="41" t="n"/>
      <c r="I399" s="41" t="n"/>
      <c r="J399" s="41" t="n"/>
      <c r="K399" s="41" t="n"/>
    </row>
    <row r="400" ht="15.75" customHeight="1" s="60">
      <c r="A400" s="41" t="n"/>
      <c r="B400" s="41" t="n"/>
      <c r="C400" s="41" t="n"/>
      <c r="D400" s="41" t="n"/>
      <c r="E400" s="41" t="n"/>
      <c r="F400" s="41" t="n"/>
      <c r="G400" s="41" t="n"/>
      <c r="H400" s="41" t="n"/>
      <c r="I400" s="41" t="n"/>
      <c r="J400" s="41" t="n"/>
      <c r="K400" s="41" t="n"/>
    </row>
    <row r="401" ht="15.75" customHeight="1" s="60">
      <c r="A401" s="41" t="n"/>
      <c r="B401" s="41" t="n"/>
      <c r="C401" s="41" t="n"/>
      <c r="D401" s="41" t="n"/>
      <c r="E401" s="41" t="n"/>
      <c r="F401" s="41" t="n"/>
      <c r="G401" s="41" t="n"/>
      <c r="H401" s="41" t="n"/>
      <c r="I401" s="41" t="n"/>
      <c r="J401" s="41" t="n"/>
      <c r="K401" s="41" t="n"/>
    </row>
    <row r="402" ht="15.75" customHeight="1" s="60">
      <c r="A402" s="41" t="n"/>
      <c r="B402" s="41" t="n"/>
      <c r="C402" s="41" t="n"/>
      <c r="D402" s="41" t="n"/>
      <c r="E402" s="41" t="n"/>
      <c r="F402" s="41" t="n"/>
      <c r="G402" s="41" t="n"/>
      <c r="H402" s="41" t="n"/>
      <c r="I402" s="41" t="n"/>
      <c r="J402" s="41" t="n"/>
      <c r="K402" s="41" t="n"/>
    </row>
    <row r="403" ht="15.75" customHeight="1" s="60">
      <c r="A403" s="41" t="n"/>
      <c r="B403" s="41" t="n"/>
      <c r="C403" s="41" t="n"/>
      <c r="D403" s="41" t="n"/>
      <c r="E403" s="41" t="n"/>
      <c r="F403" s="41" t="n"/>
      <c r="G403" s="41" t="n"/>
      <c r="H403" s="41" t="n"/>
      <c r="I403" s="41" t="n"/>
      <c r="J403" s="41" t="n"/>
      <c r="K403" s="41" t="n"/>
    </row>
    <row r="404" ht="15.75" customHeight="1" s="60">
      <c r="A404" s="41" t="n"/>
      <c r="B404" s="41" t="n"/>
      <c r="C404" s="41" t="n"/>
      <c r="D404" s="41" t="n"/>
      <c r="E404" s="41" t="n"/>
      <c r="F404" s="41" t="n"/>
      <c r="G404" s="41" t="n"/>
      <c r="H404" s="41" t="n"/>
      <c r="I404" s="41" t="n"/>
      <c r="J404" s="41" t="n"/>
      <c r="K404" s="41" t="n"/>
    </row>
    <row r="405" ht="15.75" customHeight="1" s="60">
      <c r="A405" s="41" t="n"/>
      <c r="B405" s="41" t="n"/>
      <c r="C405" s="41" t="n"/>
      <c r="D405" s="41" t="n"/>
      <c r="E405" s="41" t="n"/>
      <c r="F405" s="41" t="n"/>
      <c r="G405" s="41" t="n"/>
      <c r="H405" s="41" t="n"/>
      <c r="I405" s="41" t="n"/>
      <c r="J405" s="41" t="n"/>
      <c r="K405" s="41" t="n"/>
    </row>
    <row r="406" ht="15.75" customHeight="1" s="60">
      <c r="A406" s="41" t="n"/>
      <c r="B406" s="41" t="n"/>
      <c r="C406" s="41" t="n"/>
      <c r="D406" s="41" t="n"/>
      <c r="E406" s="41" t="n"/>
      <c r="F406" s="41" t="n"/>
      <c r="G406" s="41" t="n"/>
      <c r="H406" s="41" t="n"/>
      <c r="I406" s="41" t="n"/>
      <c r="J406" s="41" t="n"/>
      <c r="K406" s="41" t="n"/>
    </row>
    <row r="407" ht="15.75" customHeight="1" s="60">
      <c r="A407" s="41" t="n"/>
      <c r="B407" s="41" t="n"/>
      <c r="C407" s="41" t="n"/>
      <c r="D407" s="41" t="n"/>
      <c r="E407" s="41" t="n"/>
      <c r="F407" s="41" t="n"/>
      <c r="G407" s="41" t="n"/>
      <c r="H407" s="41" t="n"/>
      <c r="I407" s="41" t="n"/>
      <c r="J407" s="41" t="n"/>
      <c r="K407" s="41" t="n"/>
    </row>
    <row r="408" ht="15.75" customHeight="1" s="60">
      <c r="A408" s="41" t="n"/>
      <c r="B408" s="41" t="n"/>
      <c r="C408" s="41" t="n"/>
      <c r="D408" s="41" t="n"/>
      <c r="E408" s="41" t="n"/>
      <c r="F408" s="41" t="n"/>
      <c r="G408" s="41" t="n"/>
      <c r="H408" s="41" t="n"/>
      <c r="I408" s="41" t="n"/>
      <c r="J408" s="41" t="n"/>
      <c r="K408" s="41" t="n"/>
    </row>
    <row r="409" ht="15.75" customHeight="1" s="60">
      <c r="A409" s="41" t="n"/>
      <c r="B409" s="41" t="n"/>
      <c r="C409" s="41" t="n"/>
      <c r="D409" s="41" t="n"/>
      <c r="E409" s="41" t="n"/>
      <c r="F409" s="41" t="n"/>
      <c r="G409" s="41" t="n"/>
      <c r="H409" s="41" t="n"/>
      <c r="I409" s="41" t="n"/>
      <c r="J409" s="41" t="n"/>
      <c r="K409" s="41" t="n"/>
    </row>
    <row r="410" ht="15.75" customHeight="1" s="60">
      <c r="A410" s="41" t="n"/>
      <c r="B410" s="41" t="n"/>
      <c r="C410" s="41" t="n"/>
      <c r="D410" s="41" t="n"/>
      <c r="E410" s="41" t="n"/>
      <c r="F410" s="41" t="n"/>
      <c r="G410" s="41" t="n"/>
      <c r="H410" s="41" t="n"/>
      <c r="I410" s="41" t="n"/>
      <c r="J410" s="41" t="n"/>
      <c r="K410" s="41" t="n"/>
    </row>
    <row r="411" ht="15.75" customHeight="1" s="60">
      <c r="A411" s="41" t="n"/>
      <c r="B411" s="41" t="n"/>
      <c r="C411" s="41" t="n"/>
      <c r="D411" s="41" t="n"/>
      <c r="E411" s="41" t="n"/>
      <c r="F411" s="41" t="n"/>
      <c r="G411" s="41" t="n"/>
      <c r="H411" s="41" t="n"/>
      <c r="I411" s="41" t="n"/>
      <c r="J411" s="41" t="n"/>
      <c r="K411" s="41" t="n"/>
    </row>
    <row r="412" ht="15.75" customHeight="1" s="60">
      <c r="A412" s="41" t="n"/>
      <c r="B412" s="41" t="n"/>
      <c r="C412" s="41" t="n"/>
      <c r="D412" s="41" t="n"/>
      <c r="E412" s="41" t="n"/>
      <c r="F412" s="41" t="n"/>
      <c r="G412" s="41" t="n"/>
      <c r="H412" s="41" t="n"/>
      <c r="I412" s="41" t="n"/>
      <c r="J412" s="41" t="n"/>
      <c r="K412" s="41" t="n"/>
    </row>
    <row r="413" ht="15.75" customHeight="1" s="60">
      <c r="A413" s="41" t="n"/>
      <c r="B413" s="41" t="n"/>
      <c r="C413" s="41" t="n"/>
      <c r="D413" s="41" t="n"/>
      <c r="E413" s="41" t="n"/>
      <c r="F413" s="41" t="n"/>
      <c r="G413" s="41" t="n"/>
      <c r="H413" s="41" t="n"/>
      <c r="I413" s="41" t="n"/>
      <c r="J413" s="41" t="n"/>
      <c r="K413" s="41" t="n"/>
    </row>
    <row r="414" ht="15.75" customHeight="1" s="60">
      <c r="A414" s="41" t="n"/>
      <c r="B414" s="41" t="n"/>
      <c r="C414" s="41" t="n"/>
      <c r="D414" s="41" t="n"/>
      <c r="E414" s="41" t="n"/>
      <c r="F414" s="41" t="n"/>
      <c r="G414" s="41" t="n"/>
      <c r="H414" s="41" t="n"/>
      <c r="I414" s="41" t="n"/>
      <c r="J414" s="41" t="n"/>
      <c r="K414" s="41" t="n"/>
    </row>
    <row r="415" ht="15.75" customHeight="1" s="60">
      <c r="A415" s="41" t="n"/>
      <c r="B415" s="41" t="n"/>
      <c r="C415" s="41" t="n"/>
      <c r="D415" s="41" t="n"/>
      <c r="E415" s="41" t="n"/>
      <c r="F415" s="41" t="n"/>
      <c r="G415" s="41" t="n"/>
      <c r="H415" s="41" t="n"/>
      <c r="I415" s="41" t="n"/>
      <c r="J415" s="41" t="n"/>
      <c r="K415" s="41" t="n"/>
    </row>
    <row r="416" ht="15.75" customHeight="1" s="60">
      <c r="A416" s="41" t="n"/>
      <c r="B416" s="41" t="n"/>
      <c r="C416" s="41" t="n"/>
      <c r="D416" s="41" t="n"/>
      <c r="E416" s="41" t="n"/>
      <c r="F416" s="41" t="n"/>
      <c r="G416" s="41" t="n"/>
      <c r="H416" s="41" t="n"/>
      <c r="I416" s="41" t="n"/>
      <c r="J416" s="41" t="n"/>
      <c r="K416" s="41" t="n"/>
    </row>
    <row r="417" ht="15.75" customHeight="1" s="60">
      <c r="A417" s="41" t="n"/>
      <c r="B417" s="41" t="n"/>
      <c r="C417" s="41" t="n"/>
      <c r="D417" s="41" t="n"/>
      <c r="E417" s="41" t="n"/>
      <c r="F417" s="41" t="n"/>
      <c r="G417" s="41" t="n"/>
      <c r="H417" s="41" t="n"/>
      <c r="I417" s="41" t="n"/>
      <c r="J417" s="41" t="n"/>
      <c r="K417" s="41" t="n"/>
    </row>
    <row r="418" ht="15.75" customHeight="1" s="60">
      <c r="A418" s="41" t="n"/>
      <c r="B418" s="41" t="n"/>
      <c r="C418" s="41" t="n"/>
      <c r="D418" s="41" t="n"/>
      <c r="E418" s="41" t="n"/>
      <c r="F418" s="41" t="n"/>
      <c r="G418" s="41" t="n"/>
      <c r="H418" s="41" t="n"/>
      <c r="I418" s="41" t="n"/>
      <c r="J418" s="41" t="n"/>
      <c r="K418" s="41" t="n"/>
    </row>
    <row r="419" ht="15.75" customHeight="1" s="60">
      <c r="A419" s="41" t="n"/>
      <c r="B419" s="41" t="n"/>
      <c r="C419" s="41" t="n"/>
      <c r="D419" s="41" t="n"/>
      <c r="E419" s="41" t="n"/>
      <c r="F419" s="41" t="n"/>
      <c r="G419" s="41" t="n"/>
      <c r="H419" s="41" t="n"/>
      <c r="I419" s="41" t="n"/>
      <c r="J419" s="41" t="n"/>
      <c r="K419" s="41" t="n"/>
    </row>
    <row r="420" ht="15.75" customHeight="1" s="60">
      <c r="A420" s="41" t="n"/>
      <c r="B420" s="41" t="n"/>
      <c r="C420" s="41" t="n"/>
      <c r="D420" s="41" t="n"/>
      <c r="E420" s="41" t="n"/>
      <c r="F420" s="41" t="n"/>
      <c r="G420" s="41" t="n"/>
      <c r="H420" s="41" t="n"/>
      <c r="I420" s="41" t="n"/>
      <c r="J420" s="41" t="n"/>
      <c r="K420" s="41" t="n"/>
    </row>
    <row r="421" ht="15.75" customHeight="1" s="60">
      <c r="A421" s="41" t="n"/>
      <c r="B421" s="41" t="n"/>
      <c r="C421" s="41" t="n"/>
      <c r="D421" s="41" t="n"/>
      <c r="E421" s="41" t="n"/>
      <c r="F421" s="41" t="n"/>
      <c r="G421" s="41" t="n"/>
      <c r="H421" s="41" t="n"/>
      <c r="I421" s="41" t="n"/>
      <c r="J421" s="41" t="n"/>
      <c r="K421" s="41" t="n"/>
    </row>
    <row r="422" ht="15.75" customHeight="1" s="60">
      <c r="A422" s="41" t="n"/>
      <c r="B422" s="41" t="n"/>
      <c r="C422" s="41" t="n"/>
      <c r="D422" s="41" t="n"/>
      <c r="E422" s="41" t="n"/>
      <c r="F422" s="41" t="n"/>
      <c r="G422" s="41" t="n"/>
      <c r="H422" s="41" t="n"/>
      <c r="I422" s="41" t="n"/>
      <c r="J422" s="41" t="n"/>
      <c r="K422" s="41" t="n"/>
    </row>
    <row r="423" ht="15.75" customHeight="1" s="60">
      <c r="A423" s="41" t="n"/>
      <c r="B423" s="41" t="n"/>
      <c r="C423" s="41" t="n"/>
      <c r="D423" s="41" t="n"/>
      <c r="E423" s="41" t="n"/>
      <c r="F423" s="41" t="n"/>
      <c r="G423" s="41" t="n"/>
      <c r="H423" s="41" t="n"/>
      <c r="I423" s="41" t="n"/>
      <c r="J423" s="41" t="n"/>
      <c r="K423" s="41" t="n"/>
    </row>
    <row r="424" ht="15.75" customHeight="1" s="60">
      <c r="A424" s="41" t="n"/>
      <c r="B424" s="41" t="n"/>
      <c r="C424" s="41" t="n"/>
      <c r="D424" s="41" t="n"/>
      <c r="E424" s="41" t="n"/>
      <c r="F424" s="41" t="n"/>
      <c r="G424" s="41" t="n"/>
      <c r="H424" s="41" t="n"/>
      <c r="I424" s="41" t="n"/>
      <c r="J424" s="41" t="n"/>
      <c r="K424" s="41" t="n"/>
    </row>
    <row r="425" ht="15.75" customHeight="1" s="60">
      <c r="A425" s="41" t="n"/>
      <c r="B425" s="41" t="n"/>
      <c r="C425" s="41" t="n"/>
      <c r="D425" s="41" t="n"/>
      <c r="E425" s="41" t="n"/>
      <c r="F425" s="41" t="n"/>
      <c r="G425" s="41" t="n"/>
      <c r="H425" s="41" t="n"/>
      <c r="I425" s="41" t="n"/>
      <c r="J425" s="41" t="n"/>
      <c r="K425" s="41" t="n"/>
    </row>
    <row r="426" ht="15.75" customHeight="1" s="60">
      <c r="A426" s="41" t="n"/>
      <c r="B426" s="41" t="n"/>
      <c r="C426" s="41" t="n"/>
      <c r="D426" s="41" t="n"/>
      <c r="E426" s="41" t="n"/>
      <c r="F426" s="41" t="n"/>
      <c r="G426" s="41" t="n"/>
      <c r="H426" s="41" t="n"/>
      <c r="I426" s="41" t="n"/>
      <c r="J426" s="41" t="n"/>
      <c r="K426" s="41" t="n"/>
    </row>
    <row r="427" ht="15.75" customHeight="1" s="60">
      <c r="A427" s="41" t="n"/>
      <c r="B427" s="41" t="n"/>
      <c r="C427" s="41" t="n"/>
      <c r="D427" s="41" t="n"/>
      <c r="E427" s="41" t="n"/>
      <c r="F427" s="41" t="n"/>
      <c r="G427" s="41" t="n"/>
      <c r="H427" s="41" t="n"/>
      <c r="I427" s="41" t="n"/>
      <c r="J427" s="41" t="n"/>
      <c r="K427" s="41" t="n"/>
    </row>
    <row r="428" ht="15.75" customHeight="1" s="60">
      <c r="A428" s="41" t="n"/>
      <c r="B428" s="41" t="n"/>
      <c r="C428" s="41" t="n"/>
      <c r="D428" s="41" t="n"/>
      <c r="E428" s="41" t="n"/>
      <c r="F428" s="41" t="n"/>
      <c r="G428" s="41" t="n"/>
      <c r="H428" s="41" t="n"/>
      <c r="I428" s="41" t="n"/>
      <c r="J428" s="41" t="n"/>
      <c r="K428" s="41" t="n"/>
    </row>
    <row r="429" ht="15.75" customHeight="1" s="60">
      <c r="A429" s="41" t="n"/>
      <c r="B429" s="41" t="n"/>
      <c r="C429" s="41" t="n"/>
      <c r="D429" s="41" t="n"/>
      <c r="E429" s="41" t="n"/>
      <c r="F429" s="41" t="n"/>
      <c r="G429" s="41" t="n"/>
      <c r="H429" s="41" t="n"/>
      <c r="I429" s="41" t="n"/>
      <c r="J429" s="41" t="n"/>
      <c r="K429" s="41" t="n"/>
    </row>
    <row r="430" ht="15.75" customHeight="1" s="60">
      <c r="A430" s="41" t="n"/>
      <c r="B430" s="41" t="n"/>
      <c r="C430" s="41" t="n"/>
      <c r="D430" s="41" t="n"/>
      <c r="E430" s="41" t="n"/>
      <c r="F430" s="41" t="n"/>
      <c r="G430" s="41" t="n"/>
      <c r="H430" s="41" t="n"/>
      <c r="I430" s="41" t="n"/>
      <c r="J430" s="41" t="n"/>
      <c r="K430" s="41" t="n"/>
    </row>
    <row r="431" ht="15.75" customHeight="1" s="60">
      <c r="A431" s="41" t="n"/>
      <c r="B431" s="41" t="n"/>
      <c r="C431" s="41" t="n"/>
      <c r="D431" s="41" t="n"/>
      <c r="E431" s="41" t="n"/>
      <c r="F431" s="41" t="n"/>
      <c r="G431" s="41" t="n"/>
      <c r="H431" s="41" t="n"/>
      <c r="I431" s="41" t="n"/>
      <c r="J431" s="41" t="n"/>
      <c r="K431" s="41" t="n"/>
    </row>
    <row r="432" ht="15.75" customHeight="1" s="60">
      <c r="A432" s="41" t="n"/>
      <c r="B432" s="41" t="n"/>
      <c r="C432" s="41" t="n"/>
      <c r="D432" s="41" t="n"/>
      <c r="E432" s="41" t="n"/>
      <c r="F432" s="41" t="n"/>
      <c r="G432" s="41" t="n"/>
      <c r="H432" s="41" t="n"/>
      <c r="I432" s="41" t="n"/>
      <c r="J432" s="41" t="n"/>
      <c r="K432" s="41" t="n"/>
    </row>
    <row r="433" ht="15.75" customHeight="1" s="60">
      <c r="A433" s="41" t="n"/>
      <c r="B433" s="41" t="n"/>
      <c r="C433" s="41" t="n"/>
      <c r="D433" s="41" t="n"/>
      <c r="E433" s="41" t="n"/>
      <c r="F433" s="41" t="n"/>
      <c r="G433" s="41" t="n"/>
      <c r="H433" s="41" t="n"/>
      <c r="I433" s="41" t="n"/>
      <c r="J433" s="41" t="n"/>
      <c r="K433" s="41" t="n"/>
    </row>
    <row r="434" ht="15.75" customHeight="1" s="60">
      <c r="A434" s="41" t="n"/>
      <c r="B434" s="41" t="n"/>
      <c r="C434" s="41" t="n"/>
      <c r="D434" s="41" t="n"/>
      <c r="E434" s="41" t="n"/>
      <c r="F434" s="41" t="n"/>
      <c r="G434" s="41" t="n"/>
      <c r="H434" s="41" t="n"/>
      <c r="I434" s="41" t="n"/>
      <c r="J434" s="41" t="n"/>
      <c r="K434" s="41" t="n"/>
    </row>
    <row r="435" ht="15.75" customHeight="1" s="60">
      <c r="A435" s="41" t="n"/>
      <c r="B435" s="41" t="n"/>
      <c r="C435" s="41" t="n"/>
      <c r="D435" s="41" t="n"/>
      <c r="E435" s="41" t="n"/>
      <c r="F435" s="41" t="n"/>
      <c r="G435" s="41" t="n"/>
      <c r="H435" s="41" t="n"/>
      <c r="I435" s="41" t="n"/>
      <c r="J435" s="41" t="n"/>
      <c r="K435" s="41" t="n"/>
    </row>
    <row r="436" ht="15.75" customHeight="1" s="60">
      <c r="A436" s="41" t="n"/>
      <c r="B436" s="41" t="n"/>
      <c r="C436" s="41" t="n"/>
      <c r="D436" s="41" t="n"/>
      <c r="E436" s="41" t="n"/>
      <c r="F436" s="41" t="n"/>
      <c r="G436" s="41" t="n"/>
      <c r="H436" s="41" t="n"/>
      <c r="I436" s="41" t="n"/>
      <c r="J436" s="41" t="n"/>
      <c r="K436" s="41" t="n"/>
    </row>
    <row r="437" ht="15.75" customHeight="1" s="60">
      <c r="A437" s="41" t="n"/>
      <c r="B437" s="41" t="n"/>
      <c r="C437" s="41" t="n"/>
      <c r="D437" s="41" t="n"/>
      <c r="E437" s="41" t="n"/>
      <c r="F437" s="41" t="n"/>
      <c r="G437" s="41" t="n"/>
      <c r="H437" s="41" t="n"/>
      <c r="I437" s="41" t="n"/>
      <c r="J437" s="41" t="n"/>
      <c r="K437" s="41" t="n"/>
    </row>
    <row r="438" ht="15.75" customHeight="1" s="60">
      <c r="A438" s="41" t="n"/>
      <c r="B438" s="41" t="n"/>
      <c r="C438" s="41" t="n"/>
      <c r="D438" s="41" t="n"/>
      <c r="E438" s="41" t="n"/>
      <c r="F438" s="41" t="n"/>
      <c r="G438" s="41" t="n"/>
      <c r="H438" s="41" t="n"/>
      <c r="I438" s="41" t="n"/>
      <c r="J438" s="41" t="n"/>
      <c r="K438" s="41" t="n"/>
    </row>
    <row r="439" ht="15.75" customHeight="1" s="60">
      <c r="A439" s="41" t="n"/>
      <c r="B439" s="41" t="n"/>
      <c r="C439" s="41" t="n"/>
      <c r="D439" s="41" t="n"/>
      <c r="E439" s="41" t="n"/>
      <c r="F439" s="41" t="n"/>
      <c r="G439" s="41" t="n"/>
      <c r="H439" s="41" t="n"/>
      <c r="I439" s="41" t="n"/>
      <c r="J439" s="41" t="n"/>
      <c r="K439" s="41" t="n"/>
    </row>
    <row r="440" ht="15.75" customHeight="1" s="60">
      <c r="A440" s="41" t="n"/>
      <c r="B440" s="41" t="n"/>
      <c r="C440" s="41" t="n"/>
      <c r="D440" s="41" t="n"/>
      <c r="E440" s="41" t="n"/>
      <c r="F440" s="41" t="n"/>
      <c r="G440" s="41" t="n"/>
      <c r="H440" s="41" t="n"/>
      <c r="I440" s="41" t="n"/>
      <c r="J440" s="41" t="n"/>
      <c r="K440" s="41" t="n"/>
    </row>
    <row r="441" ht="15.75" customHeight="1" s="60">
      <c r="A441" s="41" t="n"/>
      <c r="B441" s="41" t="n"/>
      <c r="C441" s="41" t="n"/>
      <c r="D441" s="41" t="n"/>
      <c r="E441" s="41" t="n"/>
      <c r="F441" s="41" t="n"/>
      <c r="G441" s="41" t="n"/>
      <c r="H441" s="41" t="n"/>
      <c r="I441" s="41" t="n"/>
      <c r="J441" s="41" t="n"/>
      <c r="K441" s="41" t="n"/>
    </row>
    <row r="442" ht="15.75" customHeight="1" s="60">
      <c r="A442" s="41" t="n"/>
      <c r="B442" s="41" t="n"/>
      <c r="C442" s="41" t="n"/>
      <c r="D442" s="41" t="n"/>
      <c r="E442" s="41" t="n"/>
      <c r="F442" s="41" t="n"/>
      <c r="G442" s="41" t="n"/>
      <c r="H442" s="41" t="n"/>
      <c r="I442" s="41" t="n"/>
      <c r="J442" s="41" t="n"/>
      <c r="K442" s="41" t="n"/>
    </row>
    <row r="443" ht="15.75" customHeight="1" s="60">
      <c r="A443" s="41" t="n"/>
      <c r="B443" s="41" t="n"/>
      <c r="C443" s="41" t="n"/>
      <c r="D443" s="41" t="n"/>
      <c r="E443" s="41" t="n"/>
      <c r="F443" s="41" t="n"/>
      <c r="G443" s="41" t="n"/>
      <c r="H443" s="41" t="n"/>
      <c r="I443" s="41" t="n"/>
      <c r="J443" s="41" t="n"/>
      <c r="K443" s="41" t="n"/>
    </row>
    <row r="444" ht="15.75" customHeight="1" s="60">
      <c r="A444" s="41" t="n"/>
      <c r="B444" s="41" t="n"/>
      <c r="C444" s="41" t="n"/>
      <c r="D444" s="41" t="n"/>
      <c r="E444" s="41" t="n"/>
      <c r="F444" s="41" t="n"/>
      <c r="G444" s="41" t="n"/>
      <c r="H444" s="41" t="n"/>
      <c r="I444" s="41" t="n"/>
      <c r="J444" s="41" t="n"/>
      <c r="K444" s="41" t="n"/>
    </row>
    <row r="445" ht="15.75" customHeight="1" s="60">
      <c r="A445" s="41" t="n"/>
      <c r="B445" s="41" t="n"/>
      <c r="C445" s="41" t="n"/>
      <c r="D445" s="41" t="n"/>
      <c r="E445" s="41" t="n"/>
      <c r="F445" s="41" t="n"/>
      <c r="G445" s="41" t="n"/>
      <c r="H445" s="41" t="n"/>
      <c r="I445" s="41" t="n"/>
      <c r="J445" s="41" t="n"/>
      <c r="K445" s="41" t="n"/>
    </row>
    <row r="446" ht="15.75" customHeight="1" s="60">
      <c r="A446" s="41" t="n"/>
      <c r="B446" s="41" t="n"/>
      <c r="C446" s="41" t="n"/>
      <c r="D446" s="41" t="n"/>
      <c r="E446" s="41" t="n"/>
      <c r="F446" s="41" t="n"/>
      <c r="G446" s="41" t="n"/>
      <c r="H446" s="41" t="n"/>
      <c r="I446" s="41" t="n"/>
      <c r="J446" s="41" t="n"/>
      <c r="K446" s="41" t="n"/>
    </row>
    <row r="447" ht="15.75" customHeight="1" s="60">
      <c r="A447" s="41" t="n"/>
      <c r="B447" s="41" t="n"/>
      <c r="C447" s="41" t="n"/>
      <c r="D447" s="41" t="n"/>
      <c r="E447" s="41" t="n"/>
      <c r="F447" s="41" t="n"/>
      <c r="G447" s="41" t="n"/>
      <c r="H447" s="41" t="n"/>
      <c r="I447" s="41" t="n"/>
      <c r="J447" s="41" t="n"/>
      <c r="K447" s="41" t="n"/>
    </row>
    <row r="448" ht="15.75" customHeight="1" s="60">
      <c r="A448" s="41" t="n"/>
      <c r="B448" s="41" t="n"/>
      <c r="C448" s="41" t="n"/>
      <c r="D448" s="41" t="n"/>
      <c r="E448" s="41" t="n"/>
      <c r="F448" s="41" t="n"/>
      <c r="G448" s="41" t="n"/>
      <c r="H448" s="41" t="n"/>
      <c r="I448" s="41" t="n"/>
      <c r="J448" s="41" t="n"/>
      <c r="K448" s="41" t="n"/>
    </row>
    <row r="449" ht="15.75" customHeight="1" s="60">
      <c r="A449" s="41" t="n"/>
      <c r="B449" s="41" t="n"/>
      <c r="C449" s="41" t="n"/>
      <c r="D449" s="41" t="n"/>
      <c r="E449" s="41" t="n"/>
      <c r="F449" s="41" t="n"/>
      <c r="G449" s="41" t="n"/>
      <c r="H449" s="41" t="n"/>
      <c r="I449" s="41" t="n"/>
      <c r="J449" s="41" t="n"/>
      <c r="K449" s="41" t="n"/>
    </row>
    <row r="450" ht="15.75" customHeight="1" s="60">
      <c r="A450" s="41" t="n"/>
      <c r="B450" s="41" t="n"/>
      <c r="C450" s="41" t="n"/>
      <c r="D450" s="41" t="n"/>
      <c r="E450" s="41" t="n"/>
      <c r="F450" s="41" t="n"/>
      <c r="G450" s="41" t="n"/>
      <c r="H450" s="41" t="n"/>
      <c r="I450" s="41" t="n"/>
      <c r="J450" s="41" t="n"/>
      <c r="K450" s="41" t="n"/>
    </row>
    <row r="451" ht="15.75" customHeight="1" s="60">
      <c r="A451" s="41" t="n"/>
      <c r="B451" s="41" t="n"/>
      <c r="C451" s="41" t="n"/>
      <c r="D451" s="41" t="n"/>
      <c r="E451" s="41" t="n"/>
      <c r="F451" s="41" t="n"/>
      <c r="G451" s="41" t="n"/>
      <c r="H451" s="41" t="n"/>
      <c r="I451" s="41" t="n"/>
      <c r="J451" s="41" t="n"/>
      <c r="K451" s="41" t="n"/>
    </row>
    <row r="452" ht="15.75" customHeight="1" s="60">
      <c r="A452" s="41" t="n"/>
      <c r="B452" s="41" t="n"/>
      <c r="C452" s="41" t="n"/>
      <c r="D452" s="41" t="n"/>
      <c r="E452" s="41" t="n"/>
      <c r="F452" s="41" t="n"/>
      <c r="G452" s="41" t="n"/>
      <c r="H452" s="41" t="n"/>
      <c r="I452" s="41" t="n"/>
      <c r="J452" s="41" t="n"/>
      <c r="K452" s="41" t="n"/>
    </row>
    <row r="453" ht="15.75" customHeight="1" s="60">
      <c r="A453" s="41" t="n"/>
      <c r="B453" s="41" t="n"/>
      <c r="C453" s="41" t="n"/>
      <c r="D453" s="41" t="n"/>
      <c r="E453" s="41" t="n"/>
      <c r="F453" s="41" t="n"/>
      <c r="G453" s="41" t="n"/>
      <c r="H453" s="41" t="n"/>
      <c r="I453" s="41" t="n"/>
      <c r="J453" s="41" t="n"/>
      <c r="K453" s="41" t="n"/>
    </row>
    <row r="454" ht="15.75" customHeight="1" s="60">
      <c r="A454" s="41" t="n"/>
      <c r="B454" s="41" t="n"/>
      <c r="C454" s="41" t="n"/>
      <c r="D454" s="41" t="n"/>
      <c r="E454" s="41" t="n"/>
      <c r="F454" s="41" t="n"/>
      <c r="G454" s="41" t="n"/>
      <c r="H454" s="41" t="n"/>
      <c r="I454" s="41" t="n"/>
      <c r="J454" s="41" t="n"/>
      <c r="K454" s="41" t="n"/>
    </row>
    <row r="455" ht="15.75" customHeight="1" s="60">
      <c r="A455" s="41" t="n"/>
      <c r="B455" s="41" t="n"/>
      <c r="C455" s="41" t="n"/>
      <c r="D455" s="41" t="n"/>
      <c r="E455" s="41" t="n"/>
      <c r="F455" s="41" t="n"/>
      <c r="G455" s="41" t="n"/>
      <c r="H455" s="41" t="n"/>
      <c r="I455" s="41" t="n"/>
      <c r="J455" s="41" t="n"/>
      <c r="K455" s="41" t="n"/>
    </row>
    <row r="456" ht="15.75" customHeight="1" s="60">
      <c r="A456" s="41" t="n"/>
      <c r="B456" s="41" t="n"/>
      <c r="C456" s="41" t="n"/>
      <c r="D456" s="41" t="n"/>
      <c r="E456" s="41" t="n"/>
      <c r="F456" s="41" t="n"/>
      <c r="G456" s="41" t="n"/>
      <c r="H456" s="41" t="n"/>
      <c r="I456" s="41" t="n"/>
      <c r="J456" s="41" t="n"/>
      <c r="K456" s="41" t="n"/>
    </row>
    <row r="457" ht="15.75" customHeight="1" s="60">
      <c r="A457" s="41" t="n"/>
      <c r="B457" s="41" t="n"/>
      <c r="C457" s="41" t="n"/>
      <c r="D457" s="41" t="n"/>
      <c r="E457" s="41" t="n"/>
      <c r="F457" s="41" t="n"/>
      <c r="G457" s="41" t="n"/>
      <c r="H457" s="41" t="n"/>
      <c r="I457" s="41" t="n"/>
      <c r="J457" s="41" t="n"/>
      <c r="K457" s="41" t="n"/>
    </row>
    <row r="458" ht="15.75" customHeight="1" s="60">
      <c r="A458" s="41" t="n"/>
      <c r="B458" s="41" t="n"/>
      <c r="C458" s="41" t="n"/>
      <c r="D458" s="41" t="n"/>
      <c r="E458" s="41" t="n"/>
      <c r="F458" s="41" t="n"/>
      <c r="G458" s="41" t="n"/>
      <c r="H458" s="41" t="n"/>
      <c r="I458" s="41" t="n"/>
      <c r="J458" s="41" t="n"/>
      <c r="K458" s="41" t="n"/>
    </row>
    <row r="459" ht="15.75" customHeight="1" s="60">
      <c r="A459" s="41" t="n"/>
      <c r="B459" s="41" t="n"/>
      <c r="C459" s="41" t="n"/>
      <c r="D459" s="41" t="n"/>
      <c r="E459" s="41" t="n"/>
      <c r="F459" s="41" t="n"/>
      <c r="G459" s="41" t="n"/>
      <c r="H459" s="41" t="n"/>
      <c r="I459" s="41" t="n"/>
      <c r="J459" s="41" t="n"/>
      <c r="K459" s="41" t="n"/>
    </row>
    <row r="460" ht="15.75" customHeight="1" s="60">
      <c r="A460" s="41" t="n"/>
      <c r="B460" s="41" t="n"/>
      <c r="C460" s="41" t="n"/>
      <c r="D460" s="41" t="n"/>
      <c r="E460" s="41" t="n"/>
      <c r="F460" s="41" t="n"/>
      <c r="G460" s="41" t="n"/>
      <c r="H460" s="41" t="n"/>
      <c r="I460" s="41" t="n"/>
      <c r="J460" s="41" t="n"/>
      <c r="K460" s="41" t="n"/>
    </row>
    <row r="461" ht="15.75" customHeight="1" s="60">
      <c r="A461" s="41" t="n"/>
      <c r="B461" s="41" t="n"/>
      <c r="C461" s="41" t="n"/>
      <c r="D461" s="41" t="n"/>
      <c r="E461" s="41" t="n"/>
      <c r="F461" s="41" t="n"/>
      <c r="G461" s="41" t="n"/>
      <c r="H461" s="41" t="n"/>
      <c r="I461" s="41" t="n"/>
      <c r="J461" s="41" t="n"/>
      <c r="K461" s="41" t="n"/>
    </row>
    <row r="462" ht="15.75" customHeight="1" s="60">
      <c r="A462" s="41" t="n"/>
      <c r="B462" s="41" t="n"/>
      <c r="C462" s="41" t="n"/>
      <c r="D462" s="41" t="n"/>
      <c r="E462" s="41" t="n"/>
      <c r="F462" s="41" t="n"/>
      <c r="G462" s="41" t="n"/>
      <c r="H462" s="41" t="n"/>
      <c r="I462" s="41" t="n"/>
      <c r="J462" s="41" t="n"/>
      <c r="K462" s="41" t="n"/>
    </row>
    <row r="463" ht="15.75" customHeight="1" s="60">
      <c r="A463" s="41" t="n"/>
      <c r="B463" s="41" t="n"/>
      <c r="C463" s="41" t="n"/>
      <c r="D463" s="41" t="n"/>
      <c r="E463" s="41" t="n"/>
      <c r="F463" s="41" t="n"/>
      <c r="G463" s="41" t="n"/>
      <c r="H463" s="41" t="n"/>
      <c r="I463" s="41" t="n"/>
      <c r="J463" s="41" t="n"/>
      <c r="K463" s="41" t="n"/>
    </row>
    <row r="464" ht="15.75" customHeight="1" s="60">
      <c r="A464" s="41" t="n"/>
      <c r="B464" s="41" t="n"/>
      <c r="C464" s="41" t="n"/>
      <c r="D464" s="41" t="n"/>
      <c r="E464" s="41" t="n"/>
      <c r="F464" s="41" t="n"/>
      <c r="G464" s="41" t="n"/>
      <c r="H464" s="41" t="n"/>
      <c r="I464" s="41" t="n"/>
      <c r="J464" s="41" t="n"/>
      <c r="K464" s="41" t="n"/>
    </row>
    <row r="465" ht="15.75" customHeight="1" s="60">
      <c r="A465" s="41" t="n"/>
      <c r="B465" s="41" t="n"/>
      <c r="C465" s="41" t="n"/>
      <c r="D465" s="41" t="n"/>
      <c r="E465" s="41" t="n"/>
      <c r="F465" s="41" t="n"/>
      <c r="G465" s="41" t="n"/>
      <c r="H465" s="41" t="n"/>
      <c r="I465" s="41" t="n"/>
      <c r="J465" s="41" t="n"/>
      <c r="K465" s="41" t="n"/>
    </row>
    <row r="466" ht="15.75" customHeight="1" s="60">
      <c r="A466" s="41" t="n"/>
      <c r="B466" s="41" t="n"/>
      <c r="C466" s="41" t="n"/>
      <c r="D466" s="41" t="n"/>
      <c r="E466" s="41" t="n"/>
      <c r="F466" s="41" t="n"/>
      <c r="G466" s="41" t="n"/>
      <c r="H466" s="41" t="n"/>
      <c r="I466" s="41" t="n"/>
      <c r="J466" s="41" t="n"/>
      <c r="K466" s="41" t="n"/>
    </row>
    <row r="467" ht="15.75" customHeight="1" s="60">
      <c r="A467" s="41" t="n"/>
      <c r="B467" s="41" t="n"/>
      <c r="C467" s="41" t="n"/>
      <c r="D467" s="41" t="n"/>
      <c r="E467" s="41" t="n"/>
      <c r="F467" s="41" t="n"/>
      <c r="G467" s="41" t="n"/>
      <c r="H467" s="41" t="n"/>
      <c r="I467" s="41" t="n"/>
      <c r="J467" s="41" t="n"/>
      <c r="K467" s="41" t="n"/>
    </row>
    <row r="468" ht="15.75" customHeight="1" s="60">
      <c r="A468" s="41" t="n"/>
      <c r="B468" s="41" t="n"/>
      <c r="C468" s="41" t="n"/>
      <c r="D468" s="41" t="n"/>
      <c r="E468" s="41" t="n"/>
      <c r="F468" s="41" t="n"/>
      <c r="G468" s="41" t="n"/>
      <c r="H468" s="41" t="n"/>
      <c r="I468" s="41" t="n"/>
      <c r="J468" s="41" t="n"/>
      <c r="K468" s="41" t="n"/>
    </row>
    <row r="469" ht="15.75" customHeight="1" s="60">
      <c r="A469" s="41" t="n"/>
      <c r="B469" s="41" t="n"/>
      <c r="C469" s="41" t="n"/>
      <c r="D469" s="41" t="n"/>
      <c r="E469" s="41" t="n"/>
      <c r="F469" s="41" t="n"/>
      <c r="G469" s="41" t="n"/>
      <c r="H469" s="41" t="n"/>
      <c r="I469" s="41" t="n"/>
      <c r="J469" s="41" t="n"/>
      <c r="K469" s="41" t="n"/>
    </row>
    <row r="470" ht="15.75" customHeight="1" s="60">
      <c r="A470" s="41" t="n"/>
      <c r="B470" s="41" t="n"/>
      <c r="C470" s="41" t="n"/>
      <c r="D470" s="41" t="n"/>
      <c r="E470" s="41" t="n"/>
      <c r="F470" s="41" t="n"/>
      <c r="G470" s="41" t="n"/>
      <c r="H470" s="41" t="n"/>
      <c r="I470" s="41" t="n"/>
      <c r="J470" s="41" t="n"/>
      <c r="K470" s="41" t="n"/>
    </row>
    <row r="471" ht="15.75" customHeight="1" s="60">
      <c r="A471" s="41" t="n"/>
      <c r="B471" s="41" t="n"/>
      <c r="C471" s="41" t="n"/>
      <c r="D471" s="41" t="n"/>
      <c r="E471" s="41" t="n"/>
      <c r="F471" s="41" t="n"/>
      <c r="G471" s="41" t="n"/>
      <c r="H471" s="41" t="n"/>
      <c r="I471" s="41" t="n"/>
      <c r="J471" s="41" t="n"/>
      <c r="K471" s="41" t="n"/>
    </row>
    <row r="472" ht="15.75" customHeight="1" s="60">
      <c r="A472" s="41" t="n"/>
      <c r="B472" s="41" t="n"/>
      <c r="C472" s="41" t="n"/>
      <c r="D472" s="41" t="n"/>
      <c r="E472" s="41" t="n"/>
      <c r="F472" s="41" t="n"/>
      <c r="G472" s="41" t="n"/>
      <c r="H472" s="41" t="n"/>
      <c r="I472" s="41" t="n"/>
      <c r="J472" s="41" t="n"/>
      <c r="K472" s="41" t="n"/>
    </row>
    <row r="473" ht="15.75" customHeight="1" s="60">
      <c r="A473" s="41" t="n"/>
      <c r="B473" s="41" t="n"/>
      <c r="C473" s="41" t="n"/>
      <c r="D473" s="41" t="n"/>
      <c r="E473" s="41" t="n"/>
      <c r="F473" s="41" t="n"/>
      <c r="G473" s="41" t="n"/>
      <c r="H473" s="41" t="n"/>
      <c r="I473" s="41" t="n"/>
      <c r="J473" s="41" t="n"/>
      <c r="K473" s="41" t="n"/>
    </row>
    <row r="474" ht="15.75" customHeight="1" s="60">
      <c r="A474" s="41" t="n"/>
      <c r="B474" s="41" t="n"/>
      <c r="C474" s="41" t="n"/>
      <c r="D474" s="41" t="n"/>
      <c r="E474" s="41" t="n"/>
      <c r="F474" s="41" t="n"/>
      <c r="G474" s="41" t="n"/>
      <c r="H474" s="41" t="n"/>
      <c r="I474" s="41" t="n"/>
      <c r="J474" s="41" t="n"/>
      <c r="K474" s="41" t="n"/>
    </row>
    <row r="475" ht="15.75" customHeight="1" s="60">
      <c r="A475" s="41" t="n"/>
      <c r="B475" s="41" t="n"/>
      <c r="C475" s="41" t="n"/>
      <c r="D475" s="41" t="n"/>
      <c r="E475" s="41" t="n"/>
      <c r="F475" s="41" t="n"/>
      <c r="G475" s="41" t="n"/>
      <c r="H475" s="41" t="n"/>
      <c r="I475" s="41" t="n"/>
      <c r="J475" s="41" t="n"/>
      <c r="K475" s="41" t="n"/>
    </row>
    <row r="476" ht="15.75" customHeight="1" s="60">
      <c r="A476" s="41" t="n"/>
      <c r="B476" s="41" t="n"/>
      <c r="C476" s="41" t="n"/>
      <c r="D476" s="41" t="n"/>
      <c r="E476" s="41" t="n"/>
      <c r="F476" s="41" t="n"/>
      <c r="G476" s="41" t="n"/>
      <c r="H476" s="41" t="n"/>
      <c r="I476" s="41" t="n"/>
      <c r="J476" s="41" t="n"/>
      <c r="K476" s="41" t="n"/>
    </row>
    <row r="477" ht="15.75" customHeight="1" s="60">
      <c r="A477" s="41" t="n"/>
      <c r="B477" s="41" t="n"/>
      <c r="C477" s="41" t="n"/>
      <c r="D477" s="41" t="n"/>
      <c r="E477" s="41" t="n"/>
      <c r="F477" s="41" t="n"/>
      <c r="G477" s="41" t="n"/>
      <c r="H477" s="41" t="n"/>
      <c r="I477" s="41" t="n"/>
      <c r="J477" s="41" t="n"/>
      <c r="K477" s="41" t="n"/>
    </row>
    <row r="478" ht="15.75" customHeight="1" s="60">
      <c r="A478" s="41" t="n"/>
      <c r="B478" s="41" t="n"/>
      <c r="C478" s="41" t="n"/>
      <c r="D478" s="41" t="n"/>
      <c r="E478" s="41" t="n"/>
      <c r="F478" s="41" t="n"/>
      <c r="G478" s="41" t="n"/>
      <c r="H478" s="41" t="n"/>
      <c r="I478" s="41" t="n"/>
      <c r="J478" s="41" t="n"/>
      <c r="K478" s="41" t="n"/>
    </row>
    <row r="479" ht="15.75" customHeight="1" s="60">
      <c r="A479" s="41" t="n"/>
      <c r="B479" s="41" t="n"/>
      <c r="C479" s="41" t="n"/>
      <c r="D479" s="41" t="n"/>
      <c r="E479" s="41" t="n"/>
      <c r="F479" s="41" t="n"/>
      <c r="G479" s="41" t="n"/>
      <c r="H479" s="41" t="n"/>
      <c r="I479" s="41" t="n"/>
      <c r="J479" s="41" t="n"/>
      <c r="K479" s="41" t="n"/>
    </row>
    <row r="480" ht="15.75" customHeight="1" s="60">
      <c r="A480" s="41" t="n"/>
      <c r="B480" s="41" t="n"/>
      <c r="C480" s="41" t="n"/>
      <c r="D480" s="41" t="n"/>
      <c r="E480" s="41" t="n"/>
      <c r="F480" s="41" t="n"/>
      <c r="G480" s="41" t="n"/>
      <c r="H480" s="41" t="n"/>
      <c r="I480" s="41" t="n"/>
      <c r="J480" s="41" t="n"/>
      <c r="K480" s="41" t="n"/>
    </row>
    <row r="481" ht="15.75" customHeight="1" s="60">
      <c r="A481" s="41" t="n"/>
      <c r="B481" s="41" t="n"/>
      <c r="C481" s="41" t="n"/>
      <c r="D481" s="41" t="n"/>
      <c r="E481" s="41" t="n"/>
      <c r="F481" s="41" t="n"/>
      <c r="G481" s="41" t="n"/>
      <c r="H481" s="41" t="n"/>
      <c r="I481" s="41" t="n"/>
      <c r="J481" s="41" t="n"/>
      <c r="K481" s="41" t="n"/>
    </row>
    <row r="482" ht="15.75" customHeight="1" s="60">
      <c r="A482" s="41" t="n"/>
      <c r="B482" s="41" t="n"/>
      <c r="C482" s="41" t="n"/>
      <c r="D482" s="41" t="n"/>
      <c r="E482" s="41" t="n"/>
      <c r="F482" s="41" t="n"/>
      <c r="G482" s="41" t="n"/>
      <c r="H482" s="41" t="n"/>
      <c r="I482" s="41" t="n"/>
      <c r="J482" s="41" t="n"/>
      <c r="K482" s="41" t="n"/>
    </row>
    <row r="483" ht="15.75" customHeight="1" s="60">
      <c r="A483" s="41" t="n"/>
      <c r="B483" s="41" t="n"/>
      <c r="C483" s="41" t="n"/>
      <c r="D483" s="41" t="n"/>
      <c r="E483" s="41" t="n"/>
      <c r="F483" s="41" t="n"/>
      <c r="G483" s="41" t="n"/>
      <c r="H483" s="41" t="n"/>
      <c r="I483" s="41" t="n"/>
      <c r="J483" s="41" t="n"/>
      <c r="K483" s="41" t="n"/>
    </row>
    <row r="484" ht="15.75" customHeight="1" s="60">
      <c r="A484" s="41" t="n"/>
      <c r="B484" s="41" t="n"/>
      <c r="C484" s="41" t="n"/>
      <c r="D484" s="41" t="n"/>
      <c r="E484" s="41" t="n"/>
      <c r="F484" s="41" t="n"/>
      <c r="G484" s="41" t="n"/>
      <c r="H484" s="41" t="n"/>
      <c r="I484" s="41" t="n"/>
      <c r="J484" s="41" t="n"/>
      <c r="K484" s="41" t="n"/>
    </row>
    <row r="485" ht="15.75" customHeight="1" s="60">
      <c r="A485" s="41" t="n"/>
      <c r="B485" s="41" t="n"/>
      <c r="C485" s="41" t="n"/>
      <c r="D485" s="41" t="n"/>
      <c r="E485" s="41" t="n"/>
      <c r="F485" s="41" t="n"/>
      <c r="G485" s="41" t="n"/>
      <c r="H485" s="41" t="n"/>
      <c r="I485" s="41" t="n"/>
      <c r="J485" s="41" t="n"/>
      <c r="K485" s="41" t="n"/>
    </row>
    <row r="486" ht="15.75" customHeight="1" s="60">
      <c r="A486" s="41" t="n"/>
      <c r="B486" s="41" t="n"/>
      <c r="C486" s="41" t="n"/>
      <c r="D486" s="41" t="n"/>
      <c r="E486" s="41" t="n"/>
      <c r="F486" s="41" t="n"/>
      <c r="G486" s="41" t="n"/>
      <c r="H486" s="41" t="n"/>
      <c r="I486" s="41" t="n"/>
      <c r="J486" s="41" t="n"/>
      <c r="K486" s="41" t="n"/>
    </row>
    <row r="487" ht="15.75" customHeight="1" s="60">
      <c r="A487" s="41" t="n"/>
      <c r="B487" s="41" t="n"/>
      <c r="C487" s="41" t="n"/>
      <c r="D487" s="41" t="n"/>
      <c r="E487" s="41" t="n"/>
      <c r="F487" s="41" t="n"/>
      <c r="G487" s="41" t="n"/>
      <c r="H487" s="41" t="n"/>
      <c r="I487" s="41" t="n"/>
      <c r="J487" s="41" t="n"/>
      <c r="K487" s="41" t="n"/>
    </row>
    <row r="488" ht="15.75" customHeight="1" s="60">
      <c r="A488" s="41" t="n"/>
      <c r="B488" s="41" t="n"/>
      <c r="C488" s="41" t="n"/>
      <c r="D488" s="41" t="n"/>
      <c r="E488" s="41" t="n"/>
      <c r="F488" s="41" t="n"/>
      <c r="G488" s="41" t="n"/>
      <c r="H488" s="41" t="n"/>
      <c r="I488" s="41" t="n"/>
      <c r="J488" s="41" t="n"/>
      <c r="K488" s="41" t="n"/>
    </row>
    <row r="489" ht="15.75" customHeight="1" s="60">
      <c r="A489" s="41" t="n"/>
      <c r="B489" s="41" t="n"/>
      <c r="C489" s="41" t="n"/>
      <c r="D489" s="41" t="n"/>
      <c r="E489" s="41" t="n"/>
      <c r="F489" s="41" t="n"/>
      <c r="G489" s="41" t="n"/>
      <c r="H489" s="41" t="n"/>
      <c r="I489" s="41" t="n"/>
      <c r="J489" s="41" t="n"/>
      <c r="K489" s="41" t="n"/>
    </row>
    <row r="490" ht="15.75" customHeight="1" s="60">
      <c r="A490" s="41" t="n"/>
      <c r="B490" s="41" t="n"/>
      <c r="C490" s="41" t="n"/>
      <c r="D490" s="41" t="n"/>
      <c r="E490" s="41" t="n"/>
      <c r="F490" s="41" t="n"/>
      <c r="G490" s="41" t="n"/>
      <c r="H490" s="41" t="n"/>
      <c r="I490" s="41" t="n"/>
      <c r="J490" s="41" t="n"/>
      <c r="K490" s="41" t="n"/>
    </row>
    <row r="491" ht="15.75" customHeight="1" s="60">
      <c r="A491" s="41" t="n"/>
      <c r="B491" s="41" t="n"/>
      <c r="C491" s="41" t="n"/>
      <c r="D491" s="41" t="n"/>
      <c r="E491" s="41" t="n"/>
      <c r="F491" s="41" t="n"/>
      <c r="G491" s="41" t="n"/>
      <c r="H491" s="41" t="n"/>
      <c r="I491" s="41" t="n"/>
      <c r="J491" s="41" t="n"/>
      <c r="K491" s="41" t="n"/>
    </row>
    <row r="492" ht="15.75" customHeight="1" s="60">
      <c r="A492" s="41" t="n"/>
      <c r="B492" s="41" t="n"/>
      <c r="C492" s="41" t="n"/>
      <c r="D492" s="41" t="n"/>
      <c r="E492" s="41" t="n"/>
      <c r="F492" s="41" t="n"/>
      <c r="G492" s="41" t="n"/>
      <c r="H492" s="41" t="n"/>
      <c r="I492" s="41" t="n"/>
      <c r="J492" s="41" t="n"/>
      <c r="K492" s="41" t="n"/>
    </row>
    <row r="493" ht="15.75" customHeight="1" s="60">
      <c r="A493" s="41" t="n"/>
      <c r="B493" s="41" t="n"/>
      <c r="C493" s="41" t="n"/>
      <c r="D493" s="41" t="n"/>
      <c r="E493" s="41" t="n"/>
      <c r="F493" s="41" t="n"/>
      <c r="G493" s="41" t="n"/>
      <c r="H493" s="41" t="n"/>
      <c r="I493" s="41" t="n"/>
      <c r="J493" s="41" t="n"/>
      <c r="K493" s="41" t="n"/>
    </row>
    <row r="494" ht="15.75" customHeight="1" s="60">
      <c r="A494" s="41" t="n"/>
      <c r="B494" s="41" t="n"/>
      <c r="C494" s="41" t="n"/>
      <c r="D494" s="41" t="n"/>
      <c r="E494" s="41" t="n"/>
      <c r="F494" s="41" t="n"/>
      <c r="G494" s="41" t="n"/>
      <c r="H494" s="41" t="n"/>
      <c r="I494" s="41" t="n"/>
      <c r="J494" s="41" t="n"/>
      <c r="K494" s="41" t="n"/>
    </row>
    <row r="495" ht="15.75" customHeight="1" s="60">
      <c r="A495" s="41" t="n"/>
      <c r="B495" s="41" t="n"/>
      <c r="C495" s="41" t="n"/>
      <c r="D495" s="41" t="n"/>
      <c r="E495" s="41" t="n"/>
      <c r="F495" s="41" t="n"/>
      <c r="G495" s="41" t="n"/>
      <c r="H495" s="41" t="n"/>
      <c r="I495" s="41" t="n"/>
      <c r="J495" s="41" t="n"/>
      <c r="K495" s="41" t="n"/>
    </row>
    <row r="496" ht="15.75" customHeight="1" s="60">
      <c r="A496" s="41" t="n"/>
      <c r="B496" s="41" t="n"/>
      <c r="C496" s="41" t="n"/>
      <c r="D496" s="41" t="n"/>
      <c r="E496" s="41" t="n"/>
      <c r="F496" s="41" t="n"/>
      <c r="G496" s="41" t="n"/>
      <c r="H496" s="41" t="n"/>
      <c r="I496" s="41" t="n"/>
      <c r="J496" s="41" t="n"/>
      <c r="K496" s="41" t="n"/>
    </row>
    <row r="497" ht="15.75" customHeight="1" s="60">
      <c r="A497" s="41" t="n"/>
      <c r="B497" s="41" t="n"/>
      <c r="C497" s="41" t="n"/>
      <c r="D497" s="41" t="n"/>
      <c r="E497" s="41" t="n"/>
      <c r="F497" s="41" t="n"/>
      <c r="G497" s="41" t="n"/>
      <c r="H497" s="41" t="n"/>
      <c r="I497" s="41" t="n"/>
      <c r="J497" s="41" t="n"/>
      <c r="K497" s="41" t="n"/>
    </row>
    <row r="498" ht="15.75" customHeight="1" s="60">
      <c r="A498" s="41" t="n"/>
      <c r="B498" s="41" t="n"/>
      <c r="C498" s="41" t="n"/>
      <c r="D498" s="41" t="n"/>
      <c r="E498" s="41" t="n"/>
      <c r="F498" s="41" t="n"/>
      <c r="G498" s="41" t="n"/>
      <c r="H498" s="41" t="n"/>
      <c r="I498" s="41" t="n"/>
      <c r="J498" s="41" t="n"/>
      <c r="K498" s="41" t="n"/>
    </row>
    <row r="499" ht="15.75" customHeight="1" s="60">
      <c r="A499" s="41" t="n"/>
      <c r="B499" s="41" t="n"/>
      <c r="C499" s="41" t="n"/>
      <c r="D499" s="41" t="n"/>
      <c r="E499" s="41" t="n"/>
      <c r="F499" s="41" t="n"/>
      <c r="G499" s="41" t="n"/>
      <c r="H499" s="41" t="n"/>
      <c r="I499" s="41" t="n"/>
      <c r="J499" s="41" t="n"/>
      <c r="K499" s="41" t="n"/>
    </row>
    <row r="500" ht="15.75" customHeight="1" s="60">
      <c r="A500" s="41" t="n"/>
      <c r="B500" s="41" t="n"/>
      <c r="C500" s="41" t="n"/>
      <c r="D500" s="41" t="n"/>
      <c r="E500" s="41" t="n"/>
      <c r="F500" s="41" t="n"/>
      <c r="G500" s="41" t="n"/>
      <c r="H500" s="41" t="n"/>
      <c r="I500" s="41" t="n"/>
      <c r="J500" s="41" t="n"/>
      <c r="K500" s="41" t="n"/>
    </row>
    <row r="501" ht="15.75" customHeight="1" s="60">
      <c r="A501" s="41" t="n"/>
      <c r="B501" s="41" t="n"/>
      <c r="C501" s="41" t="n"/>
      <c r="D501" s="41" t="n"/>
      <c r="E501" s="41" t="n"/>
      <c r="F501" s="41" t="n"/>
      <c r="G501" s="41" t="n"/>
      <c r="H501" s="41" t="n"/>
      <c r="I501" s="41" t="n"/>
      <c r="J501" s="41" t="n"/>
      <c r="K501" s="41" t="n"/>
    </row>
    <row r="502" ht="15.75" customHeight="1" s="60">
      <c r="A502" s="41" t="n"/>
      <c r="B502" s="41" t="n"/>
      <c r="C502" s="41" t="n"/>
      <c r="D502" s="41" t="n"/>
      <c r="E502" s="41" t="n"/>
      <c r="F502" s="41" t="n"/>
      <c r="G502" s="41" t="n"/>
      <c r="H502" s="41" t="n"/>
      <c r="I502" s="41" t="n"/>
      <c r="J502" s="41" t="n"/>
      <c r="K502" s="41" t="n"/>
    </row>
    <row r="503" ht="15.75" customHeight="1" s="60">
      <c r="A503" s="41" t="n"/>
      <c r="B503" s="41" t="n"/>
      <c r="C503" s="41" t="n"/>
      <c r="D503" s="41" t="n"/>
      <c r="E503" s="41" t="n"/>
      <c r="F503" s="41" t="n"/>
      <c r="G503" s="41" t="n"/>
      <c r="H503" s="41" t="n"/>
      <c r="I503" s="41" t="n"/>
      <c r="J503" s="41" t="n"/>
      <c r="K503" s="41" t="n"/>
    </row>
    <row r="504" ht="15.75" customHeight="1" s="60">
      <c r="A504" s="41" t="n"/>
      <c r="B504" s="41" t="n"/>
      <c r="C504" s="41" t="n"/>
      <c r="D504" s="41" t="n"/>
      <c r="E504" s="41" t="n"/>
      <c r="F504" s="41" t="n"/>
      <c r="G504" s="41" t="n"/>
      <c r="H504" s="41" t="n"/>
      <c r="I504" s="41" t="n"/>
      <c r="J504" s="41" t="n"/>
      <c r="K504" s="41" t="n"/>
    </row>
    <row r="505" ht="15.75" customHeight="1" s="60">
      <c r="A505" s="41" t="n"/>
      <c r="B505" s="41" t="n"/>
      <c r="C505" s="41" t="n"/>
      <c r="D505" s="41" t="n"/>
      <c r="E505" s="41" t="n"/>
      <c r="F505" s="41" t="n"/>
      <c r="G505" s="41" t="n"/>
      <c r="H505" s="41" t="n"/>
      <c r="I505" s="41" t="n"/>
      <c r="J505" s="41" t="n"/>
      <c r="K505" s="41" t="n"/>
    </row>
    <row r="506" ht="15.75" customHeight="1" s="60">
      <c r="A506" s="41" t="n"/>
      <c r="B506" s="41" t="n"/>
      <c r="C506" s="41" t="n"/>
      <c r="D506" s="41" t="n"/>
      <c r="E506" s="41" t="n"/>
      <c r="F506" s="41" t="n"/>
      <c r="G506" s="41" t="n"/>
      <c r="H506" s="41" t="n"/>
      <c r="I506" s="41" t="n"/>
      <c r="J506" s="41" t="n"/>
      <c r="K506" s="41" t="n"/>
    </row>
    <row r="507" ht="15.75" customHeight="1" s="60">
      <c r="A507" s="41" t="n"/>
      <c r="B507" s="41" t="n"/>
      <c r="C507" s="41" t="n"/>
      <c r="D507" s="41" t="n"/>
      <c r="E507" s="41" t="n"/>
      <c r="F507" s="41" t="n"/>
      <c r="G507" s="41" t="n"/>
      <c r="H507" s="41" t="n"/>
      <c r="I507" s="41" t="n"/>
      <c r="J507" s="41" t="n"/>
      <c r="K507" s="41" t="n"/>
    </row>
    <row r="508" ht="15.75" customHeight="1" s="60">
      <c r="A508" s="41" t="n"/>
      <c r="B508" s="41" t="n"/>
      <c r="C508" s="41" t="n"/>
      <c r="D508" s="41" t="n"/>
      <c r="E508" s="41" t="n"/>
      <c r="F508" s="41" t="n"/>
      <c r="G508" s="41" t="n"/>
      <c r="H508" s="41" t="n"/>
      <c r="I508" s="41" t="n"/>
      <c r="J508" s="41" t="n"/>
      <c r="K508" s="41" t="n"/>
    </row>
    <row r="509" ht="15.75" customHeight="1" s="60">
      <c r="A509" s="41" t="n"/>
      <c r="B509" s="41" t="n"/>
      <c r="C509" s="41" t="n"/>
      <c r="D509" s="41" t="n"/>
      <c r="E509" s="41" t="n"/>
      <c r="F509" s="41" t="n"/>
      <c r="G509" s="41" t="n"/>
      <c r="H509" s="41" t="n"/>
      <c r="I509" s="41" t="n"/>
      <c r="J509" s="41" t="n"/>
      <c r="K509" s="41" t="n"/>
    </row>
    <row r="510" ht="15.75" customHeight="1" s="60">
      <c r="A510" s="41" t="n"/>
      <c r="B510" s="41" t="n"/>
      <c r="C510" s="41" t="n"/>
      <c r="D510" s="41" t="n"/>
      <c r="E510" s="41" t="n"/>
      <c r="F510" s="41" t="n"/>
      <c r="G510" s="41" t="n"/>
      <c r="H510" s="41" t="n"/>
      <c r="I510" s="41" t="n"/>
      <c r="J510" s="41" t="n"/>
      <c r="K510" s="41" t="n"/>
    </row>
    <row r="511" ht="15.75" customHeight="1" s="60">
      <c r="A511" s="41" t="n"/>
      <c r="B511" s="41" t="n"/>
      <c r="C511" s="41" t="n"/>
      <c r="D511" s="41" t="n"/>
      <c r="E511" s="41" t="n"/>
      <c r="F511" s="41" t="n"/>
      <c r="G511" s="41" t="n"/>
      <c r="H511" s="41" t="n"/>
      <c r="I511" s="41" t="n"/>
      <c r="J511" s="41" t="n"/>
      <c r="K511" s="41" t="n"/>
    </row>
    <row r="512" ht="15.75" customHeight="1" s="60">
      <c r="A512" s="41" t="n"/>
      <c r="B512" s="41" t="n"/>
      <c r="C512" s="41" t="n"/>
      <c r="D512" s="41" t="n"/>
      <c r="E512" s="41" t="n"/>
      <c r="F512" s="41" t="n"/>
      <c r="G512" s="41" t="n"/>
      <c r="H512" s="41" t="n"/>
      <c r="I512" s="41" t="n"/>
      <c r="J512" s="41" t="n"/>
      <c r="K512" s="41" t="n"/>
    </row>
    <row r="513" ht="15.75" customHeight="1" s="60">
      <c r="A513" s="41" t="n"/>
      <c r="B513" s="41" t="n"/>
      <c r="C513" s="41" t="n"/>
      <c r="D513" s="41" t="n"/>
      <c r="E513" s="41" t="n"/>
      <c r="F513" s="41" t="n"/>
      <c r="G513" s="41" t="n"/>
      <c r="H513" s="41" t="n"/>
      <c r="I513" s="41" t="n"/>
      <c r="J513" s="41" t="n"/>
      <c r="K513" s="41" t="n"/>
    </row>
    <row r="514" ht="15.75" customHeight="1" s="60">
      <c r="A514" s="41" t="n"/>
      <c r="B514" s="41" t="n"/>
      <c r="C514" s="41" t="n"/>
      <c r="D514" s="41" t="n"/>
      <c r="E514" s="41" t="n"/>
      <c r="F514" s="41" t="n"/>
      <c r="G514" s="41" t="n"/>
      <c r="H514" s="41" t="n"/>
      <c r="I514" s="41" t="n"/>
      <c r="J514" s="41" t="n"/>
      <c r="K514" s="41" t="n"/>
    </row>
    <row r="515" ht="15.75" customHeight="1" s="60">
      <c r="A515" s="41" t="n"/>
      <c r="B515" s="41" t="n"/>
      <c r="C515" s="41" t="n"/>
      <c r="D515" s="41" t="n"/>
      <c r="E515" s="41" t="n"/>
      <c r="F515" s="41" t="n"/>
      <c r="G515" s="41" t="n"/>
      <c r="H515" s="41" t="n"/>
      <c r="I515" s="41" t="n"/>
      <c r="J515" s="41" t="n"/>
      <c r="K515" s="41" t="n"/>
    </row>
    <row r="516" ht="15.75" customHeight="1" s="60">
      <c r="A516" s="41" t="n"/>
      <c r="B516" s="41" t="n"/>
      <c r="C516" s="41" t="n"/>
      <c r="D516" s="41" t="n"/>
      <c r="E516" s="41" t="n"/>
      <c r="F516" s="41" t="n"/>
      <c r="G516" s="41" t="n"/>
      <c r="H516" s="41" t="n"/>
      <c r="I516" s="41" t="n"/>
      <c r="J516" s="41" t="n"/>
      <c r="K516" s="41" t="n"/>
    </row>
    <row r="517" ht="15.75" customHeight="1" s="60">
      <c r="A517" s="41" t="n"/>
      <c r="B517" s="41" t="n"/>
      <c r="C517" s="41" t="n"/>
      <c r="D517" s="41" t="n"/>
      <c r="E517" s="41" t="n"/>
      <c r="F517" s="41" t="n"/>
      <c r="G517" s="41" t="n"/>
      <c r="H517" s="41" t="n"/>
      <c r="I517" s="41" t="n"/>
      <c r="J517" s="41" t="n"/>
      <c r="K517" s="41" t="n"/>
    </row>
    <row r="518" ht="15.75" customHeight="1" s="60">
      <c r="A518" s="41" t="n"/>
      <c r="B518" s="41" t="n"/>
      <c r="C518" s="41" t="n"/>
      <c r="D518" s="41" t="n"/>
      <c r="E518" s="41" t="n"/>
      <c r="F518" s="41" t="n"/>
      <c r="G518" s="41" t="n"/>
      <c r="H518" s="41" t="n"/>
      <c r="I518" s="41" t="n"/>
      <c r="J518" s="41" t="n"/>
      <c r="K518" s="41" t="n"/>
    </row>
    <row r="519" ht="15.75" customHeight="1" s="60">
      <c r="A519" s="41" t="n"/>
      <c r="B519" s="41" t="n"/>
      <c r="C519" s="41" t="n"/>
      <c r="D519" s="41" t="n"/>
      <c r="E519" s="41" t="n"/>
      <c r="F519" s="41" t="n"/>
      <c r="G519" s="41" t="n"/>
      <c r="H519" s="41" t="n"/>
      <c r="I519" s="41" t="n"/>
      <c r="J519" s="41" t="n"/>
      <c r="K519" s="41" t="n"/>
    </row>
    <row r="520" ht="15.75" customHeight="1" s="60">
      <c r="A520" s="41" t="n"/>
      <c r="B520" s="41" t="n"/>
      <c r="C520" s="41" t="n"/>
      <c r="D520" s="41" t="n"/>
      <c r="E520" s="41" t="n"/>
      <c r="F520" s="41" t="n"/>
      <c r="G520" s="41" t="n"/>
      <c r="H520" s="41" t="n"/>
      <c r="I520" s="41" t="n"/>
      <c r="J520" s="41" t="n"/>
      <c r="K520" s="41" t="n"/>
    </row>
    <row r="521" ht="15.75" customHeight="1" s="60">
      <c r="A521" s="41" t="n"/>
      <c r="B521" s="41" t="n"/>
      <c r="C521" s="41" t="n"/>
      <c r="D521" s="41" t="n"/>
      <c r="E521" s="41" t="n"/>
      <c r="F521" s="41" t="n"/>
      <c r="G521" s="41" t="n"/>
      <c r="H521" s="41" t="n"/>
      <c r="I521" s="41" t="n"/>
      <c r="J521" s="41" t="n"/>
      <c r="K521" s="41" t="n"/>
    </row>
    <row r="522" ht="15.75" customHeight="1" s="60">
      <c r="A522" s="41" t="n"/>
      <c r="B522" s="41" t="n"/>
      <c r="C522" s="41" t="n"/>
      <c r="D522" s="41" t="n"/>
      <c r="E522" s="41" t="n"/>
      <c r="F522" s="41" t="n"/>
      <c r="G522" s="41" t="n"/>
      <c r="H522" s="41" t="n"/>
      <c r="I522" s="41" t="n"/>
      <c r="J522" s="41" t="n"/>
      <c r="K522" s="41" t="n"/>
    </row>
    <row r="523" ht="15.75" customHeight="1" s="60">
      <c r="A523" s="41" t="n"/>
      <c r="B523" s="41" t="n"/>
      <c r="C523" s="41" t="n"/>
      <c r="D523" s="41" t="n"/>
      <c r="E523" s="41" t="n"/>
      <c r="F523" s="41" t="n"/>
      <c r="G523" s="41" t="n"/>
      <c r="H523" s="41" t="n"/>
      <c r="I523" s="41" t="n"/>
      <c r="J523" s="41" t="n"/>
      <c r="K523" s="41" t="n"/>
    </row>
    <row r="524" ht="15.75" customHeight="1" s="60">
      <c r="A524" s="41" t="n"/>
      <c r="B524" s="41" t="n"/>
      <c r="C524" s="41" t="n"/>
      <c r="D524" s="41" t="n"/>
      <c r="E524" s="41" t="n"/>
      <c r="F524" s="41" t="n"/>
      <c r="G524" s="41" t="n"/>
      <c r="H524" s="41" t="n"/>
      <c r="I524" s="41" t="n"/>
      <c r="J524" s="41" t="n"/>
      <c r="K524" s="41" t="n"/>
    </row>
    <row r="525" ht="15.75" customHeight="1" s="60">
      <c r="A525" s="41" t="n"/>
      <c r="B525" s="41" t="n"/>
      <c r="C525" s="41" t="n"/>
      <c r="D525" s="41" t="n"/>
      <c r="E525" s="41" t="n"/>
      <c r="F525" s="41" t="n"/>
      <c r="G525" s="41" t="n"/>
      <c r="H525" s="41" t="n"/>
      <c r="I525" s="41" t="n"/>
      <c r="J525" s="41" t="n"/>
      <c r="K525" s="41" t="n"/>
    </row>
    <row r="526" ht="15.75" customHeight="1" s="60">
      <c r="A526" s="41" t="n"/>
      <c r="B526" s="41" t="n"/>
      <c r="C526" s="41" t="n"/>
      <c r="D526" s="41" t="n"/>
      <c r="E526" s="41" t="n"/>
      <c r="F526" s="41" t="n"/>
      <c r="G526" s="41" t="n"/>
      <c r="H526" s="41" t="n"/>
      <c r="I526" s="41" t="n"/>
      <c r="J526" s="41" t="n"/>
      <c r="K526" s="41" t="n"/>
    </row>
    <row r="527" ht="15.75" customHeight="1" s="60">
      <c r="A527" s="41" t="n"/>
      <c r="B527" s="41" t="n"/>
      <c r="C527" s="41" t="n"/>
      <c r="D527" s="41" t="n"/>
      <c r="E527" s="41" t="n"/>
      <c r="F527" s="41" t="n"/>
      <c r="G527" s="41" t="n"/>
      <c r="H527" s="41" t="n"/>
      <c r="I527" s="41" t="n"/>
      <c r="J527" s="41" t="n"/>
      <c r="K527" s="41" t="n"/>
    </row>
    <row r="528" ht="15.75" customHeight="1" s="60">
      <c r="A528" s="41" t="n"/>
      <c r="B528" s="41" t="n"/>
      <c r="C528" s="41" t="n"/>
      <c r="D528" s="41" t="n"/>
      <c r="E528" s="41" t="n"/>
      <c r="F528" s="41" t="n"/>
      <c r="G528" s="41" t="n"/>
      <c r="H528" s="41" t="n"/>
      <c r="I528" s="41" t="n"/>
      <c r="J528" s="41" t="n"/>
      <c r="K528" s="41" t="n"/>
    </row>
    <row r="529" ht="15.75" customHeight="1" s="60">
      <c r="A529" s="41" t="n"/>
      <c r="B529" s="41" t="n"/>
      <c r="C529" s="41" t="n"/>
      <c r="D529" s="41" t="n"/>
      <c r="E529" s="41" t="n"/>
      <c r="F529" s="41" t="n"/>
      <c r="G529" s="41" t="n"/>
      <c r="H529" s="41" t="n"/>
      <c r="I529" s="41" t="n"/>
      <c r="J529" s="41" t="n"/>
      <c r="K529" s="41" t="n"/>
    </row>
    <row r="530" ht="15.75" customHeight="1" s="60">
      <c r="A530" s="41" t="n"/>
      <c r="B530" s="41" t="n"/>
      <c r="C530" s="41" t="n"/>
      <c r="D530" s="41" t="n"/>
      <c r="E530" s="41" t="n"/>
      <c r="F530" s="41" t="n"/>
      <c r="G530" s="41" t="n"/>
      <c r="H530" s="41" t="n"/>
      <c r="I530" s="41" t="n"/>
      <c r="J530" s="41" t="n"/>
      <c r="K530" s="41" t="n"/>
    </row>
    <row r="531" ht="15.75" customHeight="1" s="60">
      <c r="A531" s="41" t="n"/>
      <c r="B531" s="41" t="n"/>
      <c r="C531" s="41" t="n"/>
      <c r="D531" s="41" t="n"/>
      <c r="E531" s="41" t="n"/>
      <c r="F531" s="41" t="n"/>
      <c r="G531" s="41" t="n"/>
      <c r="H531" s="41" t="n"/>
      <c r="I531" s="41" t="n"/>
      <c r="J531" s="41" t="n"/>
      <c r="K531" s="41" t="n"/>
    </row>
    <row r="532" ht="15.75" customHeight="1" s="60">
      <c r="A532" s="41" t="n"/>
      <c r="B532" s="41" t="n"/>
      <c r="C532" s="41" t="n"/>
      <c r="D532" s="41" t="n"/>
      <c r="E532" s="41" t="n"/>
      <c r="F532" s="41" t="n"/>
      <c r="G532" s="41" t="n"/>
      <c r="H532" s="41" t="n"/>
      <c r="I532" s="41" t="n"/>
      <c r="J532" s="41" t="n"/>
      <c r="K532" s="41" t="n"/>
    </row>
    <row r="533" ht="15.75" customHeight="1" s="60">
      <c r="A533" s="41" t="n"/>
      <c r="B533" s="41" t="n"/>
      <c r="C533" s="41" t="n"/>
      <c r="D533" s="41" t="n"/>
      <c r="E533" s="41" t="n"/>
      <c r="F533" s="41" t="n"/>
      <c r="G533" s="41" t="n"/>
      <c r="H533" s="41" t="n"/>
      <c r="I533" s="41" t="n"/>
      <c r="J533" s="41" t="n"/>
      <c r="K533" s="41" t="n"/>
    </row>
    <row r="534" ht="15.75" customHeight="1" s="60">
      <c r="A534" s="41" t="n"/>
      <c r="B534" s="41" t="n"/>
      <c r="C534" s="41" t="n"/>
      <c r="D534" s="41" t="n"/>
      <c r="E534" s="41" t="n"/>
      <c r="F534" s="41" t="n"/>
      <c r="G534" s="41" t="n"/>
      <c r="H534" s="41" t="n"/>
      <c r="I534" s="41" t="n"/>
      <c r="J534" s="41" t="n"/>
      <c r="K534" s="41" t="n"/>
    </row>
    <row r="535" ht="15.75" customHeight="1" s="60">
      <c r="A535" s="41" t="n"/>
      <c r="B535" s="41" t="n"/>
      <c r="C535" s="41" t="n"/>
      <c r="D535" s="41" t="n"/>
      <c r="E535" s="41" t="n"/>
      <c r="F535" s="41" t="n"/>
      <c r="G535" s="41" t="n"/>
      <c r="H535" s="41" t="n"/>
      <c r="I535" s="41" t="n"/>
      <c r="J535" s="41" t="n"/>
      <c r="K535" s="41" t="n"/>
    </row>
    <row r="536" ht="15.75" customHeight="1" s="60">
      <c r="A536" s="41" t="n"/>
      <c r="B536" s="41" t="n"/>
      <c r="C536" s="41" t="n"/>
      <c r="D536" s="41" t="n"/>
      <c r="E536" s="41" t="n"/>
      <c r="F536" s="41" t="n"/>
      <c r="G536" s="41" t="n"/>
      <c r="H536" s="41" t="n"/>
      <c r="I536" s="41" t="n"/>
      <c r="J536" s="41" t="n"/>
      <c r="K536" s="41" t="n"/>
    </row>
    <row r="537" ht="15.75" customHeight="1" s="60">
      <c r="A537" s="41" t="n"/>
      <c r="B537" s="41" t="n"/>
      <c r="C537" s="41" t="n"/>
      <c r="D537" s="41" t="n"/>
      <c r="E537" s="41" t="n"/>
      <c r="F537" s="41" t="n"/>
      <c r="G537" s="41" t="n"/>
      <c r="H537" s="41" t="n"/>
      <c r="I537" s="41" t="n"/>
      <c r="J537" s="41" t="n"/>
      <c r="K537" s="41" t="n"/>
    </row>
    <row r="538" ht="15.75" customHeight="1" s="60">
      <c r="A538" s="41" t="n"/>
      <c r="B538" s="41" t="n"/>
      <c r="C538" s="41" t="n"/>
      <c r="D538" s="41" t="n"/>
      <c r="E538" s="41" t="n"/>
      <c r="F538" s="41" t="n"/>
      <c r="G538" s="41" t="n"/>
      <c r="H538" s="41" t="n"/>
      <c r="I538" s="41" t="n"/>
      <c r="J538" s="41" t="n"/>
      <c r="K538" s="41" t="n"/>
    </row>
    <row r="539" ht="15.75" customHeight="1" s="60">
      <c r="A539" s="41" t="n"/>
      <c r="B539" s="41" t="n"/>
      <c r="C539" s="41" t="n"/>
      <c r="D539" s="41" t="n"/>
      <c r="E539" s="41" t="n"/>
      <c r="F539" s="41" t="n"/>
      <c r="G539" s="41" t="n"/>
      <c r="H539" s="41" t="n"/>
      <c r="I539" s="41" t="n"/>
      <c r="J539" s="41" t="n"/>
      <c r="K539" s="41" t="n"/>
    </row>
    <row r="540" ht="15.75" customHeight="1" s="60">
      <c r="A540" s="41" t="n"/>
      <c r="B540" s="41" t="n"/>
      <c r="C540" s="41" t="n"/>
      <c r="D540" s="41" t="n"/>
      <c r="E540" s="41" t="n"/>
      <c r="F540" s="41" t="n"/>
      <c r="G540" s="41" t="n"/>
      <c r="H540" s="41" t="n"/>
      <c r="I540" s="41" t="n"/>
      <c r="J540" s="41" t="n"/>
      <c r="K540" s="41" t="n"/>
    </row>
    <row r="541" ht="15.75" customHeight="1" s="60">
      <c r="A541" s="41" t="n"/>
      <c r="B541" s="41" t="n"/>
      <c r="C541" s="41" t="n"/>
      <c r="D541" s="41" t="n"/>
      <c r="E541" s="41" t="n"/>
      <c r="F541" s="41" t="n"/>
      <c r="G541" s="41" t="n"/>
      <c r="H541" s="41" t="n"/>
      <c r="I541" s="41" t="n"/>
      <c r="J541" s="41" t="n"/>
      <c r="K541" s="41" t="n"/>
    </row>
    <row r="542" ht="15.75" customHeight="1" s="60">
      <c r="A542" s="41" t="n"/>
      <c r="B542" s="41" t="n"/>
      <c r="C542" s="41" t="n"/>
      <c r="D542" s="41" t="n"/>
      <c r="E542" s="41" t="n"/>
      <c r="F542" s="41" t="n"/>
      <c r="G542" s="41" t="n"/>
      <c r="H542" s="41" t="n"/>
      <c r="I542" s="41" t="n"/>
      <c r="J542" s="41" t="n"/>
      <c r="K542" s="41" t="n"/>
    </row>
    <row r="543" ht="15.75" customHeight="1" s="60">
      <c r="A543" s="41" t="n"/>
      <c r="B543" s="41" t="n"/>
      <c r="C543" s="41" t="n"/>
      <c r="D543" s="41" t="n"/>
      <c r="E543" s="41" t="n"/>
      <c r="F543" s="41" t="n"/>
      <c r="G543" s="41" t="n"/>
      <c r="H543" s="41" t="n"/>
      <c r="I543" s="41" t="n"/>
      <c r="J543" s="41" t="n"/>
      <c r="K543" s="41" t="n"/>
    </row>
    <row r="544" ht="15.75" customHeight="1" s="60">
      <c r="A544" s="41" t="n"/>
      <c r="B544" s="41" t="n"/>
      <c r="C544" s="41" t="n"/>
      <c r="D544" s="41" t="n"/>
      <c r="E544" s="41" t="n"/>
      <c r="F544" s="41" t="n"/>
      <c r="G544" s="41" t="n"/>
      <c r="H544" s="41" t="n"/>
      <c r="I544" s="41" t="n"/>
      <c r="J544" s="41" t="n"/>
      <c r="K544" s="41" t="n"/>
    </row>
    <row r="545" ht="15.75" customHeight="1" s="60">
      <c r="A545" s="41" t="n"/>
      <c r="B545" s="41" t="n"/>
      <c r="C545" s="41" t="n"/>
      <c r="D545" s="41" t="n"/>
      <c r="E545" s="41" t="n"/>
      <c r="F545" s="41" t="n"/>
      <c r="G545" s="41" t="n"/>
      <c r="H545" s="41" t="n"/>
      <c r="I545" s="41" t="n"/>
      <c r="J545" s="41" t="n"/>
      <c r="K545" s="41" t="n"/>
    </row>
    <row r="546" ht="15.75" customHeight="1" s="60">
      <c r="A546" s="41" t="n"/>
      <c r="B546" s="41" t="n"/>
      <c r="C546" s="41" t="n"/>
      <c r="D546" s="41" t="n"/>
      <c r="E546" s="41" t="n"/>
      <c r="F546" s="41" t="n"/>
      <c r="G546" s="41" t="n"/>
      <c r="H546" s="41" t="n"/>
      <c r="I546" s="41" t="n"/>
      <c r="J546" s="41" t="n"/>
      <c r="K546" s="41" t="n"/>
    </row>
    <row r="547" ht="15.75" customHeight="1" s="60">
      <c r="A547" s="41" t="n"/>
      <c r="B547" s="41" t="n"/>
      <c r="C547" s="41" t="n"/>
      <c r="D547" s="41" t="n"/>
      <c r="E547" s="41" t="n"/>
      <c r="F547" s="41" t="n"/>
      <c r="G547" s="41" t="n"/>
      <c r="H547" s="41" t="n"/>
      <c r="I547" s="41" t="n"/>
      <c r="J547" s="41" t="n"/>
      <c r="K547" s="41" t="n"/>
    </row>
    <row r="548" ht="15.75" customHeight="1" s="60">
      <c r="A548" s="41" t="n"/>
      <c r="B548" s="41" t="n"/>
      <c r="C548" s="41" t="n"/>
      <c r="D548" s="41" t="n"/>
      <c r="E548" s="41" t="n"/>
      <c r="F548" s="41" t="n"/>
      <c r="G548" s="41" t="n"/>
      <c r="H548" s="41" t="n"/>
      <c r="I548" s="41" t="n"/>
      <c r="J548" s="41" t="n"/>
      <c r="K548" s="41" t="n"/>
    </row>
    <row r="549" ht="15.75" customHeight="1" s="60">
      <c r="A549" s="41" t="n"/>
      <c r="B549" s="41" t="n"/>
      <c r="C549" s="41" t="n"/>
      <c r="D549" s="41" t="n"/>
      <c r="E549" s="41" t="n"/>
      <c r="F549" s="41" t="n"/>
      <c r="G549" s="41" t="n"/>
      <c r="H549" s="41" t="n"/>
      <c r="I549" s="41" t="n"/>
      <c r="J549" s="41" t="n"/>
      <c r="K549" s="41" t="n"/>
    </row>
    <row r="550" ht="15.75" customHeight="1" s="60">
      <c r="A550" s="41" t="n"/>
      <c r="B550" s="41" t="n"/>
      <c r="C550" s="41" t="n"/>
      <c r="D550" s="41" t="n"/>
      <c r="E550" s="41" t="n"/>
      <c r="F550" s="41" t="n"/>
      <c r="G550" s="41" t="n"/>
      <c r="H550" s="41" t="n"/>
      <c r="I550" s="41" t="n"/>
      <c r="J550" s="41" t="n"/>
      <c r="K550" s="41" t="n"/>
    </row>
    <row r="551" ht="15.75" customHeight="1" s="60">
      <c r="A551" s="41" t="n"/>
      <c r="B551" s="41" t="n"/>
      <c r="C551" s="41" t="n"/>
      <c r="D551" s="41" t="n"/>
      <c r="E551" s="41" t="n"/>
      <c r="F551" s="41" t="n"/>
      <c r="G551" s="41" t="n"/>
      <c r="H551" s="41" t="n"/>
      <c r="I551" s="41" t="n"/>
      <c r="J551" s="41" t="n"/>
      <c r="K551" s="41" t="n"/>
    </row>
    <row r="552" ht="15.75" customHeight="1" s="60">
      <c r="A552" s="41" t="n"/>
      <c r="B552" s="41" t="n"/>
      <c r="C552" s="41" t="n"/>
      <c r="D552" s="41" t="n"/>
      <c r="E552" s="41" t="n"/>
      <c r="F552" s="41" t="n"/>
      <c r="G552" s="41" t="n"/>
      <c r="H552" s="41" t="n"/>
      <c r="I552" s="41" t="n"/>
      <c r="J552" s="41" t="n"/>
      <c r="K552" s="41" t="n"/>
    </row>
    <row r="553" ht="15.75" customHeight="1" s="60">
      <c r="A553" s="41" t="n"/>
      <c r="B553" s="41" t="n"/>
      <c r="C553" s="41" t="n"/>
      <c r="D553" s="41" t="n"/>
      <c r="E553" s="41" t="n"/>
      <c r="F553" s="41" t="n"/>
      <c r="G553" s="41" t="n"/>
      <c r="H553" s="41" t="n"/>
      <c r="I553" s="41" t="n"/>
      <c r="J553" s="41" t="n"/>
      <c r="K553" s="41" t="n"/>
    </row>
    <row r="554" ht="15.75" customHeight="1" s="60">
      <c r="A554" s="41" t="n"/>
      <c r="B554" s="41" t="n"/>
      <c r="C554" s="41" t="n"/>
      <c r="D554" s="41" t="n"/>
      <c r="E554" s="41" t="n"/>
      <c r="F554" s="41" t="n"/>
      <c r="G554" s="41" t="n"/>
      <c r="H554" s="41" t="n"/>
      <c r="I554" s="41" t="n"/>
      <c r="J554" s="41" t="n"/>
      <c r="K554" s="41" t="n"/>
    </row>
    <row r="555" ht="15.75" customHeight="1" s="60">
      <c r="A555" s="41" t="n"/>
      <c r="B555" s="41" t="n"/>
      <c r="C555" s="41" t="n"/>
      <c r="D555" s="41" t="n"/>
      <c r="E555" s="41" t="n"/>
      <c r="F555" s="41" t="n"/>
      <c r="G555" s="41" t="n"/>
      <c r="H555" s="41" t="n"/>
      <c r="I555" s="41" t="n"/>
      <c r="J555" s="41" t="n"/>
      <c r="K555" s="41" t="n"/>
    </row>
    <row r="556" ht="15.75" customHeight="1" s="60">
      <c r="A556" s="41" t="n"/>
      <c r="B556" s="41" t="n"/>
      <c r="C556" s="41" t="n"/>
      <c r="D556" s="41" t="n"/>
      <c r="E556" s="41" t="n"/>
      <c r="F556" s="41" t="n"/>
      <c r="G556" s="41" t="n"/>
      <c r="H556" s="41" t="n"/>
      <c r="I556" s="41" t="n"/>
      <c r="J556" s="41" t="n"/>
      <c r="K556" s="41" t="n"/>
    </row>
    <row r="557" ht="15.75" customHeight="1" s="60">
      <c r="A557" s="41" t="n"/>
      <c r="B557" s="41" t="n"/>
      <c r="C557" s="41" t="n"/>
      <c r="D557" s="41" t="n"/>
      <c r="E557" s="41" t="n"/>
      <c r="F557" s="41" t="n"/>
      <c r="G557" s="41" t="n"/>
      <c r="H557" s="41" t="n"/>
      <c r="I557" s="41" t="n"/>
      <c r="J557" s="41" t="n"/>
      <c r="K557" s="41" t="n"/>
    </row>
    <row r="558" ht="15.75" customHeight="1" s="60">
      <c r="A558" s="41" t="n"/>
      <c r="B558" s="41" t="n"/>
      <c r="C558" s="41" t="n"/>
      <c r="D558" s="41" t="n"/>
      <c r="E558" s="41" t="n"/>
      <c r="F558" s="41" t="n"/>
      <c r="G558" s="41" t="n"/>
      <c r="H558" s="41" t="n"/>
      <c r="I558" s="41" t="n"/>
      <c r="J558" s="41" t="n"/>
      <c r="K558" s="41" t="n"/>
    </row>
    <row r="559" ht="15.75" customHeight="1" s="60">
      <c r="A559" s="41" t="n"/>
      <c r="B559" s="41" t="n"/>
      <c r="C559" s="41" t="n"/>
      <c r="D559" s="41" t="n"/>
      <c r="E559" s="41" t="n"/>
      <c r="F559" s="41" t="n"/>
      <c r="G559" s="41" t="n"/>
      <c r="H559" s="41" t="n"/>
      <c r="I559" s="41" t="n"/>
      <c r="J559" s="41" t="n"/>
      <c r="K559" s="41" t="n"/>
    </row>
    <row r="560" ht="15.75" customHeight="1" s="60">
      <c r="A560" s="41" t="n"/>
      <c r="B560" s="41" t="n"/>
      <c r="C560" s="41" t="n"/>
      <c r="D560" s="41" t="n"/>
      <c r="E560" s="41" t="n"/>
      <c r="F560" s="41" t="n"/>
      <c r="G560" s="41" t="n"/>
      <c r="H560" s="41" t="n"/>
      <c r="I560" s="41" t="n"/>
      <c r="J560" s="41" t="n"/>
      <c r="K560" s="41" t="n"/>
    </row>
    <row r="561" ht="15.75" customHeight="1" s="60">
      <c r="A561" s="41" t="n"/>
      <c r="B561" s="41" t="n"/>
      <c r="C561" s="41" t="n"/>
      <c r="D561" s="41" t="n"/>
      <c r="E561" s="41" t="n"/>
      <c r="F561" s="41" t="n"/>
      <c r="G561" s="41" t="n"/>
      <c r="H561" s="41" t="n"/>
      <c r="I561" s="41" t="n"/>
      <c r="J561" s="41" t="n"/>
      <c r="K561" s="41" t="n"/>
    </row>
    <row r="562" ht="15.75" customHeight="1" s="60">
      <c r="A562" s="41" t="n"/>
      <c r="B562" s="41" t="n"/>
      <c r="C562" s="41" t="n"/>
      <c r="D562" s="41" t="n"/>
      <c r="E562" s="41" t="n"/>
      <c r="F562" s="41" t="n"/>
      <c r="G562" s="41" t="n"/>
      <c r="H562" s="41" t="n"/>
      <c r="I562" s="41" t="n"/>
      <c r="J562" s="41" t="n"/>
      <c r="K562" s="41" t="n"/>
    </row>
    <row r="563" ht="15.75" customHeight="1" s="60">
      <c r="A563" s="41" t="n"/>
      <c r="B563" s="41" t="n"/>
      <c r="C563" s="41" t="n"/>
      <c r="D563" s="41" t="n"/>
      <c r="E563" s="41" t="n"/>
      <c r="F563" s="41" t="n"/>
      <c r="G563" s="41" t="n"/>
      <c r="H563" s="41" t="n"/>
      <c r="I563" s="41" t="n"/>
      <c r="J563" s="41" t="n"/>
      <c r="K563" s="41" t="n"/>
    </row>
    <row r="564" ht="15.75" customHeight="1" s="60">
      <c r="A564" s="41" t="n"/>
      <c r="B564" s="41" t="n"/>
      <c r="C564" s="41" t="n"/>
      <c r="D564" s="41" t="n"/>
      <c r="E564" s="41" t="n"/>
      <c r="F564" s="41" t="n"/>
      <c r="G564" s="41" t="n"/>
      <c r="H564" s="41" t="n"/>
      <c r="I564" s="41" t="n"/>
      <c r="J564" s="41" t="n"/>
      <c r="K564" s="41" t="n"/>
    </row>
    <row r="565" ht="15.75" customHeight="1" s="60">
      <c r="A565" s="41" t="n"/>
      <c r="B565" s="41" t="n"/>
      <c r="C565" s="41" t="n"/>
      <c r="D565" s="41" t="n"/>
      <c r="E565" s="41" t="n"/>
      <c r="F565" s="41" t="n"/>
      <c r="G565" s="41" t="n"/>
      <c r="H565" s="41" t="n"/>
      <c r="I565" s="41" t="n"/>
      <c r="J565" s="41" t="n"/>
      <c r="K565" s="41" t="n"/>
    </row>
    <row r="566" ht="15.75" customHeight="1" s="60">
      <c r="A566" s="41" t="n"/>
      <c r="B566" s="41" t="n"/>
      <c r="C566" s="41" t="n"/>
      <c r="D566" s="41" t="n"/>
      <c r="E566" s="41" t="n"/>
      <c r="F566" s="41" t="n"/>
      <c r="G566" s="41" t="n"/>
      <c r="H566" s="41" t="n"/>
      <c r="I566" s="41" t="n"/>
      <c r="J566" s="41" t="n"/>
      <c r="K566" s="41" t="n"/>
    </row>
    <row r="567" ht="15.75" customHeight="1" s="60">
      <c r="A567" s="41" t="n"/>
      <c r="B567" s="41" t="n"/>
      <c r="C567" s="41" t="n"/>
      <c r="D567" s="41" t="n"/>
      <c r="E567" s="41" t="n"/>
      <c r="F567" s="41" t="n"/>
      <c r="G567" s="41" t="n"/>
      <c r="H567" s="41" t="n"/>
      <c r="I567" s="41" t="n"/>
      <c r="J567" s="41" t="n"/>
      <c r="K567" s="41" t="n"/>
    </row>
    <row r="568" ht="15.75" customHeight="1" s="60">
      <c r="A568" s="41" t="n"/>
      <c r="B568" s="41" t="n"/>
      <c r="C568" s="41" t="n"/>
      <c r="D568" s="41" t="n"/>
      <c r="E568" s="41" t="n"/>
      <c r="F568" s="41" t="n"/>
      <c r="G568" s="41" t="n"/>
      <c r="H568" s="41" t="n"/>
      <c r="I568" s="41" t="n"/>
      <c r="J568" s="41" t="n"/>
      <c r="K568" s="41" t="n"/>
    </row>
    <row r="569" ht="15.75" customHeight="1" s="60">
      <c r="A569" s="41" t="n"/>
      <c r="B569" s="41" t="n"/>
      <c r="C569" s="41" t="n"/>
      <c r="D569" s="41" t="n"/>
      <c r="E569" s="41" t="n"/>
      <c r="F569" s="41" t="n"/>
      <c r="G569" s="41" t="n"/>
      <c r="H569" s="41" t="n"/>
      <c r="I569" s="41" t="n"/>
      <c r="J569" s="41" t="n"/>
      <c r="K569" s="41" t="n"/>
    </row>
    <row r="570" ht="15.75" customHeight="1" s="60">
      <c r="A570" s="41" t="n"/>
      <c r="B570" s="41" t="n"/>
      <c r="C570" s="41" t="n"/>
      <c r="D570" s="41" t="n"/>
      <c r="E570" s="41" t="n"/>
      <c r="F570" s="41" t="n"/>
      <c r="G570" s="41" t="n"/>
      <c r="H570" s="41" t="n"/>
      <c r="I570" s="41" t="n"/>
      <c r="J570" s="41" t="n"/>
      <c r="K570" s="41" t="n"/>
    </row>
    <row r="571" ht="15.75" customHeight="1" s="60">
      <c r="A571" s="41" t="n"/>
      <c r="B571" s="41" t="n"/>
      <c r="C571" s="41" t="n"/>
      <c r="D571" s="41" t="n"/>
      <c r="E571" s="41" t="n"/>
      <c r="F571" s="41" t="n"/>
      <c r="G571" s="41" t="n"/>
      <c r="H571" s="41" t="n"/>
      <c r="I571" s="41" t="n"/>
      <c r="J571" s="41" t="n"/>
      <c r="K571" s="41" t="n"/>
    </row>
    <row r="572" ht="15.75" customHeight="1" s="60">
      <c r="A572" s="41" t="n"/>
      <c r="B572" s="41" t="n"/>
      <c r="C572" s="41" t="n"/>
      <c r="D572" s="41" t="n"/>
      <c r="E572" s="41" t="n"/>
      <c r="F572" s="41" t="n"/>
      <c r="G572" s="41" t="n"/>
      <c r="H572" s="41" t="n"/>
      <c r="I572" s="41" t="n"/>
      <c r="J572" s="41" t="n"/>
      <c r="K572" s="41" t="n"/>
    </row>
    <row r="573" ht="15.75" customHeight="1" s="60">
      <c r="A573" s="41" t="n"/>
      <c r="B573" s="41" t="n"/>
      <c r="C573" s="41" t="n"/>
      <c r="D573" s="41" t="n"/>
      <c r="E573" s="41" t="n"/>
      <c r="F573" s="41" t="n"/>
      <c r="G573" s="41" t="n"/>
      <c r="H573" s="41" t="n"/>
      <c r="I573" s="41" t="n"/>
      <c r="J573" s="41" t="n"/>
      <c r="K573" s="41" t="n"/>
    </row>
    <row r="574" ht="15.75" customHeight="1" s="60">
      <c r="A574" s="41" t="n"/>
      <c r="B574" s="41" t="n"/>
      <c r="C574" s="41" t="n"/>
      <c r="D574" s="41" t="n"/>
      <c r="E574" s="41" t="n"/>
      <c r="F574" s="41" t="n"/>
      <c r="G574" s="41" t="n"/>
      <c r="H574" s="41" t="n"/>
      <c r="I574" s="41" t="n"/>
      <c r="J574" s="41" t="n"/>
      <c r="K574" s="41" t="n"/>
    </row>
    <row r="575" ht="15.75" customHeight="1" s="60">
      <c r="A575" s="41" t="n"/>
      <c r="B575" s="41" t="n"/>
      <c r="C575" s="41" t="n"/>
      <c r="D575" s="41" t="n"/>
      <c r="E575" s="41" t="n"/>
      <c r="F575" s="41" t="n"/>
      <c r="G575" s="41" t="n"/>
      <c r="H575" s="41" t="n"/>
      <c r="I575" s="41" t="n"/>
      <c r="J575" s="41" t="n"/>
      <c r="K575" s="41" t="n"/>
    </row>
    <row r="576" ht="15.75" customHeight="1" s="60">
      <c r="A576" s="41" t="n"/>
      <c r="B576" s="41" t="n"/>
      <c r="C576" s="41" t="n"/>
      <c r="D576" s="41" t="n"/>
      <c r="E576" s="41" t="n"/>
      <c r="F576" s="41" t="n"/>
      <c r="G576" s="41" t="n"/>
      <c r="H576" s="41" t="n"/>
      <c r="I576" s="41" t="n"/>
      <c r="J576" s="41" t="n"/>
      <c r="K576" s="41" t="n"/>
    </row>
    <row r="577" ht="15.75" customHeight="1" s="60">
      <c r="A577" s="41" t="n"/>
      <c r="B577" s="41" t="n"/>
      <c r="C577" s="41" t="n"/>
      <c r="D577" s="41" t="n"/>
      <c r="E577" s="41" t="n"/>
      <c r="F577" s="41" t="n"/>
      <c r="G577" s="41" t="n"/>
      <c r="H577" s="41" t="n"/>
      <c r="I577" s="41" t="n"/>
      <c r="J577" s="41" t="n"/>
      <c r="K577" s="41" t="n"/>
    </row>
    <row r="578" ht="15.75" customHeight="1" s="60">
      <c r="A578" s="41" t="n"/>
      <c r="B578" s="41" t="n"/>
      <c r="C578" s="41" t="n"/>
      <c r="D578" s="41" t="n"/>
      <c r="E578" s="41" t="n"/>
      <c r="F578" s="41" t="n"/>
      <c r="G578" s="41" t="n"/>
      <c r="H578" s="41" t="n"/>
      <c r="I578" s="41" t="n"/>
      <c r="J578" s="41" t="n"/>
      <c r="K578" s="41" t="n"/>
    </row>
    <row r="579" ht="15.75" customHeight="1" s="60">
      <c r="A579" s="41" t="n"/>
      <c r="B579" s="41" t="n"/>
      <c r="C579" s="41" t="n"/>
      <c r="D579" s="41" t="n"/>
      <c r="E579" s="41" t="n"/>
      <c r="F579" s="41" t="n"/>
      <c r="G579" s="41" t="n"/>
      <c r="H579" s="41" t="n"/>
      <c r="I579" s="41" t="n"/>
      <c r="J579" s="41" t="n"/>
      <c r="K579" s="41" t="n"/>
    </row>
    <row r="580" ht="15.75" customHeight="1" s="60">
      <c r="A580" s="41" t="n"/>
      <c r="B580" s="41" t="n"/>
      <c r="C580" s="41" t="n"/>
      <c r="D580" s="41" t="n"/>
      <c r="E580" s="41" t="n"/>
      <c r="F580" s="41" t="n"/>
      <c r="G580" s="41" t="n"/>
      <c r="H580" s="41" t="n"/>
      <c r="I580" s="41" t="n"/>
      <c r="J580" s="41" t="n"/>
      <c r="K580" s="41" t="n"/>
    </row>
    <row r="581" ht="15.75" customHeight="1" s="60">
      <c r="A581" s="41" t="n"/>
      <c r="B581" s="41" t="n"/>
      <c r="C581" s="41" t="n"/>
      <c r="D581" s="41" t="n"/>
      <c r="E581" s="41" t="n"/>
      <c r="F581" s="41" t="n"/>
      <c r="G581" s="41" t="n"/>
      <c r="H581" s="41" t="n"/>
      <c r="I581" s="41" t="n"/>
      <c r="J581" s="41" t="n"/>
      <c r="K581" s="41" t="n"/>
    </row>
    <row r="582" ht="15.75" customHeight="1" s="60">
      <c r="A582" s="41" t="n"/>
      <c r="B582" s="41" t="n"/>
      <c r="C582" s="41" t="n"/>
      <c r="D582" s="41" t="n"/>
      <c r="E582" s="41" t="n"/>
      <c r="F582" s="41" t="n"/>
      <c r="G582" s="41" t="n"/>
      <c r="H582" s="41" t="n"/>
      <c r="I582" s="41" t="n"/>
      <c r="J582" s="41" t="n"/>
      <c r="K582" s="41" t="n"/>
    </row>
    <row r="583" ht="15.75" customHeight="1" s="60">
      <c r="A583" s="41" t="n"/>
      <c r="B583" s="41" t="n"/>
      <c r="C583" s="41" t="n"/>
      <c r="D583" s="41" t="n"/>
      <c r="E583" s="41" t="n"/>
      <c r="F583" s="41" t="n"/>
      <c r="G583" s="41" t="n"/>
      <c r="H583" s="41" t="n"/>
      <c r="I583" s="41" t="n"/>
      <c r="J583" s="41" t="n"/>
      <c r="K583" s="41" t="n"/>
    </row>
    <row r="584" ht="15.75" customHeight="1" s="60">
      <c r="A584" s="41" t="n"/>
      <c r="B584" s="41" t="n"/>
      <c r="C584" s="41" t="n"/>
      <c r="D584" s="41" t="n"/>
      <c r="E584" s="41" t="n"/>
      <c r="F584" s="41" t="n"/>
      <c r="G584" s="41" t="n"/>
      <c r="H584" s="41" t="n"/>
      <c r="I584" s="41" t="n"/>
      <c r="J584" s="41" t="n"/>
      <c r="K584" s="41" t="n"/>
    </row>
    <row r="585" ht="15.75" customHeight="1" s="60">
      <c r="A585" s="41" t="n"/>
      <c r="B585" s="41" t="n"/>
      <c r="C585" s="41" t="n"/>
      <c r="D585" s="41" t="n"/>
      <c r="E585" s="41" t="n"/>
      <c r="F585" s="41" t="n"/>
      <c r="G585" s="41" t="n"/>
      <c r="H585" s="41" t="n"/>
      <c r="I585" s="41" t="n"/>
      <c r="J585" s="41" t="n"/>
      <c r="K585" s="41" t="n"/>
    </row>
    <row r="586" ht="15.75" customHeight="1" s="60">
      <c r="A586" s="41" t="n"/>
      <c r="B586" s="41" t="n"/>
      <c r="C586" s="41" t="n"/>
      <c r="D586" s="41" t="n"/>
      <c r="E586" s="41" t="n"/>
      <c r="F586" s="41" t="n"/>
      <c r="G586" s="41" t="n"/>
      <c r="H586" s="41" t="n"/>
      <c r="I586" s="41" t="n"/>
      <c r="J586" s="41" t="n"/>
      <c r="K586" s="41" t="n"/>
    </row>
    <row r="587" ht="15.75" customHeight="1" s="60">
      <c r="A587" s="41" t="n"/>
      <c r="B587" s="41" t="n"/>
      <c r="C587" s="41" t="n"/>
      <c r="D587" s="41" t="n"/>
      <c r="E587" s="41" t="n"/>
      <c r="F587" s="41" t="n"/>
      <c r="G587" s="41" t="n"/>
      <c r="H587" s="41" t="n"/>
      <c r="I587" s="41" t="n"/>
      <c r="J587" s="41" t="n"/>
      <c r="K587" s="41" t="n"/>
    </row>
    <row r="588" ht="15.75" customHeight="1" s="60">
      <c r="A588" s="41" t="n"/>
      <c r="B588" s="41" t="n"/>
      <c r="C588" s="41" t="n"/>
      <c r="D588" s="41" t="n"/>
      <c r="E588" s="41" t="n"/>
      <c r="F588" s="41" t="n"/>
      <c r="G588" s="41" t="n"/>
      <c r="H588" s="41" t="n"/>
      <c r="I588" s="41" t="n"/>
      <c r="J588" s="41" t="n"/>
      <c r="K588" s="41" t="n"/>
    </row>
    <row r="589" ht="15.75" customHeight="1" s="60">
      <c r="A589" s="41" t="n"/>
      <c r="B589" s="41" t="n"/>
      <c r="C589" s="41" t="n"/>
      <c r="D589" s="41" t="n"/>
      <c r="E589" s="41" t="n"/>
      <c r="F589" s="41" t="n"/>
      <c r="G589" s="41" t="n"/>
      <c r="H589" s="41" t="n"/>
      <c r="I589" s="41" t="n"/>
      <c r="J589" s="41" t="n"/>
      <c r="K589" s="41" t="n"/>
    </row>
    <row r="590" ht="15.75" customHeight="1" s="60">
      <c r="A590" s="41" t="n"/>
      <c r="B590" s="41" t="n"/>
      <c r="C590" s="41" t="n"/>
      <c r="D590" s="41" t="n"/>
      <c r="E590" s="41" t="n"/>
      <c r="F590" s="41" t="n"/>
      <c r="G590" s="41" t="n"/>
      <c r="H590" s="41" t="n"/>
      <c r="I590" s="41" t="n"/>
      <c r="J590" s="41" t="n"/>
      <c r="K590" s="41" t="n"/>
    </row>
    <row r="591" ht="15.75" customHeight="1" s="60">
      <c r="A591" s="41" t="n"/>
      <c r="B591" s="41" t="n"/>
      <c r="C591" s="41" t="n"/>
      <c r="D591" s="41" t="n"/>
      <c r="E591" s="41" t="n"/>
      <c r="F591" s="41" t="n"/>
      <c r="G591" s="41" t="n"/>
      <c r="H591" s="41" t="n"/>
      <c r="I591" s="41" t="n"/>
      <c r="J591" s="41" t="n"/>
      <c r="K591" s="41" t="n"/>
    </row>
    <row r="592" ht="15.75" customHeight="1" s="60">
      <c r="A592" s="41" t="n"/>
      <c r="B592" s="41" t="n"/>
      <c r="C592" s="41" t="n"/>
      <c r="D592" s="41" t="n"/>
      <c r="E592" s="41" t="n"/>
      <c r="F592" s="41" t="n"/>
      <c r="G592" s="41" t="n"/>
      <c r="H592" s="41" t="n"/>
      <c r="I592" s="41" t="n"/>
      <c r="J592" s="41" t="n"/>
      <c r="K592" s="41" t="n"/>
    </row>
    <row r="593" ht="15.75" customHeight="1" s="60">
      <c r="A593" s="41" t="n"/>
      <c r="B593" s="41" t="n"/>
      <c r="C593" s="41" t="n"/>
      <c r="D593" s="41" t="n"/>
      <c r="E593" s="41" t="n"/>
      <c r="F593" s="41" t="n"/>
      <c r="G593" s="41" t="n"/>
      <c r="H593" s="41" t="n"/>
      <c r="I593" s="41" t="n"/>
      <c r="J593" s="41" t="n"/>
      <c r="K593" s="41" t="n"/>
    </row>
    <row r="594" ht="15.75" customHeight="1" s="60">
      <c r="A594" s="41" t="n"/>
      <c r="B594" s="41" t="n"/>
      <c r="C594" s="41" t="n"/>
      <c r="D594" s="41" t="n"/>
      <c r="E594" s="41" t="n"/>
      <c r="F594" s="41" t="n"/>
      <c r="G594" s="41" t="n"/>
      <c r="H594" s="41" t="n"/>
      <c r="I594" s="41" t="n"/>
      <c r="J594" s="41" t="n"/>
      <c r="K594" s="41" t="n"/>
    </row>
    <row r="595" ht="15.75" customHeight="1" s="60">
      <c r="A595" s="41" t="n"/>
      <c r="B595" s="41" t="n"/>
      <c r="C595" s="41" t="n"/>
      <c r="D595" s="41" t="n"/>
      <c r="E595" s="41" t="n"/>
      <c r="F595" s="41" t="n"/>
      <c r="G595" s="41" t="n"/>
      <c r="H595" s="41" t="n"/>
      <c r="I595" s="41" t="n"/>
      <c r="J595" s="41" t="n"/>
      <c r="K595" s="41" t="n"/>
    </row>
    <row r="596" ht="15.75" customHeight="1" s="60">
      <c r="A596" s="41" t="n"/>
      <c r="B596" s="41" t="n"/>
      <c r="C596" s="41" t="n"/>
      <c r="D596" s="41" t="n"/>
      <c r="E596" s="41" t="n"/>
      <c r="F596" s="41" t="n"/>
      <c r="G596" s="41" t="n"/>
      <c r="H596" s="41" t="n"/>
      <c r="I596" s="41" t="n"/>
      <c r="J596" s="41" t="n"/>
      <c r="K596" s="41" t="n"/>
    </row>
    <row r="597" ht="15.75" customHeight="1" s="60">
      <c r="A597" s="41" t="n"/>
      <c r="B597" s="41" t="n"/>
      <c r="C597" s="41" t="n"/>
      <c r="D597" s="41" t="n"/>
      <c r="E597" s="41" t="n"/>
      <c r="F597" s="41" t="n"/>
      <c r="G597" s="41" t="n"/>
      <c r="H597" s="41" t="n"/>
      <c r="I597" s="41" t="n"/>
      <c r="J597" s="41" t="n"/>
      <c r="K597" s="41" t="n"/>
    </row>
    <row r="598" ht="15.75" customHeight="1" s="60">
      <c r="A598" s="41" t="n"/>
      <c r="B598" s="41" t="n"/>
      <c r="C598" s="41" t="n"/>
      <c r="D598" s="41" t="n"/>
      <c r="E598" s="41" t="n"/>
      <c r="F598" s="41" t="n"/>
      <c r="G598" s="41" t="n"/>
      <c r="H598" s="41" t="n"/>
      <c r="I598" s="41" t="n"/>
      <c r="J598" s="41" t="n"/>
      <c r="K598" s="41" t="n"/>
    </row>
    <row r="599" ht="15.75" customHeight="1" s="60">
      <c r="A599" s="41" t="n"/>
      <c r="B599" s="41" t="n"/>
      <c r="C599" s="41" t="n"/>
      <c r="D599" s="41" t="n"/>
      <c r="E599" s="41" t="n"/>
      <c r="F599" s="41" t="n"/>
      <c r="G599" s="41" t="n"/>
      <c r="H599" s="41" t="n"/>
      <c r="I599" s="41" t="n"/>
      <c r="J599" s="41" t="n"/>
      <c r="K599" s="41" t="n"/>
    </row>
    <row r="600" ht="15.75" customHeight="1" s="60">
      <c r="A600" s="41" t="n"/>
      <c r="B600" s="41" t="n"/>
      <c r="C600" s="41" t="n"/>
      <c r="D600" s="41" t="n"/>
      <c r="E600" s="41" t="n"/>
      <c r="F600" s="41" t="n"/>
      <c r="G600" s="41" t="n"/>
      <c r="H600" s="41" t="n"/>
      <c r="I600" s="41" t="n"/>
      <c r="J600" s="41" t="n"/>
      <c r="K600" s="41" t="n"/>
    </row>
    <row r="601" ht="15.75" customHeight="1" s="60">
      <c r="A601" s="41" t="n"/>
      <c r="B601" s="41" t="n"/>
      <c r="C601" s="41" t="n"/>
      <c r="D601" s="41" t="n"/>
      <c r="E601" s="41" t="n"/>
      <c r="F601" s="41" t="n"/>
      <c r="G601" s="41" t="n"/>
      <c r="H601" s="41" t="n"/>
      <c r="I601" s="41" t="n"/>
      <c r="J601" s="41" t="n"/>
      <c r="K601" s="41" t="n"/>
    </row>
    <row r="602" ht="15.75" customHeight="1" s="60">
      <c r="A602" s="41" t="n"/>
      <c r="B602" s="41" t="n"/>
      <c r="C602" s="41" t="n"/>
      <c r="D602" s="41" t="n"/>
      <c r="E602" s="41" t="n"/>
      <c r="F602" s="41" t="n"/>
      <c r="G602" s="41" t="n"/>
      <c r="H602" s="41" t="n"/>
      <c r="I602" s="41" t="n"/>
      <c r="J602" s="41" t="n"/>
      <c r="K602" s="41" t="n"/>
    </row>
    <row r="603" ht="15.75" customHeight="1" s="60">
      <c r="A603" s="41" t="n"/>
      <c r="B603" s="41" t="n"/>
      <c r="C603" s="41" t="n"/>
      <c r="D603" s="41" t="n"/>
      <c r="E603" s="41" t="n"/>
      <c r="F603" s="41" t="n"/>
      <c r="G603" s="41" t="n"/>
      <c r="H603" s="41" t="n"/>
      <c r="I603" s="41" t="n"/>
      <c r="J603" s="41" t="n"/>
      <c r="K603" s="41" t="n"/>
    </row>
    <row r="604" ht="15.75" customHeight="1" s="60">
      <c r="A604" s="41" t="n"/>
      <c r="B604" s="41" t="n"/>
      <c r="C604" s="41" t="n"/>
      <c r="D604" s="41" t="n"/>
      <c r="E604" s="41" t="n"/>
      <c r="F604" s="41" t="n"/>
      <c r="G604" s="41" t="n"/>
      <c r="H604" s="41" t="n"/>
      <c r="I604" s="41" t="n"/>
      <c r="J604" s="41" t="n"/>
      <c r="K604" s="41" t="n"/>
    </row>
    <row r="605" ht="15.75" customHeight="1" s="60">
      <c r="A605" s="41" t="n"/>
      <c r="B605" s="41" t="n"/>
      <c r="C605" s="41" t="n"/>
      <c r="D605" s="41" t="n"/>
      <c r="E605" s="41" t="n"/>
      <c r="F605" s="41" t="n"/>
      <c r="G605" s="41" t="n"/>
      <c r="H605" s="41" t="n"/>
      <c r="I605" s="41" t="n"/>
      <c r="J605" s="41" t="n"/>
      <c r="K605" s="41" t="n"/>
    </row>
    <row r="606" ht="15.75" customHeight="1" s="60">
      <c r="A606" s="41" t="n"/>
      <c r="B606" s="41" t="n"/>
      <c r="C606" s="41" t="n"/>
      <c r="D606" s="41" t="n"/>
      <c r="E606" s="41" t="n"/>
      <c r="F606" s="41" t="n"/>
      <c r="G606" s="41" t="n"/>
      <c r="H606" s="41" t="n"/>
      <c r="I606" s="41" t="n"/>
      <c r="J606" s="41" t="n"/>
      <c r="K606" s="41" t="n"/>
    </row>
    <row r="607" ht="15.75" customHeight="1" s="60">
      <c r="A607" s="41" t="n"/>
      <c r="B607" s="41" t="n"/>
      <c r="C607" s="41" t="n"/>
      <c r="D607" s="41" t="n"/>
      <c r="E607" s="41" t="n"/>
      <c r="F607" s="41" t="n"/>
      <c r="G607" s="41" t="n"/>
      <c r="H607" s="41" t="n"/>
      <c r="I607" s="41" t="n"/>
      <c r="J607" s="41" t="n"/>
      <c r="K607" s="41" t="n"/>
    </row>
    <row r="608" ht="15.75" customHeight="1" s="60">
      <c r="A608" s="41" t="n"/>
      <c r="B608" s="41" t="n"/>
      <c r="C608" s="41" t="n"/>
      <c r="D608" s="41" t="n"/>
      <c r="E608" s="41" t="n"/>
      <c r="F608" s="41" t="n"/>
      <c r="G608" s="41" t="n"/>
      <c r="H608" s="41" t="n"/>
      <c r="I608" s="41" t="n"/>
      <c r="J608" s="41" t="n"/>
      <c r="K608" s="41" t="n"/>
    </row>
    <row r="609" ht="15.75" customHeight="1" s="60">
      <c r="A609" s="41" t="n"/>
      <c r="B609" s="41" t="n"/>
      <c r="C609" s="41" t="n"/>
      <c r="D609" s="41" t="n"/>
      <c r="E609" s="41" t="n"/>
      <c r="F609" s="41" t="n"/>
      <c r="G609" s="41" t="n"/>
      <c r="H609" s="41" t="n"/>
      <c r="I609" s="41" t="n"/>
      <c r="J609" s="41" t="n"/>
      <c r="K609" s="41" t="n"/>
    </row>
    <row r="610" ht="15.75" customHeight="1" s="60">
      <c r="A610" s="41" t="n"/>
      <c r="B610" s="41" t="n"/>
      <c r="C610" s="41" t="n"/>
      <c r="D610" s="41" t="n"/>
      <c r="E610" s="41" t="n"/>
      <c r="F610" s="41" t="n"/>
      <c r="G610" s="41" t="n"/>
      <c r="H610" s="41" t="n"/>
      <c r="I610" s="41" t="n"/>
      <c r="J610" s="41" t="n"/>
      <c r="K610" s="41" t="n"/>
    </row>
    <row r="611" ht="15.75" customHeight="1" s="60">
      <c r="A611" s="41" t="n"/>
      <c r="B611" s="41" t="n"/>
      <c r="C611" s="41" t="n"/>
      <c r="D611" s="41" t="n"/>
      <c r="E611" s="41" t="n"/>
      <c r="F611" s="41" t="n"/>
      <c r="G611" s="41" t="n"/>
      <c r="H611" s="41" t="n"/>
      <c r="I611" s="41" t="n"/>
      <c r="J611" s="41" t="n"/>
      <c r="K611" s="41" t="n"/>
    </row>
    <row r="612" ht="15.75" customHeight="1" s="60">
      <c r="A612" s="41" t="n"/>
      <c r="B612" s="41" t="n"/>
      <c r="C612" s="41" t="n"/>
      <c r="D612" s="41" t="n"/>
      <c r="E612" s="41" t="n"/>
      <c r="F612" s="41" t="n"/>
      <c r="G612" s="41" t="n"/>
      <c r="H612" s="41" t="n"/>
      <c r="I612" s="41" t="n"/>
      <c r="J612" s="41" t="n"/>
      <c r="K612" s="41" t="n"/>
    </row>
    <row r="613" ht="15.75" customHeight="1" s="60">
      <c r="A613" s="41" t="n"/>
      <c r="B613" s="41" t="n"/>
      <c r="C613" s="41" t="n"/>
      <c r="D613" s="41" t="n"/>
      <c r="E613" s="41" t="n"/>
      <c r="F613" s="41" t="n"/>
      <c r="G613" s="41" t="n"/>
      <c r="H613" s="41" t="n"/>
      <c r="I613" s="41" t="n"/>
      <c r="J613" s="41" t="n"/>
      <c r="K613" s="41" t="n"/>
    </row>
    <row r="614" ht="15.75" customHeight="1" s="60">
      <c r="A614" s="41" t="n"/>
      <c r="B614" s="41" t="n"/>
      <c r="C614" s="41" t="n"/>
      <c r="D614" s="41" t="n"/>
      <c r="E614" s="41" t="n"/>
      <c r="F614" s="41" t="n"/>
      <c r="G614" s="41" t="n"/>
      <c r="H614" s="41" t="n"/>
      <c r="I614" s="41" t="n"/>
      <c r="J614" s="41" t="n"/>
      <c r="K614" s="41" t="n"/>
    </row>
    <row r="615" ht="15.75" customHeight="1" s="60">
      <c r="A615" s="41" t="n"/>
      <c r="B615" s="41" t="n"/>
      <c r="C615" s="41" t="n"/>
      <c r="D615" s="41" t="n"/>
      <c r="E615" s="41" t="n"/>
      <c r="F615" s="41" t="n"/>
      <c r="G615" s="41" t="n"/>
      <c r="H615" s="41" t="n"/>
      <c r="I615" s="41" t="n"/>
      <c r="J615" s="41" t="n"/>
      <c r="K615" s="41" t="n"/>
    </row>
    <row r="616" ht="15.75" customHeight="1" s="60">
      <c r="A616" s="41" t="n"/>
      <c r="B616" s="41" t="n"/>
      <c r="C616" s="41" t="n"/>
      <c r="D616" s="41" t="n"/>
      <c r="E616" s="41" t="n"/>
      <c r="F616" s="41" t="n"/>
      <c r="G616" s="41" t="n"/>
      <c r="H616" s="41" t="n"/>
      <c r="I616" s="41" t="n"/>
      <c r="J616" s="41" t="n"/>
      <c r="K616" s="41" t="n"/>
    </row>
    <row r="617" ht="15.75" customHeight="1" s="60">
      <c r="A617" s="41" t="n"/>
      <c r="B617" s="41" t="n"/>
      <c r="C617" s="41" t="n"/>
      <c r="D617" s="41" t="n"/>
      <c r="E617" s="41" t="n"/>
      <c r="F617" s="41" t="n"/>
      <c r="G617" s="41" t="n"/>
      <c r="H617" s="41" t="n"/>
      <c r="I617" s="41" t="n"/>
      <c r="J617" s="41" t="n"/>
      <c r="K617" s="41" t="n"/>
    </row>
    <row r="618" ht="15.75" customHeight="1" s="60">
      <c r="A618" s="41" t="n"/>
      <c r="B618" s="41" t="n"/>
      <c r="C618" s="41" t="n"/>
      <c r="D618" s="41" t="n"/>
      <c r="E618" s="41" t="n"/>
      <c r="F618" s="41" t="n"/>
      <c r="G618" s="41" t="n"/>
      <c r="H618" s="41" t="n"/>
      <c r="I618" s="41" t="n"/>
      <c r="J618" s="41" t="n"/>
      <c r="K618" s="41" t="n"/>
    </row>
    <row r="619" ht="15.75" customHeight="1" s="60">
      <c r="A619" s="41" t="n"/>
      <c r="B619" s="41" t="n"/>
      <c r="C619" s="41" t="n"/>
      <c r="D619" s="41" t="n"/>
      <c r="E619" s="41" t="n"/>
      <c r="F619" s="41" t="n"/>
      <c r="G619" s="41" t="n"/>
      <c r="H619" s="41" t="n"/>
      <c r="I619" s="41" t="n"/>
      <c r="J619" s="41" t="n"/>
      <c r="K619" s="41" t="n"/>
    </row>
    <row r="620" ht="15.75" customHeight="1" s="60">
      <c r="A620" s="41" t="n"/>
      <c r="B620" s="41" t="n"/>
      <c r="C620" s="41" t="n"/>
      <c r="D620" s="41" t="n"/>
      <c r="E620" s="41" t="n"/>
      <c r="F620" s="41" t="n"/>
      <c r="G620" s="41" t="n"/>
      <c r="H620" s="41" t="n"/>
      <c r="I620" s="41" t="n"/>
      <c r="J620" s="41" t="n"/>
      <c r="K620" s="41" t="n"/>
    </row>
    <row r="621" ht="15.75" customHeight="1" s="60">
      <c r="A621" s="41" t="n"/>
      <c r="B621" s="41" t="n"/>
      <c r="C621" s="41" t="n"/>
      <c r="D621" s="41" t="n"/>
      <c r="E621" s="41" t="n"/>
      <c r="F621" s="41" t="n"/>
      <c r="G621" s="41" t="n"/>
      <c r="H621" s="41" t="n"/>
      <c r="I621" s="41" t="n"/>
      <c r="J621" s="41" t="n"/>
      <c r="K621" s="41" t="n"/>
    </row>
    <row r="622" ht="15.75" customHeight="1" s="60">
      <c r="A622" s="41" t="n"/>
      <c r="B622" s="41" t="n"/>
      <c r="C622" s="41" t="n"/>
      <c r="D622" s="41" t="n"/>
      <c r="E622" s="41" t="n"/>
      <c r="F622" s="41" t="n"/>
      <c r="G622" s="41" t="n"/>
      <c r="H622" s="41" t="n"/>
      <c r="I622" s="41" t="n"/>
      <c r="J622" s="41" t="n"/>
      <c r="K622" s="41" t="n"/>
    </row>
    <row r="623" ht="15.75" customHeight="1" s="60">
      <c r="A623" s="41" t="n"/>
      <c r="B623" s="41" t="n"/>
      <c r="C623" s="41" t="n"/>
      <c r="D623" s="41" t="n"/>
      <c r="E623" s="41" t="n"/>
      <c r="F623" s="41" t="n"/>
      <c r="G623" s="41" t="n"/>
      <c r="H623" s="41" t="n"/>
      <c r="I623" s="41" t="n"/>
      <c r="J623" s="41" t="n"/>
      <c r="K623" s="41" t="n"/>
    </row>
    <row r="624" ht="15.75" customHeight="1" s="60">
      <c r="A624" s="41" t="n"/>
      <c r="B624" s="41" t="n"/>
      <c r="C624" s="41" t="n"/>
      <c r="D624" s="41" t="n"/>
      <c r="E624" s="41" t="n"/>
      <c r="F624" s="41" t="n"/>
      <c r="G624" s="41" t="n"/>
      <c r="H624" s="41" t="n"/>
      <c r="I624" s="41" t="n"/>
      <c r="J624" s="41" t="n"/>
      <c r="K624" s="41" t="n"/>
    </row>
    <row r="625" ht="15.75" customHeight="1" s="60">
      <c r="A625" s="41" t="n"/>
      <c r="B625" s="41" t="n"/>
      <c r="C625" s="41" t="n"/>
      <c r="D625" s="41" t="n"/>
      <c r="E625" s="41" t="n"/>
      <c r="F625" s="41" t="n"/>
      <c r="G625" s="41" t="n"/>
      <c r="H625" s="41" t="n"/>
      <c r="I625" s="41" t="n"/>
      <c r="J625" s="41" t="n"/>
      <c r="K625" s="41" t="n"/>
    </row>
    <row r="626" ht="15.75" customHeight="1" s="60">
      <c r="A626" s="41" t="n"/>
      <c r="B626" s="41" t="n"/>
      <c r="C626" s="41" t="n"/>
      <c r="D626" s="41" t="n"/>
      <c r="E626" s="41" t="n"/>
      <c r="F626" s="41" t="n"/>
      <c r="G626" s="41" t="n"/>
      <c r="H626" s="41" t="n"/>
      <c r="I626" s="41" t="n"/>
      <c r="J626" s="41" t="n"/>
      <c r="K626" s="41" t="n"/>
    </row>
    <row r="627" ht="15.75" customHeight="1" s="60">
      <c r="A627" s="41" t="n"/>
      <c r="B627" s="41" t="n"/>
      <c r="C627" s="41" t="n"/>
      <c r="D627" s="41" t="n"/>
      <c r="E627" s="41" t="n"/>
      <c r="F627" s="41" t="n"/>
      <c r="G627" s="41" t="n"/>
      <c r="H627" s="41" t="n"/>
      <c r="I627" s="41" t="n"/>
      <c r="J627" s="41" t="n"/>
      <c r="K627" s="41" t="n"/>
    </row>
    <row r="628" ht="15.75" customHeight="1" s="60">
      <c r="A628" s="41" t="n"/>
      <c r="B628" s="41" t="n"/>
      <c r="C628" s="41" t="n"/>
      <c r="D628" s="41" t="n"/>
      <c r="E628" s="41" t="n"/>
      <c r="F628" s="41" t="n"/>
      <c r="G628" s="41" t="n"/>
      <c r="H628" s="41" t="n"/>
      <c r="I628" s="41" t="n"/>
      <c r="J628" s="41" t="n"/>
      <c r="K628" s="41" t="n"/>
    </row>
    <row r="629" ht="15.75" customHeight="1" s="60">
      <c r="A629" s="41" t="n"/>
      <c r="B629" s="41" t="n"/>
      <c r="C629" s="41" t="n"/>
      <c r="D629" s="41" t="n"/>
      <c r="E629" s="41" t="n"/>
      <c r="F629" s="41" t="n"/>
      <c r="G629" s="41" t="n"/>
      <c r="H629" s="41" t="n"/>
      <c r="I629" s="41" t="n"/>
      <c r="J629" s="41" t="n"/>
      <c r="K629" s="41" t="n"/>
    </row>
    <row r="630" ht="15.75" customHeight="1" s="60">
      <c r="A630" s="41" t="n"/>
      <c r="B630" s="41" t="n"/>
      <c r="C630" s="41" t="n"/>
      <c r="D630" s="41" t="n"/>
      <c r="E630" s="41" t="n"/>
      <c r="F630" s="41" t="n"/>
      <c r="G630" s="41" t="n"/>
      <c r="H630" s="41" t="n"/>
      <c r="I630" s="41" t="n"/>
      <c r="J630" s="41" t="n"/>
      <c r="K630" s="41" t="n"/>
    </row>
    <row r="631" ht="15.75" customHeight="1" s="60">
      <c r="A631" s="41" t="n"/>
      <c r="B631" s="41" t="n"/>
      <c r="C631" s="41" t="n"/>
      <c r="D631" s="41" t="n"/>
      <c r="E631" s="41" t="n"/>
      <c r="F631" s="41" t="n"/>
      <c r="G631" s="41" t="n"/>
      <c r="H631" s="41" t="n"/>
      <c r="I631" s="41" t="n"/>
      <c r="J631" s="41" t="n"/>
      <c r="K631" s="41" t="n"/>
    </row>
    <row r="632" ht="15.75" customHeight="1" s="60">
      <c r="A632" s="41" t="n"/>
      <c r="B632" s="41" t="n"/>
      <c r="C632" s="41" t="n"/>
      <c r="D632" s="41" t="n"/>
      <c r="E632" s="41" t="n"/>
      <c r="F632" s="41" t="n"/>
      <c r="G632" s="41" t="n"/>
      <c r="H632" s="41" t="n"/>
      <c r="I632" s="41" t="n"/>
      <c r="J632" s="41" t="n"/>
      <c r="K632" s="41" t="n"/>
    </row>
    <row r="633" ht="15.75" customHeight="1" s="60">
      <c r="A633" s="41" t="n"/>
      <c r="B633" s="41" t="n"/>
      <c r="C633" s="41" t="n"/>
      <c r="D633" s="41" t="n"/>
      <c r="E633" s="41" t="n"/>
      <c r="F633" s="41" t="n"/>
      <c r="G633" s="41" t="n"/>
      <c r="H633" s="41" t="n"/>
      <c r="I633" s="41" t="n"/>
      <c r="J633" s="41" t="n"/>
      <c r="K633" s="41" t="n"/>
    </row>
    <row r="634" ht="15.75" customHeight="1" s="60">
      <c r="A634" s="41" t="n"/>
      <c r="B634" s="41" t="n"/>
      <c r="C634" s="41" t="n"/>
      <c r="D634" s="41" t="n"/>
      <c r="E634" s="41" t="n"/>
      <c r="F634" s="41" t="n"/>
      <c r="G634" s="41" t="n"/>
      <c r="H634" s="41" t="n"/>
      <c r="I634" s="41" t="n"/>
      <c r="J634" s="41" t="n"/>
      <c r="K634" s="41" t="n"/>
    </row>
    <row r="635" ht="15.75" customHeight="1" s="60">
      <c r="A635" s="41" t="n"/>
      <c r="B635" s="41" t="n"/>
      <c r="C635" s="41" t="n"/>
      <c r="D635" s="41" t="n"/>
      <c r="E635" s="41" t="n"/>
      <c r="F635" s="41" t="n"/>
      <c r="G635" s="41" t="n"/>
      <c r="H635" s="41" t="n"/>
      <c r="I635" s="41" t="n"/>
      <c r="J635" s="41" t="n"/>
      <c r="K635" s="41" t="n"/>
    </row>
    <row r="636" ht="15.75" customHeight="1" s="60">
      <c r="A636" s="41" t="n"/>
      <c r="B636" s="41" t="n"/>
      <c r="C636" s="41" t="n"/>
      <c r="D636" s="41" t="n"/>
      <c r="E636" s="41" t="n"/>
      <c r="F636" s="41" t="n"/>
      <c r="G636" s="41" t="n"/>
      <c r="H636" s="41" t="n"/>
      <c r="I636" s="41" t="n"/>
      <c r="J636" s="41" t="n"/>
      <c r="K636" s="41" t="n"/>
    </row>
    <row r="637" ht="15.75" customHeight="1" s="60">
      <c r="A637" s="41" t="n"/>
      <c r="B637" s="41" t="n"/>
      <c r="C637" s="41" t="n"/>
      <c r="D637" s="41" t="n"/>
      <c r="E637" s="41" t="n"/>
      <c r="F637" s="41" t="n"/>
      <c r="G637" s="41" t="n"/>
      <c r="H637" s="41" t="n"/>
      <c r="I637" s="41" t="n"/>
      <c r="J637" s="41" t="n"/>
      <c r="K637" s="41" t="n"/>
    </row>
    <row r="638" ht="15.75" customHeight="1" s="60">
      <c r="A638" s="41" t="n"/>
      <c r="B638" s="41" t="n"/>
      <c r="C638" s="41" t="n"/>
      <c r="D638" s="41" t="n"/>
      <c r="E638" s="41" t="n"/>
      <c r="F638" s="41" t="n"/>
      <c r="G638" s="41" t="n"/>
      <c r="H638" s="41" t="n"/>
      <c r="I638" s="41" t="n"/>
      <c r="J638" s="41" t="n"/>
      <c r="K638" s="41" t="n"/>
    </row>
    <row r="639" ht="15.75" customHeight="1" s="60">
      <c r="A639" s="41" t="n"/>
      <c r="B639" s="41" t="n"/>
      <c r="C639" s="41" t="n"/>
      <c r="D639" s="41" t="n"/>
      <c r="E639" s="41" t="n"/>
      <c r="F639" s="41" t="n"/>
      <c r="G639" s="41" t="n"/>
      <c r="H639" s="41" t="n"/>
      <c r="I639" s="41" t="n"/>
      <c r="J639" s="41" t="n"/>
      <c r="K639" s="41" t="n"/>
    </row>
    <row r="640" ht="15.75" customHeight="1" s="60">
      <c r="A640" s="41" t="n"/>
      <c r="B640" s="41" t="n"/>
      <c r="C640" s="41" t="n"/>
      <c r="D640" s="41" t="n"/>
      <c r="E640" s="41" t="n"/>
      <c r="F640" s="41" t="n"/>
      <c r="G640" s="41" t="n"/>
      <c r="H640" s="41" t="n"/>
      <c r="I640" s="41" t="n"/>
      <c r="J640" s="41" t="n"/>
      <c r="K640" s="41" t="n"/>
    </row>
    <row r="641" ht="15.75" customHeight="1" s="60">
      <c r="A641" s="41" t="n"/>
      <c r="B641" s="41" t="n"/>
      <c r="C641" s="41" t="n"/>
      <c r="D641" s="41" t="n"/>
      <c r="E641" s="41" t="n"/>
      <c r="F641" s="41" t="n"/>
      <c r="G641" s="41" t="n"/>
      <c r="H641" s="41" t="n"/>
      <c r="I641" s="41" t="n"/>
      <c r="J641" s="41" t="n"/>
      <c r="K641" s="41" t="n"/>
    </row>
    <row r="642" ht="15.75" customHeight="1" s="60">
      <c r="A642" s="41" t="n"/>
      <c r="B642" s="41" t="n"/>
      <c r="C642" s="41" t="n"/>
      <c r="D642" s="41" t="n"/>
      <c r="E642" s="41" t="n"/>
      <c r="F642" s="41" t="n"/>
      <c r="G642" s="41" t="n"/>
      <c r="H642" s="41" t="n"/>
      <c r="I642" s="41" t="n"/>
      <c r="J642" s="41" t="n"/>
      <c r="K642" s="41" t="n"/>
    </row>
    <row r="643" ht="15.75" customHeight="1" s="60">
      <c r="A643" s="41" t="n"/>
      <c r="B643" s="41" t="n"/>
      <c r="C643" s="41" t="n"/>
      <c r="D643" s="41" t="n"/>
      <c r="E643" s="41" t="n"/>
      <c r="F643" s="41" t="n"/>
      <c r="G643" s="41" t="n"/>
      <c r="H643" s="41" t="n"/>
      <c r="I643" s="41" t="n"/>
      <c r="J643" s="41" t="n"/>
      <c r="K643" s="41" t="n"/>
    </row>
    <row r="644" ht="15.75" customHeight="1" s="60">
      <c r="A644" s="41" t="n"/>
      <c r="B644" s="41" t="n"/>
      <c r="C644" s="41" t="n"/>
      <c r="D644" s="41" t="n"/>
      <c r="E644" s="41" t="n"/>
      <c r="F644" s="41" t="n"/>
      <c r="G644" s="41" t="n"/>
      <c r="H644" s="41" t="n"/>
      <c r="I644" s="41" t="n"/>
      <c r="J644" s="41" t="n"/>
      <c r="K644" s="41" t="n"/>
    </row>
    <row r="645" ht="15.75" customHeight="1" s="60">
      <c r="A645" s="41" t="n"/>
      <c r="B645" s="41" t="n"/>
      <c r="C645" s="41" t="n"/>
      <c r="D645" s="41" t="n"/>
      <c r="E645" s="41" t="n"/>
      <c r="F645" s="41" t="n"/>
      <c r="G645" s="41" t="n"/>
      <c r="H645" s="41" t="n"/>
      <c r="I645" s="41" t="n"/>
      <c r="J645" s="41" t="n"/>
      <c r="K645" s="41" t="n"/>
    </row>
    <row r="646" ht="15.75" customHeight="1" s="60">
      <c r="A646" s="41" t="n"/>
      <c r="B646" s="41" t="n"/>
      <c r="C646" s="41" t="n"/>
      <c r="D646" s="41" t="n"/>
      <c r="E646" s="41" t="n"/>
      <c r="F646" s="41" t="n"/>
      <c r="G646" s="41" t="n"/>
      <c r="H646" s="41" t="n"/>
      <c r="I646" s="41" t="n"/>
      <c r="J646" s="41" t="n"/>
      <c r="K646" s="41" t="n"/>
    </row>
    <row r="647" ht="15.75" customHeight="1" s="60">
      <c r="A647" s="41" t="n"/>
      <c r="B647" s="41" t="n"/>
      <c r="C647" s="41" t="n"/>
      <c r="D647" s="41" t="n"/>
      <c r="E647" s="41" t="n"/>
      <c r="F647" s="41" t="n"/>
      <c r="G647" s="41" t="n"/>
      <c r="H647" s="41" t="n"/>
      <c r="I647" s="41" t="n"/>
      <c r="J647" s="41" t="n"/>
      <c r="K647" s="41" t="n"/>
    </row>
    <row r="648" ht="15.75" customHeight="1" s="60">
      <c r="A648" s="41" t="n"/>
      <c r="B648" s="41" t="n"/>
      <c r="C648" s="41" t="n"/>
      <c r="D648" s="41" t="n"/>
      <c r="E648" s="41" t="n"/>
      <c r="F648" s="41" t="n"/>
      <c r="G648" s="41" t="n"/>
      <c r="H648" s="41" t="n"/>
      <c r="I648" s="41" t="n"/>
      <c r="J648" s="41" t="n"/>
      <c r="K648" s="41" t="n"/>
    </row>
    <row r="649" ht="15.75" customHeight="1" s="60">
      <c r="A649" s="41" t="n"/>
      <c r="B649" s="41" t="n"/>
      <c r="C649" s="41" t="n"/>
      <c r="D649" s="41" t="n"/>
      <c r="E649" s="41" t="n"/>
      <c r="F649" s="41" t="n"/>
      <c r="G649" s="41" t="n"/>
      <c r="H649" s="41" t="n"/>
      <c r="I649" s="41" t="n"/>
      <c r="J649" s="41" t="n"/>
      <c r="K649" s="41" t="n"/>
    </row>
    <row r="650" ht="15.75" customHeight="1" s="60">
      <c r="A650" s="41" t="n"/>
      <c r="B650" s="41" t="n"/>
      <c r="C650" s="41" t="n"/>
      <c r="D650" s="41" t="n"/>
      <c r="E650" s="41" t="n"/>
      <c r="F650" s="41" t="n"/>
      <c r="G650" s="41" t="n"/>
      <c r="H650" s="41" t="n"/>
      <c r="I650" s="41" t="n"/>
      <c r="J650" s="41" t="n"/>
      <c r="K650" s="41" t="n"/>
    </row>
    <row r="651" ht="15.75" customHeight="1" s="60">
      <c r="A651" s="41" t="n"/>
      <c r="B651" s="41" t="n"/>
      <c r="C651" s="41" t="n"/>
      <c r="D651" s="41" t="n"/>
      <c r="E651" s="41" t="n"/>
      <c r="F651" s="41" t="n"/>
      <c r="G651" s="41" t="n"/>
      <c r="H651" s="41" t="n"/>
      <c r="I651" s="41" t="n"/>
      <c r="J651" s="41" t="n"/>
      <c r="K651" s="41" t="n"/>
    </row>
    <row r="652" ht="15.75" customHeight="1" s="60">
      <c r="A652" s="41" t="n"/>
      <c r="B652" s="41" t="n"/>
      <c r="C652" s="41" t="n"/>
      <c r="D652" s="41" t="n"/>
      <c r="E652" s="41" t="n"/>
      <c r="F652" s="41" t="n"/>
      <c r="G652" s="41" t="n"/>
      <c r="H652" s="41" t="n"/>
      <c r="I652" s="41" t="n"/>
      <c r="J652" s="41" t="n"/>
      <c r="K652" s="41" t="n"/>
    </row>
    <row r="653" ht="15.75" customHeight="1" s="60">
      <c r="A653" s="41" t="n"/>
      <c r="B653" s="41" t="n"/>
      <c r="C653" s="41" t="n"/>
      <c r="D653" s="41" t="n"/>
      <c r="E653" s="41" t="n"/>
      <c r="F653" s="41" t="n"/>
      <c r="G653" s="41" t="n"/>
      <c r="H653" s="41" t="n"/>
      <c r="I653" s="41" t="n"/>
      <c r="J653" s="41" t="n"/>
      <c r="K653" s="41" t="n"/>
    </row>
    <row r="654" ht="15.75" customHeight="1" s="60">
      <c r="A654" s="41" t="n"/>
      <c r="B654" s="41" t="n"/>
      <c r="C654" s="41" t="n"/>
      <c r="D654" s="41" t="n"/>
      <c r="E654" s="41" t="n"/>
      <c r="F654" s="41" t="n"/>
      <c r="G654" s="41" t="n"/>
      <c r="H654" s="41" t="n"/>
      <c r="I654" s="41" t="n"/>
      <c r="J654" s="41" t="n"/>
      <c r="K654" s="41" t="n"/>
    </row>
    <row r="655" ht="15.75" customHeight="1" s="60">
      <c r="A655" s="41" t="n"/>
      <c r="B655" s="41" t="n"/>
      <c r="C655" s="41" t="n"/>
      <c r="D655" s="41" t="n"/>
      <c r="E655" s="41" t="n"/>
      <c r="F655" s="41" t="n"/>
      <c r="G655" s="41" t="n"/>
      <c r="H655" s="41" t="n"/>
      <c r="I655" s="41" t="n"/>
      <c r="J655" s="41" t="n"/>
      <c r="K655" s="41" t="n"/>
    </row>
    <row r="656" ht="15.75" customHeight="1" s="60">
      <c r="A656" s="41" t="n"/>
      <c r="B656" s="41" t="n"/>
      <c r="C656" s="41" t="n"/>
      <c r="D656" s="41" t="n"/>
      <c r="E656" s="41" t="n"/>
      <c r="F656" s="41" t="n"/>
      <c r="G656" s="41" t="n"/>
      <c r="H656" s="41" t="n"/>
      <c r="I656" s="41" t="n"/>
      <c r="J656" s="41" t="n"/>
      <c r="K656" s="41" t="n"/>
    </row>
    <row r="657" ht="15.75" customHeight="1" s="60">
      <c r="A657" s="41" t="n"/>
      <c r="B657" s="41" t="n"/>
      <c r="C657" s="41" t="n"/>
      <c r="D657" s="41" t="n"/>
      <c r="E657" s="41" t="n"/>
      <c r="F657" s="41" t="n"/>
      <c r="G657" s="41" t="n"/>
      <c r="H657" s="41" t="n"/>
      <c r="I657" s="41" t="n"/>
      <c r="J657" s="41" t="n"/>
      <c r="K657" s="41" t="n"/>
    </row>
    <row r="658" ht="15.75" customHeight="1" s="60">
      <c r="A658" s="41" t="n"/>
      <c r="B658" s="41" t="n"/>
      <c r="C658" s="41" t="n"/>
      <c r="D658" s="41" t="n"/>
      <c r="E658" s="41" t="n"/>
      <c r="F658" s="41" t="n"/>
      <c r="G658" s="41" t="n"/>
      <c r="H658" s="41" t="n"/>
      <c r="I658" s="41" t="n"/>
      <c r="J658" s="41" t="n"/>
      <c r="K658" s="41" t="n"/>
    </row>
    <row r="659" ht="15.75" customHeight="1" s="60">
      <c r="A659" s="41" t="n"/>
      <c r="B659" s="41" t="n"/>
      <c r="C659" s="41" t="n"/>
      <c r="D659" s="41" t="n"/>
      <c r="E659" s="41" t="n"/>
      <c r="F659" s="41" t="n"/>
      <c r="G659" s="41" t="n"/>
      <c r="H659" s="41" t="n"/>
      <c r="I659" s="41" t="n"/>
      <c r="J659" s="41" t="n"/>
      <c r="K659" s="41" t="n"/>
    </row>
    <row r="660" ht="15.75" customHeight="1" s="60">
      <c r="A660" s="41" t="n"/>
      <c r="B660" s="41" t="n"/>
      <c r="C660" s="41" t="n"/>
      <c r="D660" s="41" t="n"/>
      <c r="E660" s="41" t="n"/>
      <c r="F660" s="41" t="n"/>
      <c r="G660" s="41" t="n"/>
      <c r="H660" s="41" t="n"/>
      <c r="I660" s="41" t="n"/>
      <c r="J660" s="41" t="n"/>
      <c r="K660" s="41" t="n"/>
    </row>
    <row r="661" ht="15.75" customHeight="1" s="60">
      <c r="A661" s="41" t="n"/>
      <c r="B661" s="41" t="n"/>
      <c r="C661" s="41" t="n"/>
      <c r="D661" s="41" t="n"/>
      <c r="E661" s="41" t="n"/>
      <c r="F661" s="41" t="n"/>
      <c r="G661" s="41" t="n"/>
      <c r="H661" s="41" t="n"/>
      <c r="I661" s="41" t="n"/>
      <c r="J661" s="41" t="n"/>
      <c r="K661" s="41" t="n"/>
    </row>
    <row r="662" ht="15.75" customHeight="1" s="60">
      <c r="A662" s="41" t="n"/>
      <c r="B662" s="41" t="n"/>
      <c r="C662" s="41" t="n"/>
      <c r="D662" s="41" t="n"/>
      <c r="E662" s="41" t="n"/>
      <c r="F662" s="41" t="n"/>
      <c r="G662" s="41" t="n"/>
      <c r="H662" s="41" t="n"/>
      <c r="I662" s="41" t="n"/>
      <c r="J662" s="41" t="n"/>
      <c r="K662" s="41" t="n"/>
    </row>
    <row r="663" ht="15.75" customHeight="1" s="60">
      <c r="A663" s="41" t="n"/>
      <c r="B663" s="41" t="n"/>
      <c r="C663" s="41" t="n"/>
      <c r="D663" s="41" t="n"/>
      <c r="E663" s="41" t="n"/>
      <c r="F663" s="41" t="n"/>
      <c r="G663" s="41" t="n"/>
      <c r="H663" s="41" t="n"/>
      <c r="I663" s="41" t="n"/>
      <c r="J663" s="41" t="n"/>
      <c r="K663" s="41" t="n"/>
    </row>
    <row r="664" ht="15.75" customHeight="1" s="60">
      <c r="A664" s="41" t="n"/>
      <c r="B664" s="41" t="n"/>
      <c r="C664" s="41" t="n"/>
      <c r="D664" s="41" t="n"/>
      <c r="E664" s="41" t="n"/>
      <c r="F664" s="41" t="n"/>
      <c r="G664" s="41" t="n"/>
      <c r="H664" s="41" t="n"/>
      <c r="I664" s="41" t="n"/>
      <c r="J664" s="41" t="n"/>
      <c r="K664" s="41" t="n"/>
    </row>
    <row r="665" ht="15.75" customHeight="1" s="60">
      <c r="A665" s="41" t="n"/>
      <c r="B665" s="41" t="n"/>
      <c r="C665" s="41" t="n"/>
      <c r="D665" s="41" t="n"/>
      <c r="E665" s="41" t="n"/>
      <c r="F665" s="41" t="n"/>
      <c r="G665" s="41" t="n"/>
      <c r="H665" s="41" t="n"/>
      <c r="I665" s="41" t="n"/>
      <c r="J665" s="41" t="n"/>
      <c r="K665" s="41" t="n"/>
    </row>
    <row r="666" ht="15.75" customHeight="1" s="60">
      <c r="A666" s="41" t="n"/>
      <c r="B666" s="41" t="n"/>
      <c r="C666" s="41" t="n"/>
      <c r="D666" s="41" t="n"/>
      <c r="E666" s="41" t="n"/>
      <c r="F666" s="41" t="n"/>
      <c r="G666" s="41" t="n"/>
      <c r="H666" s="41" t="n"/>
      <c r="I666" s="41" t="n"/>
      <c r="J666" s="41" t="n"/>
      <c r="K666" s="41" t="n"/>
    </row>
    <row r="667" ht="15.75" customHeight="1" s="60">
      <c r="A667" s="41" t="n"/>
      <c r="B667" s="41" t="n"/>
      <c r="C667" s="41" t="n"/>
      <c r="D667" s="41" t="n"/>
      <c r="E667" s="41" t="n"/>
      <c r="F667" s="41" t="n"/>
      <c r="G667" s="41" t="n"/>
      <c r="H667" s="41" t="n"/>
      <c r="I667" s="41" t="n"/>
      <c r="J667" s="41" t="n"/>
      <c r="K667" s="41" t="n"/>
    </row>
    <row r="668" ht="15.75" customHeight="1" s="60">
      <c r="A668" s="41" t="n"/>
      <c r="B668" s="41" t="n"/>
      <c r="C668" s="41" t="n"/>
      <c r="D668" s="41" t="n"/>
      <c r="E668" s="41" t="n"/>
      <c r="F668" s="41" t="n"/>
      <c r="G668" s="41" t="n"/>
      <c r="H668" s="41" t="n"/>
      <c r="I668" s="41" t="n"/>
      <c r="J668" s="41" t="n"/>
      <c r="K668" s="41" t="n"/>
    </row>
    <row r="669" ht="15.75" customHeight="1" s="60">
      <c r="A669" s="41" t="n"/>
      <c r="B669" s="41" t="n"/>
      <c r="C669" s="41" t="n"/>
      <c r="D669" s="41" t="n"/>
      <c r="E669" s="41" t="n"/>
      <c r="F669" s="41" t="n"/>
      <c r="G669" s="41" t="n"/>
      <c r="H669" s="41" t="n"/>
      <c r="I669" s="41" t="n"/>
      <c r="J669" s="41" t="n"/>
      <c r="K669" s="41" t="n"/>
    </row>
    <row r="670" ht="15.75" customHeight="1" s="60">
      <c r="A670" s="41" t="n"/>
      <c r="B670" s="41" t="n"/>
      <c r="C670" s="41" t="n"/>
      <c r="D670" s="41" t="n"/>
      <c r="E670" s="41" t="n"/>
      <c r="F670" s="41" t="n"/>
      <c r="G670" s="41" t="n"/>
      <c r="H670" s="41" t="n"/>
      <c r="I670" s="41" t="n"/>
      <c r="J670" s="41" t="n"/>
      <c r="K670" s="41" t="n"/>
    </row>
    <row r="671" ht="15.75" customHeight="1" s="60">
      <c r="A671" s="41" t="n"/>
      <c r="B671" s="41" t="n"/>
      <c r="C671" s="41" t="n"/>
      <c r="D671" s="41" t="n"/>
      <c r="E671" s="41" t="n"/>
      <c r="F671" s="41" t="n"/>
      <c r="G671" s="41" t="n"/>
      <c r="H671" s="41" t="n"/>
      <c r="I671" s="41" t="n"/>
      <c r="J671" s="41" t="n"/>
      <c r="K671" s="41" t="n"/>
    </row>
    <row r="672" ht="15.75" customHeight="1" s="60">
      <c r="A672" s="41" t="n"/>
      <c r="B672" s="41" t="n"/>
      <c r="C672" s="41" t="n"/>
      <c r="D672" s="41" t="n"/>
      <c r="E672" s="41" t="n"/>
      <c r="F672" s="41" t="n"/>
      <c r="G672" s="41" t="n"/>
      <c r="H672" s="41" t="n"/>
      <c r="I672" s="41" t="n"/>
      <c r="J672" s="41" t="n"/>
      <c r="K672" s="41" t="n"/>
    </row>
    <row r="673" ht="15.75" customHeight="1" s="60">
      <c r="A673" s="41" t="n"/>
      <c r="B673" s="41" t="n"/>
      <c r="C673" s="41" t="n"/>
      <c r="D673" s="41" t="n"/>
      <c r="E673" s="41" t="n"/>
      <c r="F673" s="41" t="n"/>
      <c r="G673" s="41" t="n"/>
      <c r="H673" s="41" t="n"/>
      <c r="I673" s="41" t="n"/>
      <c r="J673" s="41" t="n"/>
      <c r="K673" s="41" t="n"/>
    </row>
    <row r="674" ht="15.75" customHeight="1" s="60">
      <c r="A674" s="41" t="n"/>
      <c r="B674" s="41" t="n"/>
      <c r="C674" s="41" t="n"/>
      <c r="D674" s="41" t="n"/>
      <c r="E674" s="41" t="n"/>
      <c r="F674" s="41" t="n"/>
      <c r="G674" s="41" t="n"/>
      <c r="H674" s="41" t="n"/>
      <c r="I674" s="41" t="n"/>
      <c r="J674" s="41" t="n"/>
      <c r="K674" s="41" t="n"/>
    </row>
    <row r="675" ht="15.75" customHeight="1" s="60">
      <c r="A675" s="41" t="n"/>
      <c r="B675" s="41" t="n"/>
      <c r="C675" s="41" t="n"/>
      <c r="D675" s="41" t="n"/>
      <c r="E675" s="41" t="n"/>
      <c r="F675" s="41" t="n"/>
      <c r="G675" s="41" t="n"/>
      <c r="H675" s="41" t="n"/>
      <c r="I675" s="41" t="n"/>
      <c r="J675" s="41" t="n"/>
      <c r="K675" s="41" t="n"/>
    </row>
    <row r="676" ht="15.75" customHeight="1" s="60">
      <c r="A676" s="41" t="n"/>
      <c r="B676" s="41" t="n"/>
      <c r="C676" s="41" t="n"/>
      <c r="D676" s="41" t="n"/>
      <c r="E676" s="41" t="n"/>
      <c r="F676" s="41" t="n"/>
      <c r="G676" s="41" t="n"/>
      <c r="H676" s="41" t="n"/>
      <c r="I676" s="41" t="n"/>
      <c r="J676" s="41" t="n"/>
      <c r="K676" s="41" t="n"/>
    </row>
    <row r="677" ht="15.75" customHeight="1" s="60">
      <c r="A677" s="41" t="n"/>
      <c r="B677" s="41" t="n"/>
      <c r="C677" s="41" t="n"/>
      <c r="D677" s="41" t="n"/>
      <c r="E677" s="41" t="n"/>
      <c r="F677" s="41" t="n"/>
      <c r="G677" s="41" t="n"/>
      <c r="H677" s="41" t="n"/>
      <c r="I677" s="41" t="n"/>
      <c r="J677" s="41" t="n"/>
      <c r="K677" s="41" t="n"/>
    </row>
    <row r="678" ht="15.75" customHeight="1" s="60">
      <c r="A678" s="41" t="n"/>
      <c r="B678" s="41" t="n"/>
      <c r="C678" s="41" t="n"/>
      <c r="D678" s="41" t="n"/>
      <c r="E678" s="41" t="n"/>
      <c r="F678" s="41" t="n"/>
      <c r="G678" s="41" t="n"/>
      <c r="H678" s="41" t="n"/>
      <c r="I678" s="41" t="n"/>
      <c r="J678" s="41" t="n"/>
      <c r="K678" s="41" t="n"/>
    </row>
    <row r="679" ht="15.75" customHeight="1" s="60">
      <c r="A679" s="41" t="n"/>
      <c r="B679" s="41" t="n"/>
      <c r="C679" s="41" t="n"/>
      <c r="D679" s="41" t="n"/>
      <c r="E679" s="41" t="n"/>
      <c r="F679" s="41" t="n"/>
      <c r="G679" s="41" t="n"/>
      <c r="H679" s="41" t="n"/>
      <c r="I679" s="41" t="n"/>
      <c r="J679" s="41" t="n"/>
      <c r="K679" s="41" t="n"/>
    </row>
    <row r="680" ht="15.75" customHeight="1" s="60">
      <c r="A680" s="41" t="n"/>
      <c r="B680" s="41" t="n"/>
      <c r="C680" s="41" t="n"/>
      <c r="D680" s="41" t="n"/>
      <c r="E680" s="41" t="n"/>
      <c r="F680" s="41" t="n"/>
      <c r="G680" s="41" t="n"/>
      <c r="H680" s="41" t="n"/>
      <c r="I680" s="41" t="n"/>
      <c r="J680" s="41" t="n"/>
      <c r="K680" s="41" t="n"/>
    </row>
    <row r="681" ht="15.75" customHeight="1" s="60">
      <c r="A681" s="41" t="n"/>
      <c r="B681" s="41" t="n"/>
      <c r="C681" s="41" t="n"/>
      <c r="D681" s="41" t="n"/>
      <c r="E681" s="41" t="n"/>
      <c r="F681" s="41" t="n"/>
      <c r="G681" s="41" t="n"/>
      <c r="H681" s="41" t="n"/>
      <c r="I681" s="41" t="n"/>
      <c r="J681" s="41" t="n"/>
      <c r="K681" s="41" t="n"/>
    </row>
    <row r="682" ht="15.75" customHeight="1" s="60">
      <c r="A682" s="41" t="n"/>
      <c r="B682" s="41" t="n"/>
      <c r="C682" s="41" t="n"/>
      <c r="D682" s="41" t="n"/>
      <c r="E682" s="41" t="n"/>
      <c r="F682" s="41" t="n"/>
      <c r="G682" s="41" t="n"/>
      <c r="H682" s="41" t="n"/>
      <c r="I682" s="41" t="n"/>
      <c r="J682" s="41" t="n"/>
      <c r="K682" s="41" t="n"/>
    </row>
    <row r="683" ht="15.75" customHeight="1" s="60">
      <c r="A683" s="41" t="n"/>
      <c r="B683" s="41" t="n"/>
      <c r="C683" s="41" t="n"/>
      <c r="D683" s="41" t="n"/>
      <c r="E683" s="41" t="n"/>
      <c r="F683" s="41" t="n"/>
      <c r="G683" s="41" t="n"/>
      <c r="H683" s="41" t="n"/>
      <c r="I683" s="41" t="n"/>
      <c r="J683" s="41" t="n"/>
      <c r="K683" s="41" t="n"/>
    </row>
    <row r="684" ht="15.75" customHeight="1" s="60">
      <c r="A684" s="41" t="n"/>
      <c r="B684" s="41" t="n"/>
      <c r="C684" s="41" t="n"/>
      <c r="D684" s="41" t="n"/>
      <c r="E684" s="41" t="n"/>
      <c r="F684" s="41" t="n"/>
      <c r="G684" s="41" t="n"/>
      <c r="H684" s="41" t="n"/>
      <c r="I684" s="41" t="n"/>
      <c r="J684" s="41" t="n"/>
      <c r="K684" s="41" t="n"/>
    </row>
    <row r="685" ht="15.75" customHeight="1" s="60">
      <c r="A685" s="41" t="n"/>
      <c r="B685" s="41" t="n"/>
      <c r="C685" s="41" t="n"/>
      <c r="D685" s="41" t="n"/>
      <c r="E685" s="41" t="n"/>
      <c r="F685" s="41" t="n"/>
      <c r="G685" s="41" t="n"/>
      <c r="H685" s="41" t="n"/>
      <c r="I685" s="41" t="n"/>
      <c r="J685" s="41" t="n"/>
      <c r="K685" s="41" t="n"/>
    </row>
    <row r="686" ht="15.75" customHeight="1" s="60">
      <c r="A686" s="41" t="n"/>
      <c r="B686" s="41" t="n"/>
      <c r="C686" s="41" t="n"/>
      <c r="D686" s="41" t="n"/>
      <c r="E686" s="41" t="n"/>
      <c r="F686" s="41" t="n"/>
      <c r="G686" s="41" t="n"/>
      <c r="H686" s="41" t="n"/>
      <c r="I686" s="41" t="n"/>
      <c r="J686" s="41" t="n"/>
      <c r="K686" s="41" t="n"/>
    </row>
    <row r="687" ht="15.75" customHeight="1" s="60">
      <c r="A687" s="41" t="n"/>
      <c r="B687" s="41" t="n"/>
      <c r="C687" s="41" t="n"/>
      <c r="D687" s="41" t="n"/>
      <c r="E687" s="41" t="n"/>
      <c r="F687" s="41" t="n"/>
      <c r="G687" s="41" t="n"/>
      <c r="H687" s="41" t="n"/>
      <c r="I687" s="41" t="n"/>
      <c r="J687" s="41" t="n"/>
      <c r="K687" s="41" t="n"/>
    </row>
    <row r="688" ht="15.75" customHeight="1" s="60">
      <c r="A688" s="41" t="n"/>
      <c r="B688" s="41" t="n"/>
      <c r="C688" s="41" t="n"/>
      <c r="D688" s="41" t="n"/>
      <c r="E688" s="41" t="n"/>
      <c r="F688" s="41" t="n"/>
      <c r="G688" s="41" t="n"/>
      <c r="H688" s="41" t="n"/>
      <c r="I688" s="41" t="n"/>
      <c r="J688" s="41" t="n"/>
      <c r="K688" s="41" t="n"/>
    </row>
    <row r="689" ht="15.75" customHeight="1" s="60">
      <c r="A689" s="41" t="n"/>
      <c r="B689" s="41" t="n"/>
      <c r="C689" s="41" t="n"/>
      <c r="D689" s="41" t="n"/>
      <c r="E689" s="41" t="n"/>
      <c r="F689" s="41" t="n"/>
      <c r="G689" s="41" t="n"/>
      <c r="H689" s="41" t="n"/>
      <c r="I689" s="41" t="n"/>
      <c r="J689" s="41" t="n"/>
      <c r="K689" s="41" t="n"/>
    </row>
    <row r="690" ht="15.75" customHeight="1" s="60">
      <c r="A690" s="41" t="n"/>
      <c r="B690" s="41" t="n"/>
      <c r="C690" s="41" t="n"/>
      <c r="D690" s="41" t="n"/>
      <c r="E690" s="41" t="n"/>
      <c r="F690" s="41" t="n"/>
      <c r="G690" s="41" t="n"/>
      <c r="H690" s="41" t="n"/>
      <c r="I690" s="41" t="n"/>
      <c r="J690" s="41" t="n"/>
      <c r="K690" s="41" t="n"/>
    </row>
    <row r="691" ht="15.75" customHeight="1" s="60">
      <c r="A691" s="41" t="n"/>
      <c r="B691" s="41" t="n"/>
      <c r="C691" s="41" t="n"/>
      <c r="D691" s="41" t="n"/>
      <c r="E691" s="41" t="n"/>
      <c r="F691" s="41" t="n"/>
      <c r="G691" s="41" t="n"/>
      <c r="H691" s="41" t="n"/>
      <c r="I691" s="41" t="n"/>
      <c r="J691" s="41" t="n"/>
      <c r="K691" s="41" t="n"/>
    </row>
    <row r="692" ht="15.75" customHeight="1" s="60">
      <c r="A692" s="41" t="n"/>
      <c r="B692" s="41" t="n"/>
      <c r="C692" s="41" t="n"/>
      <c r="D692" s="41" t="n"/>
      <c r="E692" s="41" t="n"/>
      <c r="F692" s="41" t="n"/>
      <c r="G692" s="41" t="n"/>
      <c r="H692" s="41" t="n"/>
      <c r="I692" s="41" t="n"/>
      <c r="J692" s="41" t="n"/>
      <c r="K692" s="41" t="n"/>
    </row>
    <row r="693" ht="15.75" customHeight="1" s="60">
      <c r="A693" s="41" t="n"/>
      <c r="B693" s="41" t="n"/>
      <c r="C693" s="41" t="n"/>
      <c r="D693" s="41" t="n"/>
      <c r="E693" s="41" t="n"/>
      <c r="F693" s="41" t="n"/>
      <c r="G693" s="41" t="n"/>
      <c r="H693" s="41" t="n"/>
      <c r="I693" s="41" t="n"/>
      <c r="J693" s="41" t="n"/>
      <c r="K693" s="41" t="n"/>
    </row>
    <row r="694" ht="15.75" customHeight="1" s="60">
      <c r="A694" s="41" t="n"/>
      <c r="B694" s="41" t="n"/>
      <c r="C694" s="41" t="n"/>
      <c r="D694" s="41" t="n"/>
      <c r="E694" s="41" t="n"/>
      <c r="F694" s="41" t="n"/>
      <c r="G694" s="41" t="n"/>
      <c r="H694" s="41" t="n"/>
      <c r="I694" s="41" t="n"/>
      <c r="J694" s="41" t="n"/>
      <c r="K694" s="41" t="n"/>
    </row>
    <row r="695" ht="15.75" customHeight="1" s="60">
      <c r="A695" s="41" t="n"/>
      <c r="B695" s="41" t="n"/>
      <c r="C695" s="41" t="n"/>
      <c r="D695" s="41" t="n"/>
      <c r="E695" s="41" t="n"/>
      <c r="F695" s="41" t="n"/>
      <c r="G695" s="41" t="n"/>
      <c r="H695" s="41" t="n"/>
      <c r="I695" s="41" t="n"/>
      <c r="J695" s="41" t="n"/>
      <c r="K695" s="41" t="n"/>
    </row>
    <row r="696" ht="15.75" customHeight="1" s="60">
      <c r="A696" s="41" t="n"/>
      <c r="B696" s="41" t="n"/>
      <c r="C696" s="41" t="n"/>
      <c r="D696" s="41" t="n"/>
      <c r="E696" s="41" t="n"/>
      <c r="F696" s="41" t="n"/>
      <c r="G696" s="41" t="n"/>
      <c r="H696" s="41" t="n"/>
      <c r="I696" s="41" t="n"/>
      <c r="J696" s="41" t="n"/>
      <c r="K696" s="41" t="n"/>
    </row>
    <row r="697" ht="15.75" customHeight="1" s="60">
      <c r="A697" s="41" t="n"/>
      <c r="B697" s="41" t="n"/>
      <c r="C697" s="41" t="n"/>
      <c r="D697" s="41" t="n"/>
      <c r="E697" s="41" t="n"/>
      <c r="F697" s="41" t="n"/>
      <c r="G697" s="41" t="n"/>
      <c r="H697" s="41" t="n"/>
      <c r="I697" s="41" t="n"/>
      <c r="J697" s="41" t="n"/>
      <c r="K697" s="41" t="n"/>
    </row>
    <row r="698" ht="15.75" customHeight="1" s="60">
      <c r="A698" s="41" t="n"/>
      <c r="B698" s="41" t="n"/>
      <c r="C698" s="41" t="n"/>
      <c r="D698" s="41" t="n"/>
      <c r="E698" s="41" t="n"/>
      <c r="F698" s="41" t="n"/>
      <c r="G698" s="41" t="n"/>
      <c r="H698" s="41" t="n"/>
      <c r="I698" s="41" t="n"/>
      <c r="J698" s="41" t="n"/>
      <c r="K698" s="41" t="n"/>
    </row>
    <row r="699" ht="15.75" customHeight="1" s="60">
      <c r="A699" s="41" t="n"/>
      <c r="B699" s="41" t="n"/>
      <c r="C699" s="41" t="n"/>
      <c r="D699" s="41" t="n"/>
      <c r="E699" s="41" t="n"/>
      <c r="F699" s="41" t="n"/>
      <c r="G699" s="41" t="n"/>
      <c r="H699" s="41" t="n"/>
      <c r="I699" s="41" t="n"/>
      <c r="J699" s="41" t="n"/>
      <c r="K699" s="41" t="n"/>
    </row>
    <row r="700" ht="15.75" customHeight="1" s="60">
      <c r="A700" s="41" t="n"/>
      <c r="B700" s="41" t="n"/>
      <c r="C700" s="41" t="n"/>
      <c r="D700" s="41" t="n"/>
      <c r="E700" s="41" t="n"/>
      <c r="F700" s="41" t="n"/>
      <c r="G700" s="41" t="n"/>
      <c r="H700" s="41" t="n"/>
      <c r="I700" s="41" t="n"/>
      <c r="J700" s="41" t="n"/>
      <c r="K700" s="41" t="n"/>
    </row>
    <row r="701" ht="15.75" customHeight="1" s="60">
      <c r="A701" s="41" t="n"/>
      <c r="B701" s="41" t="n"/>
      <c r="C701" s="41" t="n"/>
      <c r="D701" s="41" t="n"/>
      <c r="E701" s="41" t="n"/>
      <c r="F701" s="41" t="n"/>
      <c r="G701" s="41" t="n"/>
      <c r="H701" s="41" t="n"/>
      <c r="I701" s="41" t="n"/>
      <c r="J701" s="41" t="n"/>
      <c r="K701" s="41" t="n"/>
    </row>
    <row r="702" ht="15.75" customHeight="1" s="60">
      <c r="A702" s="41" t="n"/>
      <c r="B702" s="41" t="n"/>
      <c r="C702" s="41" t="n"/>
      <c r="D702" s="41" t="n"/>
      <c r="E702" s="41" t="n"/>
      <c r="F702" s="41" t="n"/>
      <c r="G702" s="41" t="n"/>
      <c r="H702" s="41" t="n"/>
      <c r="I702" s="41" t="n"/>
      <c r="J702" s="41" t="n"/>
      <c r="K702" s="41" t="n"/>
    </row>
    <row r="703" ht="15.75" customHeight="1" s="60">
      <c r="A703" s="41" t="n"/>
      <c r="B703" s="41" t="n"/>
      <c r="C703" s="41" t="n"/>
      <c r="D703" s="41" t="n"/>
      <c r="E703" s="41" t="n"/>
      <c r="F703" s="41" t="n"/>
      <c r="G703" s="41" t="n"/>
      <c r="H703" s="41" t="n"/>
      <c r="I703" s="41" t="n"/>
      <c r="J703" s="41" t="n"/>
      <c r="K703" s="41" t="n"/>
    </row>
    <row r="704" ht="15.75" customHeight="1" s="60">
      <c r="A704" s="41" t="n"/>
      <c r="B704" s="41" t="n"/>
      <c r="C704" s="41" t="n"/>
      <c r="D704" s="41" t="n"/>
      <c r="E704" s="41" t="n"/>
      <c r="F704" s="41" t="n"/>
      <c r="G704" s="41" t="n"/>
      <c r="H704" s="41" t="n"/>
      <c r="I704" s="41" t="n"/>
      <c r="J704" s="41" t="n"/>
      <c r="K704" s="41" t="n"/>
    </row>
    <row r="705" ht="15.75" customHeight="1" s="60">
      <c r="A705" s="41" t="n"/>
      <c r="B705" s="41" t="n"/>
      <c r="C705" s="41" t="n"/>
      <c r="D705" s="41" t="n"/>
      <c r="E705" s="41" t="n"/>
      <c r="F705" s="41" t="n"/>
      <c r="G705" s="41" t="n"/>
      <c r="H705" s="41" t="n"/>
      <c r="I705" s="41" t="n"/>
      <c r="J705" s="41" t="n"/>
      <c r="K705" s="41" t="n"/>
    </row>
    <row r="706" ht="15.75" customHeight="1" s="60">
      <c r="A706" s="41" t="n"/>
      <c r="B706" s="41" t="n"/>
      <c r="C706" s="41" t="n"/>
      <c r="D706" s="41" t="n"/>
      <c r="E706" s="41" t="n"/>
      <c r="F706" s="41" t="n"/>
      <c r="G706" s="41" t="n"/>
      <c r="H706" s="41" t="n"/>
      <c r="I706" s="41" t="n"/>
      <c r="J706" s="41" t="n"/>
      <c r="K706" s="41" t="n"/>
    </row>
    <row r="707" ht="15.75" customHeight="1" s="60">
      <c r="A707" s="41" t="n"/>
      <c r="B707" s="41" t="n"/>
      <c r="C707" s="41" t="n"/>
      <c r="D707" s="41" t="n"/>
      <c r="E707" s="41" t="n"/>
      <c r="F707" s="41" t="n"/>
      <c r="G707" s="41" t="n"/>
      <c r="H707" s="41" t="n"/>
      <c r="I707" s="41" t="n"/>
      <c r="J707" s="41" t="n"/>
      <c r="K707" s="41" t="n"/>
    </row>
    <row r="708" ht="15.75" customHeight="1" s="60">
      <c r="A708" s="41" t="n"/>
      <c r="B708" s="41" t="n"/>
      <c r="C708" s="41" t="n"/>
      <c r="D708" s="41" t="n"/>
      <c r="E708" s="41" t="n"/>
      <c r="F708" s="41" t="n"/>
      <c r="G708" s="41" t="n"/>
      <c r="H708" s="41" t="n"/>
      <c r="I708" s="41" t="n"/>
      <c r="J708" s="41" t="n"/>
      <c r="K708" s="41" t="n"/>
    </row>
    <row r="709" ht="15.75" customHeight="1" s="60">
      <c r="A709" s="41" t="n"/>
      <c r="B709" s="41" t="n"/>
      <c r="C709" s="41" t="n"/>
      <c r="D709" s="41" t="n"/>
      <c r="E709" s="41" t="n"/>
      <c r="F709" s="41" t="n"/>
      <c r="G709" s="41" t="n"/>
      <c r="H709" s="41" t="n"/>
      <c r="I709" s="41" t="n"/>
      <c r="J709" s="41" t="n"/>
      <c r="K709" s="41" t="n"/>
    </row>
    <row r="710" ht="15.75" customHeight="1" s="60">
      <c r="A710" s="41" t="n"/>
      <c r="B710" s="41" t="n"/>
      <c r="C710" s="41" t="n"/>
      <c r="D710" s="41" t="n"/>
      <c r="E710" s="41" t="n"/>
      <c r="F710" s="41" t="n"/>
      <c r="G710" s="41" t="n"/>
      <c r="H710" s="41" t="n"/>
      <c r="I710" s="41" t="n"/>
      <c r="J710" s="41" t="n"/>
      <c r="K710" s="41" t="n"/>
    </row>
    <row r="711" ht="15.75" customHeight="1" s="60">
      <c r="A711" s="41" t="n"/>
      <c r="B711" s="41" t="n"/>
      <c r="C711" s="41" t="n"/>
      <c r="D711" s="41" t="n"/>
      <c r="E711" s="41" t="n"/>
      <c r="F711" s="41" t="n"/>
      <c r="G711" s="41" t="n"/>
      <c r="H711" s="41" t="n"/>
      <c r="I711" s="41" t="n"/>
      <c r="J711" s="41" t="n"/>
      <c r="K711" s="41" t="n"/>
    </row>
    <row r="712" ht="15.75" customHeight="1" s="60">
      <c r="A712" s="41" t="n"/>
      <c r="B712" s="41" t="n"/>
      <c r="C712" s="41" t="n"/>
      <c r="D712" s="41" t="n"/>
      <c r="E712" s="41" t="n"/>
      <c r="F712" s="41" t="n"/>
      <c r="G712" s="41" t="n"/>
      <c r="H712" s="41" t="n"/>
      <c r="I712" s="41" t="n"/>
      <c r="J712" s="41" t="n"/>
      <c r="K712" s="41" t="n"/>
    </row>
    <row r="713" ht="15.75" customHeight="1" s="60">
      <c r="A713" s="41" t="n"/>
      <c r="B713" s="41" t="n"/>
      <c r="C713" s="41" t="n"/>
      <c r="D713" s="41" t="n"/>
      <c r="E713" s="41" t="n"/>
      <c r="F713" s="41" t="n"/>
      <c r="G713" s="41" t="n"/>
      <c r="H713" s="41" t="n"/>
      <c r="I713" s="41" t="n"/>
      <c r="J713" s="41" t="n"/>
      <c r="K713" s="41" t="n"/>
    </row>
    <row r="714" ht="15.75" customHeight="1" s="60">
      <c r="A714" s="41" t="n"/>
      <c r="B714" s="41" t="n"/>
      <c r="C714" s="41" t="n"/>
      <c r="D714" s="41" t="n"/>
      <c r="E714" s="41" t="n"/>
      <c r="F714" s="41" t="n"/>
      <c r="G714" s="41" t="n"/>
      <c r="H714" s="41" t="n"/>
      <c r="I714" s="41" t="n"/>
      <c r="J714" s="41" t="n"/>
      <c r="K714" s="41" t="n"/>
    </row>
    <row r="715" ht="15.75" customHeight="1" s="60">
      <c r="A715" s="41" t="n"/>
      <c r="B715" s="41" t="n"/>
      <c r="C715" s="41" t="n"/>
      <c r="D715" s="41" t="n"/>
      <c r="E715" s="41" t="n"/>
      <c r="F715" s="41" t="n"/>
      <c r="G715" s="41" t="n"/>
      <c r="H715" s="41" t="n"/>
      <c r="I715" s="41" t="n"/>
      <c r="J715" s="41" t="n"/>
      <c r="K715" s="41" t="n"/>
    </row>
    <row r="716" ht="15.75" customHeight="1" s="60">
      <c r="A716" s="41" t="n"/>
      <c r="B716" s="41" t="n"/>
      <c r="C716" s="41" t="n"/>
      <c r="D716" s="41" t="n"/>
      <c r="E716" s="41" t="n"/>
      <c r="F716" s="41" t="n"/>
      <c r="G716" s="41" t="n"/>
      <c r="H716" s="41" t="n"/>
      <c r="I716" s="41" t="n"/>
      <c r="J716" s="41" t="n"/>
      <c r="K716" s="41" t="n"/>
    </row>
    <row r="717" ht="15.75" customHeight="1" s="60">
      <c r="A717" s="41" t="n"/>
      <c r="B717" s="41" t="n"/>
      <c r="C717" s="41" t="n"/>
      <c r="D717" s="41" t="n"/>
      <c r="E717" s="41" t="n"/>
      <c r="F717" s="41" t="n"/>
      <c r="G717" s="41" t="n"/>
      <c r="H717" s="41" t="n"/>
      <c r="I717" s="41" t="n"/>
      <c r="J717" s="41" t="n"/>
      <c r="K717" s="41" t="n"/>
    </row>
    <row r="718" ht="15.75" customHeight="1" s="60">
      <c r="A718" s="41" t="n"/>
      <c r="B718" s="41" t="n"/>
      <c r="C718" s="41" t="n"/>
      <c r="D718" s="41" t="n"/>
      <c r="E718" s="41" t="n"/>
      <c r="F718" s="41" t="n"/>
      <c r="G718" s="41" t="n"/>
      <c r="H718" s="41" t="n"/>
      <c r="I718" s="41" t="n"/>
      <c r="J718" s="41" t="n"/>
      <c r="K718" s="41" t="n"/>
    </row>
    <row r="719" ht="15.75" customHeight="1" s="60">
      <c r="A719" s="41" t="n"/>
      <c r="B719" s="41" t="n"/>
      <c r="C719" s="41" t="n"/>
      <c r="D719" s="41" t="n"/>
      <c r="E719" s="41" t="n"/>
      <c r="F719" s="41" t="n"/>
      <c r="G719" s="41" t="n"/>
      <c r="H719" s="41" t="n"/>
      <c r="I719" s="41" t="n"/>
      <c r="J719" s="41" t="n"/>
      <c r="K719" s="41" t="n"/>
    </row>
    <row r="720" ht="15.75" customHeight="1" s="60">
      <c r="A720" s="41" t="n"/>
      <c r="B720" s="41" t="n"/>
      <c r="C720" s="41" t="n"/>
      <c r="D720" s="41" t="n"/>
      <c r="E720" s="41" t="n"/>
      <c r="F720" s="41" t="n"/>
      <c r="G720" s="41" t="n"/>
      <c r="H720" s="41" t="n"/>
      <c r="I720" s="41" t="n"/>
      <c r="J720" s="41" t="n"/>
      <c r="K720" s="41" t="n"/>
    </row>
    <row r="721" ht="15.75" customHeight="1" s="60">
      <c r="A721" s="41" t="n"/>
      <c r="B721" s="41" t="n"/>
      <c r="C721" s="41" t="n"/>
      <c r="D721" s="41" t="n"/>
      <c r="E721" s="41" t="n"/>
      <c r="F721" s="41" t="n"/>
      <c r="G721" s="41" t="n"/>
      <c r="H721" s="41" t="n"/>
      <c r="I721" s="41" t="n"/>
      <c r="J721" s="41" t="n"/>
      <c r="K721" s="41" t="n"/>
    </row>
    <row r="722" ht="15.75" customHeight="1" s="60">
      <c r="A722" s="41" t="n"/>
      <c r="B722" s="41" t="n"/>
      <c r="C722" s="41" t="n"/>
      <c r="D722" s="41" t="n"/>
      <c r="E722" s="41" t="n"/>
      <c r="F722" s="41" t="n"/>
      <c r="G722" s="41" t="n"/>
      <c r="H722" s="41" t="n"/>
      <c r="I722" s="41" t="n"/>
      <c r="J722" s="41" t="n"/>
      <c r="K722" s="41" t="n"/>
    </row>
    <row r="723" ht="15.75" customHeight="1" s="60">
      <c r="A723" s="41" t="n"/>
      <c r="B723" s="41" t="n"/>
      <c r="C723" s="41" t="n"/>
      <c r="D723" s="41" t="n"/>
      <c r="E723" s="41" t="n"/>
      <c r="F723" s="41" t="n"/>
      <c r="G723" s="41" t="n"/>
      <c r="H723" s="41" t="n"/>
      <c r="I723" s="41" t="n"/>
      <c r="J723" s="41" t="n"/>
      <c r="K723" s="41" t="n"/>
    </row>
    <row r="724" ht="15.75" customHeight="1" s="60">
      <c r="A724" s="41" t="n"/>
      <c r="B724" s="41" t="n"/>
      <c r="C724" s="41" t="n"/>
      <c r="D724" s="41" t="n"/>
      <c r="E724" s="41" t="n"/>
      <c r="F724" s="41" t="n"/>
      <c r="G724" s="41" t="n"/>
      <c r="H724" s="41" t="n"/>
      <c r="I724" s="41" t="n"/>
      <c r="J724" s="41" t="n"/>
      <c r="K724" s="41" t="n"/>
    </row>
    <row r="725" ht="15.75" customHeight="1" s="60">
      <c r="A725" s="41" t="n"/>
      <c r="B725" s="41" t="n"/>
      <c r="C725" s="41" t="n"/>
      <c r="D725" s="41" t="n"/>
      <c r="E725" s="41" t="n"/>
      <c r="F725" s="41" t="n"/>
      <c r="G725" s="41" t="n"/>
      <c r="H725" s="41" t="n"/>
      <c r="I725" s="41" t="n"/>
      <c r="J725" s="41" t="n"/>
      <c r="K725" s="41" t="n"/>
    </row>
    <row r="726" ht="15.75" customHeight="1" s="60">
      <c r="A726" s="41" t="n"/>
      <c r="B726" s="41" t="n"/>
      <c r="C726" s="41" t="n"/>
      <c r="D726" s="41" t="n"/>
      <c r="E726" s="41" t="n"/>
      <c r="F726" s="41" t="n"/>
      <c r="G726" s="41" t="n"/>
      <c r="H726" s="41" t="n"/>
      <c r="I726" s="41" t="n"/>
      <c r="J726" s="41" t="n"/>
      <c r="K726" s="41" t="n"/>
    </row>
    <row r="727" ht="15.75" customHeight="1" s="60">
      <c r="A727" s="41" t="n"/>
      <c r="B727" s="41" t="n"/>
      <c r="C727" s="41" t="n"/>
      <c r="D727" s="41" t="n"/>
      <c r="E727" s="41" t="n"/>
      <c r="F727" s="41" t="n"/>
      <c r="G727" s="41" t="n"/>
      <c r="H727" s="41" t="n"/>
      <c r="I727" s="41" t="n"/>
      <c r="J727" s="41" t="n"/>
      <c r="K727" s="41" t="n"/>
    </row>
    <row r="728" ht="15.75" customHeight="1" s="60">
      <c r="A728" s="41" t="n"/>
      <c r="B728" s="41" t="n"/>
      <c r="C728" s="41" t="n"/>
      <c r="D728" s="41" t="n"/>
      <c r="E728" s="41" t="n"/>
      <c r="F728" s="41" t="n"/>
      <c r="G728" s="41" t="n"/>
      <c r="H728" s="41" t="n"/>
      <c r="I728" s="41" t="n"/>
      <c r="J728" s="41" t="n"/>
      <c r="K728" s="41" t="n"/>
    </row>
    <row r="729" ht="15.75" customHeight="1" s="60">
      <c r="A729" s="41" t="n"/>
      <c r="B729" s="41" t="n"/>
      <c r="C729" s="41" t="n"/>
      <c r="D729" s="41" t="n"/>
      <c r="E729" s="41" t="n"/>
      <c r="F729" s="41" t="n"/>
      <c r="G729" s="41" t="n"/>
      <c r="H729" s="41" t="n"/>
      <c r="I729" s="41" t="n"/>
      <c r="J729" s="41" t="n"/>
      <c r="K729" s="41" t="n"/>
    </row>
    <row r="730" ht="15.75" customHeight="1" s="60">
      <c r="A730" s="41" t="n"/>
      <c r="B730" s="41" t="n"/>
      <c r="C730" s="41" t="n"/>
      <c r="D730" s="41" t="n"/>
      <c r="E730" s="41" t="n"/>
      <c r="F730" s="41" t="n"/>
      <c r="G730" s="41" t="n"/>
      <c r="H730" s="41" t="n"/>
      <c r="I730" s="41" t="n"/>
      <c r="J730" s="41" t="n"/>
      <c r="K730" s="41" t="n"/>
    </row>
    <row r="731" ht="15.75" customHeight="1" s="60">
      <c r="A731" s="41" t="n"/>
      <c r="B731" s="41" t="n"/>
      <c r="C731" s="41" t="n"/>
      <c r="D731" s="41" t="n"/>
      <c r="E731" s="41" t="n"/>
      <c r="F731" s="41" t="n"/>
      <c r="G731" s="41" t="n"/>
      <c r="H731" s="41" t="n"/>
      <c r="I731" s="41" t="n"/>
      <c r="J731" s="41" t="n"/>
      <c r="K731" s="41" t="n"/>
    </row>
    <row r="732" ht="15.75" customHeight="1" s="60">
      <c r="A732" s="41" t="n"/>
      <c r="B732" s="41" t="n"/>
      <c r="C732" s="41" t="n"/>
      <c r="D732" s="41" t="n"/>
      <c r="E732" s="41" t="n"/>
      <c r="F732" s="41" t="n"/>
      <c r="G732" s="41" t="n"/>
      <c r="H732" s="41" t="n"/>
      <c r="I732" s="41" t="n"/>
      <c r="J732" s="41" t="n"/>
      <c r="K732" s="41" t="n"/>
    </row>
    <row r="733" ht="15.75" customHeight="1" s="60">
      <c r="A733" s="41" t="n"/>
      <c r="B733" s="41" t="n"/>
      <c r="C733" s="41" t="n"/>
      <c r="D733" s="41" t="n"/>
      <c r="E733" s="41" t="n"/>
      <c r="F733" s="41" t="n"/>
      <c r="G733" s="41" t="n"/>
      <c r="H733" s="41" t="n"/>
      <c r="I733" s="41" t="n"/>
      <c r="J733" s="41" t="n"/>
      <c r="K733" s="41" t="n"/>
    </row>
    <row r="734" ht="15.75" customHeight="1" s="60">
      <c r="A734" s="41" t="n"/>
      <c r="B734" s="41" t="n"/>
      <c r="C734" s="41" t="n"/>
      <c r="D734" s="41" t="n"/>
      <c r="E734" s="41" t="n"/>
      <c r="F734" s="41" t="n"/>
      <c r="G734" s="41" t="n"/>
      <c r="H734" s="41" t="n"/>
      <c r="I734" s="41" t="n"/>
      <c r="J734" s="41" t="n"/>
      <c r="K734" s="41" t="n"/>
    </row>
    <row r="735" ht="15.75" customHeight="1" s="60">
      <c r="A735" s="41" t="n"/>
      <c r="B735" s="41" t="n"/>
      <c r="C735" s="41" t="n"/>
      <c r="D735" s="41" t="n"/>
      <c r="E735" s="41" t="n"/>
      <c r="F735" s="41" t="n"/>
      <c r="G735" s="41" t="n"/>
      <c r="H735" s="41" t="n"/>
      <c r="I735" s="41" t="n"/>
      <c r="J735" s="41" t="n"/>
      <c r="K735" s="41" t="n"/>
    </row>
    <row r="736" ht="15.75" customHeight="1" s="60">
      <c r="A736" s="41" t="n"/>
      <c r="B736" s="41" t="n"/>
      <c r="C736" s="41" t="n"/>
      <c r="D736" s="41" t="n"/>
      <c r="E736" s="41" t="n"/>
      <c r="F736" s="41" t="n"/>
      <c r="G736" s="41" t="n"/>
      <c r="H736" s="41" t="n"/>
      <c r="I736" s="41" t="n"/>
      <c r="J736" s="41" t="n"/>
      <c r="K736" s="41" t="n"/>
    </row>
    <row r="737" ht="15.75" customHeight="1" s="60">
      <c r="A737" s="41" t="n"/>
      <c r="B737" s="41" t="n"/>
      <c r="C737" s="41" t="n"/>
      <c r="D737" s="41" t="n"/>
      <c r="E737" s="41" t="n"/>
      <c r="F737" s="41" t="n"/>
      <c r="G737" s="41" t="n"/>
      <c r="H737" s="41" t="n"/>
      <c r="I737" s="41" t="n"/>
      <c r="J737" s="41" t="n"/>
      <c r="K737" s="41" t="n"/>
    </row>
    <row r="738" ht="15.75" customHeight="1" s="60">
      <c r="A738" s="41" t="n"/>
      <c r="B738" s="41" t="n"/>
      <c r="C738" s="41" t="n"/>
      <c r="D738" s="41" t="n"/>
      <c r="E738" s="41" t="n"/>
      <c r="F738" s="41" t="n"/>
      <c r="G738" s="41" t="n"/>
      <c r="H738" s="41" t="n"/>
      <c r="I738" s="41" t="n"/>
      <c r="J738" s="41" t="n"/>
      <c r="K738" s="41" t="n"/>
    </row>
    <row r="739" ht="15.75" customHeight="1" s="60">
      <c r="A739" s="41" t="n"/>
      <c r="B739" s="41" t="n"/>
      <c r="C739" s="41" t="n"/>
      <c r="D739" s="41" t="n"/>
      <c r="E739" s="41" t="n"/>
      <c r="F739" s="41" t="n"/>
      <c r="G739" s="41" t="n"/>
      <c r="H739" s="41" t="n"/>
      <c r="I739" s="41" t="n"/>
      <c r="J739" s="41" t="n"/>
      <c r="K739" s="41" t="n"/>
    </row>
    <row r="740" ht="15.75" customHeight="1" s="60">
      <c r="A740" s="41" t="n"/>
      <c r="B740" s="41" t="n"/>
      <c r="C740" s="41" t="n"/>
      <c r="D740" s="41" t="n"/>
      <c r="E740" s="41" t="n"/>
      <c r="F740" s="41" t="n"/>
      <c r="G740" s="41" t="n"/>
      <c r="H740" s="41" t="n"/>
      <c r="I740" s="41" t="n"/>
      <c r="J740" s="41" t="n"/>
      <c r="K740" s="41" t="n"/>
    </row>
    <row r="741" ht="15.75" customHeight="1" s="60">
      <c r="A741" s="41" t="n"/>
      <c r="B741" s="41" t="n"/>
      <c r="C741" s="41" t="n"/>
      <c r="D741" s="41" t="n"/>
      <c r="E741" s="41" t="n"/>
      <c r="F741" s="41" t="n"/>
      <c r="G741" s="41" t="n"/>
      <c r="H741" s="41" t="n"/>
      <c r="I741" s="41" t="n"/>
      <c r="J741" s="41" t="n"/>
      <c r="K741" s="41" t="n"/>
    </row>
    <row r="742" ht="15.75" customHeight="1" s="60">
      <c r="A742" s="41" t="n"/>
      <c r="B742" s="41" t="n"/>
      <c r="C742" s="41" t="n"/>
      <c r="D742" s="41" t="n"/>
      <c r="E742" s="41" t="n"/>
      <c r="F742" s="41" t="n"/>
      <c r="G742" s="41" t="n"/>
      <c r="H742" s="41" t="n"/>
      <c r="I742" s="41" t="n"/>
      <c r="J742" s="41" t="n"/>
      <c r="K742" s="41" t="n"/>
    </row>
    <row r="743" ht="15.75" customHeight="1" s="60">
      <c r="A743" s="41" t="n"/>
      <c r="B743" s="41" t="n"/>
      <c r="C743" s="41" t="n"/>
      <c r="D743" s="41" t="n"/>
      <c r="E743" s="41" t="n"/>
      <c r="F743" s="41" t="n"/>
      <c r="G743" s="41" t="n"/>
      <c r="H743" s="41" t="n"/>
      <c r="I743" s="41" t="n"/>
      <c r="J743" s="41" t="n"/>
      <c r="K743" s="41" t="n"/>
    </row>
    <row r="744" ht="15.75" customHeight="1" s="60">
      <c r="A744" s="41" t="n"/>
      <c r="B744" s="41" t="n"/>
      <c r="C744" s="41" t="n"/>
      <c r="D744" s="41" t="n"/>
      <c r="E744" s="41" t="n"/>
      <c r="F744" s="41" t="n"/>
      <c r="G744" s="41" t="n"/>
      <c r="H744" s="41" t="n"/>
      <c r="I744" s="41" t="n"/>
      <c r="J744" s="41" t="n"/>
      <c r="K744" s="41" t="n"/>
    </row>
    <row r="745" ht="15.75" customHeight="1" s="60">
      <c r="A745" s="41" t="n"/>
      <c r="B745" s="41" t="n"/>
      <c r="C745" s="41" t="n"/>
      <c r="D745" s="41" t="n"/>
      <c r="E745" s="41" t="n"/>
      <c r="F745" s="41" t="n"/>
      <c r="G745" s="41" t="n"/>
      <c r="H745" s="41" t="n"/>
      <c r="I745" s="41" t="n"/>
      <c r="J745" s="41" t="n"/>
      <c r="K745" s="41" t="n"/>
    </row>
    <row r="746" ht="15.75" customHeight="1" s="60">
      <c r="A746" s="41" t="n"/>
      <c r="B746" s="41" t="n"/>
      <c r="C746" s="41" t="n"/>
      <c r="D746" s="41" t="n"/>
      <c r="E746" s="41" t="n"/>
      <c r="F746" s="41" t="n"/>
      <c r="G746" s="41" t="n"/>
      <c r="H746" s="41" t="n"/>
      <c r="I746" s="41" t="n"/>
      <c r="J746" s="41" t="n"/>
      <c r="K746" s="41" t="n"/>
    </row>
    <row r="747" ht="15.75" customHeight="1" s="60">
      <c r="A747" s="41" t="n"/>
      <c r="B747" s="41" t="n"/>
      <c r="C747" s="41" t="n"/>
      <c r="D747" s="41" t="n"/>
      <c r="E747" s="41" t="n"/>
      <c r="F747" s="41" t="n"/>
      <c r="G747" s="41" t="n"/>
      <c r="H747" s="41" t="n"/>
      <c r="I747" s="41" t="n"/>
      <c r="J747" s="41" t="n"/>
      <c r="K747" s="41" t="n"/>
    </row>
    <row r="748" ht="15.75" customHeight="1" s="60">
      <c r="A748" s="41" t="n"/>
      <c r="B748" s="41" t="n"/>
      <c r="C748" s="41" t="n"/>
      <c r="D748" s="41" t="n"/>
      <c r="E748" s="41" t="n"/>
      <c r="F748" s="41" t="n"/>
      <c r="G748" s="41" t="n"/>
      <c r="H748" s="41" t="n"/>
      <c r="I748" s="41" t="n"/>
      <c r="J748" s="41" t="n"/>
      <c r="K748" s="41" t="n"/>
    </row>
    <row r="749" ht="15.75" customHeight="1" s="60">
      <c r="A749" s="41" t="n"/>
      <c r="B749" s="41" t="n"/>
      <c r="C749" s="41" t="n"/>
      <c r="D749" s="41" t="n"/>
      <c r="E749" s="41" t="n"/>
      <c r="F749" s="41" t="n"/>
      <c r="G749" s="41" t="n"/>
      <c r="H749" s="41" t="n"/>
      <c r="I749" s="41" t="n"/>
      <c r="J749" s="41" t="n"/>
      <c r="K749" s="41" t="n"/>
    </row>
    <row r="750" ht="15.75" customHeight="1" s="60">
      <c r="A750" s="41" t="n"/>
      <c r="B750" s="41" t="n"/>
      <c r="C750" s="41" t="n"/>
      <c r="D750" s="41" t="n"/>
      <c r="E750" s="41" t="n"/>
      <c r="F750" s="41" t="n"/>
      <c r="G750" s="41" t="n"/>
      <c r="H750" s="41" t="n"/>
      <c r="I750" s="41" t="n"/>
      <c r="J750" s="41" t="n"/>
      <c r="K750" s="41" t="n"/>
    </row>
    <row r="751" ht="15.75" customHeight="1" s="60">
      <c r="A751" s="41" t="n"/>
      <c r="B751" s="41" t="n"/>
      <c r="C751" s="41" t="n"/>
      <c r="D751" s="41" t="n"/>
      <c r="E751" s="41" t="n"/>
      <c r="F751" s="41" t="n"/>
      <c r="G751" s="41" t="n"/>
      <c r="H751" s="41" t="n"/>
      <c r="I751" s="41" t="n"/>
      <c r="J751" s="41" t="n"/>
      <c r="K751" s="41" t="n"/>
    </row>
    <row r="752" ht="15.75" customHeight="1" s="60">
      <c r="A752" s="41" t="n"/>
      <c r="B752" s="41" t="n"/>
      <c r="C752" s="41" t="n"/>
      <c r="D752" s="41" t="n"/>
      <c r="E752" s="41" t="n"/>
      <c r="F752" s="41" t="n"/>
      <c r="G752" s="41" t="n"/>
      <c r="H752" s="41" t="n"/>
      <c r="I752" s="41" t="n"/>
      <c r="J752" s="41" t="n"/>
      <c r="K752" s="41" t="n"/>
    </row>
    <row r="753" ht="15.75" customHeight="1" s="60">
      <c r="A753" s="41" t="n"/>
      <c r="B753" s="41" t="n"/>
      <c r="C753" s="41" t="n"/>
      <c r="D753" s="41" t="n"/>
      <c r="E753" s="41" t="n"/>
      <c r="F753" s="41" t="n"/>
      <c r="G753" s="41" t="n"/>
      <c r="H753" s="41" t="n"/>
      <c r="I753" s="41" t="n"/>
      <c r="J753" s="41" t="n"/>
      <c r="K753" s="41" t="n"/>
    </row>
    <row r="754" ht="15.75" customHeight="1" s="60">
      <c r="A754" s="41" t="n"/>
      <c r="B754" s="41" t="n"/>
      <c r="C754" s="41" t="n"/>
      <c r="D754" s="41" t="n"/>
      <c r="E754" s="41" t="n"/>
      <c r="F754" s="41" t="n"/>
      <c r="G754" s="41" t="n"/>
      <c r="H754" s="41" t="n"/>
      <c r="I754" s="41" t="n"/>
      <c r="J754" s="41" t="n"/>
      <c r="K754" s="41" t="n"/>
    </row>
    <row r="755" ht="15.75" customHeight="1" s="60">
      <c r="A755" s="41" t="n"/>
      <c r="B755" s="41" t="n"/>
      <c r="C755" s="41" t="n"/>
      <c r="D755" s="41" t="n"/>
      <c r="E755" s="41" t="n"/>
      <c r="F755" s="41" t="n"/>
      <c r="G755" s="41" t="n"/>
      <c r="H755" s="41" t="n"/>
      <c r="I755" s="41" t="n"/>
      <c r="J755" s="41" t="n"/>
      <c r="K755" s="41" t="n"/>
    </row>
    <row r="756" ht="15.75" customHeight="1" s="60">
      <c r="A756" s="41" t="n"/>
      <c r="B756" s="41" t="n"/>
      <c r="C756" s="41" t="n"/>
      <c r="D756" s="41" t="n"/>
      <c r="E756" s="41" t="n"/>
      <c r="F756" s="41" t="n"/>
      <c r="G756" s="41" t="n"/>
      <c r="H756" s="41" t="n"/>
      <c r="I756" s="41" t="n"/>
      <c r="J756" s="41" t="n"/>
      <c r="K756" s="41" t="n"/>
    </row>
    <row r="757" ht="15.75" customHeight="1" s="60">
      <c r="A757" s="41" t="n"/>
      <c r="B757" s="41" t="n"/>
      <c r="C757" s="41" t="n"/>
      <c r="D757" s="41" t="n"/>
      <c r="E757" s="41" t="n"/>
      <c r="F757" s="41" t="n"/>
      <c r="G757" s="41" t="n"/>
      <c r="H757" s="41" t="n"/>
      <c r="I757" s="41" t="n"/>
      <c r="J757" s="41" t="n"/>
      <c r="K757" s="41" t="n"/>
    </row>
    <row r="758" ht="15.75" customHeight="1" s="60">
      <c r="A758" s="41" t="n"/>
      <c r="B758" s="41" t="n"/>
      <c r="C758" s="41" t="n"/>
      <c r="D758" s="41" t="n"/>
      <c r="E758" s="41" t="n"/>
      <c r="F758" s="41" t="n"/>
      <c r="G758" s="41" t="n"/>
      <c r="H758" s="41" t="n"/>
      <c r="I758" s="41" t="n"/>
      <c r="J758" s="41" t="n"/>
      <c r="K758" s="41" t="n"/>
    </row>
    <row r="759" ht="15.75" customHeight="1" s="60">
      <c r="A759" s="41" t="n"/>
      <c r="B759" s="41" t="n"/>
      <c r="C759" s="41" t="n"/>
      <c r="D759" s="41" t="n"/>
      <c r="E759" s="41" t="n"/>
      <c r="F759" s="41" t="n"/>
      <c r="G759" s="41" t="n"/>
      <c r="H759" s="41" t="n"/>
      <c r="I759" s="41" t="n"/>
      <c r="J759" s="41" t="n"/>
      <c r="K759" s="41" t="n"/>
    </row>
    <row r="760" ht="15.75" customHeight="1" s="60">
      <c r="A760" s="41" t="n"/>
      <c r="B760" s="41" t="n"/>
      <c r="C760" s="41" t="n"/>
      <c r="D760" s="41" t="n"/>
      <c r="E760" s="41" t="n"/>
      <c r="F760" s="41" t="n"/>
      <c r="G760" s="41" t="n"/>
      <c r="H760" s="41" t="n"/>
      <c r="I760" s="41" t="n"/>
      <c r="J760" s="41" t="n"/>
      <c r="K760" s="41" t="n"/>
    </row>
    <row r="761" ht="15.75" customHeight="1" s="60">
      <c r="A761" s="41" t="n"/>
      <c r="B761" s="41" t="n"/>
      <c r="C761" s="41" t="n"/>
      <c r="D761" s="41" t="n"/>
      <c r="E761" s="41" t="n"/>
      <c r="F761" s="41" t="n"/>
      <c r="G761" s="41" t="n"/>
      <c r="H761" s="41" t="n"/>
      <c r="I761" s="41" t="n"/>
      <c r="J761" s="41" t="n"/>
      <c r="K761" s="41" t="n"/>
    </row>
    <row r="762" ht="15.75" customHeight="1" s="60">
      <c r="A762" s="41" t="n"/>
      <c r="B762" s="41" t="n"/>
      <c r="C762" s="41" t="n"/>
      <c r="D762" s="41" t="n"/>
      <c r="E762" s="41" t="n"/>
      <c r="F762" s="41" t="n"/>
      <c r="G762" s="41" t="n"/>
      <c r="H762" s="41" t="n"/>
      <c r="I762" s="41" t="n"/>
      <c r="J762" s="41" t="n"/>
      <c r="K762" s="41" t="n"/>
    </row>
    <row r="763" ht="15.75" customHeight="1" s="60">
      <c r="A763" s="41" t="n"/>
      <c r="B763" s="41" t="n"/>
      <c r="C763" s="41" t="n"/>
      <c r="D763" s="41" t="n"/>
      <c r="E763" s="41" t="n"/>
      <c r="F763" s="41" t="n"/>
      <c r="G763" s="41" t="n"/>
      <c r="H763" s="41" t="n"/>
      <c r="I763" s="41" t="n"/>
      <c r="J763" s="41" t="n"/>
      <c r="K763" s="41" t="n"/>
    </row>
    <row r="764" ht="15.75" customHeight="1" s="60">
      <c r="A764" s="41" t="n"/>
      <c r="B764" s="41" t="n"/>
      <c r="C764" s="41" t="n"/>
      <c r="D764" s="41" t="n"/>
      <c r="E764" s="41" t="n"/>
      <c r="F764" s="41" t="n"/>
      <c r="G764" s="41" t="n"/>
      <c r="H764" s="41" t="n"/>
      <c r="I764" s="41" t="n"/>
      <c r="J764" s="41" t="n"/>
      <c r="K764" s="41" t="n"/>
    </row>
    <row r="765" ht="15.75" customHeight="1" s="60">
      <c r="A765" s="41" t="n"/>
      <c r="B765" s="41" t="n"/>
      <c r="C765" s="41" t="n"/>
      <c r="D765" s="41" t="n"/>
      <c r="E765" s="41" t="n"/>
      <c r="F765" s="41" t="n"/>
      <c r="G765" s="41" t="n"/>
      <c r="H765" s="41" t="n"/>
      <c r="I765" s="41" t="n"/>
      <c r="J765" s="41" t="n"/>
      <c r="K765" s="41" t="n"/>
    </row>
    <row r="766" ht="15.75" customHeight="1" s="60">
      <c r="A766" s="41" t="n"/>
      <c r="B766" s="41" t="n"/>
      <c r="C766" s="41" t="n"/>
      <c r="D766" s="41" t="n"/>
      <c r="E766" s="41" t="n"/>
      <c r="F766" s="41" t="n"/>
      <c r="G766" s="41" t="n"/>
      <c r="H766" s="41" t="n"/>
      <c r="I766" s="41" t="n"/>
      <c r="J766" s="41" t="n"/>
      <c r="K766" s="41" t="n"/>
    </row>
    <row r="767" ht="15.75" customHeight="1" s="60">
      <c r="A767" s="41" t="n"/>
      <c r="B767" s="41" t="n"/>
      <c r="C767" s="41" t="n"/>
      <c r="D767" s="41" t="n"/>
      <c r="E767" s="41" t="n"/>
      <c r="F767" s="41" t="n"/>
      <c r="G767" s="41" t="n"/>
      <c r="H767" s="41" t="n"/>
      <c r="I767" s="41" t="n"/>
      <c r="J767" s="41" t="n"/>
      <c r="K767" s="41" t="n"/>
    </row>
    <row r="768" ht="15.75" customHeight="1" s="60">
      <c r="A768" s="41" t="n"/>
      <c r="B768" s="41" t="n"/>
      <c r="C768" s="41" t="n"/>
      <c r="D768" s="41" t="n"/>
      <c r="E768" s="41" t="n"/>
      <c r="F768" s="41" t="n"/>
      <c r="G768" s="41" t="n"/>
      <c r="H768" s="41" t="n"/>
      <c r="I768" s="41" t="n"/>
      <c r="J768" s="41" t="n"/>
      <c r="K768" s="41" t="n"/>
    </row>
    <row r="769" ht="15.75" customHeight="1" s="60">
      <c r="A769" s="41" t="n"/>
      <c r="B769" s="41" t="n"/>
      <c r="C769" s="41" t="n"/>
      <c r="D769" s="41" t="n"/>
      <c r="E769" s="41" t="n"/>
      <c r="F769" s="41" t="n"/>
      <c r="G769" s="41" t="n"/>
      <c r="H769" s="41" t="n"/>
      <c r="I769" s="41" t="n"/>
      <c r="J769" s="41" t="n"/>
      <c r="K769" s="41" t="n"/>
    </row>
    <row r="770" ht="15.75" customHeight="1" s="60">
      <c r="A770" s="41" t="n"/>
      <c r="B770" s="41" t="n"/>
      <c r="C770" s="41" t="n"/>
      <c r="D770" s="41" t="n"/>
      <c r="E770" s="41" t="n"/>
      <c r="F770" s="41" t="n"/>
      <c r="G770" s="41" t="n"/>
      <c r="H770" s="41" t="n"/>
      <c r="I770" s="41" t="n"/>
      <c r="J770" s="41" t="n"/>
      <c r="K770" s="41" t="n"/>
    </row>
    <row r="771" ht="15.75" customHeight="1" s="60">
      <c r="A771" s="41" t="n"/>
      <c r="B771" s="41" t="n"/>
      <c r="C771" s="41" t="n"/>
      <c r="D771" s="41" t="n"/>
      <c r="E771" s="41" t="n"/>
      <c r="F771" s="41" t="n"/>
      <c r="G771" s="41" t="n"/>
      <c r="H771" s="41" t="n"/>
      <c r="I771" s="41" t="n"/>
      <c r="J771" s="41" t="n"/>
      <c r="K771" s="41" t="n"/>
    </row>
    <row r="772" ht="15.75" customHeight="1" s="60">
      <c r="A772" s="41" t="n"/>
      <c r="B772" s="41" t="n"/>
      <c r="C772" s="41" t="n"/>
      <c r="D772" s="41" t="n"/>
      <c r="E772" s="41" t="n"/>
      <c r="F772" s="41" t="n"/>
      <c r="G772" s="41" t="n"/>
      <c r="H772" s="41" t="n"/>
      <c r="I772" s="41" t="n"/>
      <c r="J772" s="41" t="n"/>
      <c r="K772" s="41" t="n"/>
    </row>
    <row r="773" ht="15.75" customHeight="1" s="60">
      <c r="A773" s="41" t="n"/>
      <c r="B773" s="41" t="n"/>
      <c r="C773" s="41" t="n"/>
      <c r="D773" s="41" t="n"/>
      <c r="E773" s="41" t="n"/>
      <c r="F773" s="41" t="n"/>
      <c r="G773" s="41" t="n"/>
      <c r="H773" s="41" t="n"/>
      <c r="I773" s="41" t="n"/>
      <c r="J773" s="41" t="n"/>
      <c r="K773" s="41" t="n"/>
    </row>
    <row r="774" ht="15.75" customHeight="1" s="60">
      <c r="A774" s="41" t="n"/>
      <c r="B774" s="41" t="n"/>
      <c r="C774" s="41" t="n"/>
      <c r="D774" s="41" t="n"/>
      <c r="E774" s="41" t="n"/>
      <c r="F774" s="41" t="n"/>
      <c r="G774" s="41" t="n"/>
      <c r="H774" s="41" t="n"/>
      <c r="I774" s="41" t="n"/>
      <c r="J774" s="41" t="n"/>
      <c r="K774" s="41" t="n"/>
    </row>
    <row r="775" ht="15.75" customHeight="1" s="60">
      <c r="A775" s="41" t="n"/>
      <c r="B775" s="41" t="n"/>
      <c r="C775" s="41" t="n"/>
      <c r="D775" s="41" t="n"/>
      <c r="E775" s="41" t="n"/>
      <c r="F775" s="41" t="n"/>
      <c r="G775" s="41" t="n"/>
      <c r="H775" s="41" t="n"/>
      <c r="I775" s="41" t="n"/>
      <c r="J775" s="41" t="n"/>
      <c r="K775" s="41" t="n"/>
    </row>
    <row r="776" ht="15.75" customHeight="1" s="60">
      <c r="A776" s="41" t="n"/>
      <c r="B776" s="41" t="n"/>
      <c r="C776" s="41" t="n"/>
      <c r="D776" s="41" t="n"/>
      <c r="E776" s="41" t="n"/>
      <c r="F776" s="41" t="n"/>
      <c r="G776" s="41" t="n"/>
      <c r="H776" s="41" t="n"/>
      <c r="I776" s="41" t="n"/>
      <c r="J776" s="41" t="n"/>
      <c r="K776" s="41" t="n"/>
    </row>
    <row r="777" ht="15.75" customHeight="1" s="60">
      <c r="A777" s="41" t="n"/>
      <c r="B777" s="41" t="n"/>
      <c r="C777" s="41" t="n"/>
      <c r="D777" s="41" t="n"/>
      <c r="E777" s="41" t="n"/>
      <c r="F777" s="41" t="n"/>
      <c r="G777" s="41" t="n"/>
      <c r="H777" s="41" t="n"/>
      <c r="I777" s="41" t="n"/>
      <c r="J777" s="41" t="n"/>
      <c r="K777" s="41" t="n"/>
    </row>
    <row r="778" ht="15.75" customHeight="1" s="60">
      <c r="A778" s="41" t="n"/>
      <c r="B778" s="41" t="n"/>
      <c r="C778" s="41" t="n"/>
      <c r="D778" s="41" t="n"/>
      <c r="E778" s="41" t="n"/>
      <c r="F778" s="41" t="n"/>
      <c r="G778" s="41" t="n"/>
      <c r="H778" s="41" t="n"/>
      <c r="I778" s="41" t="n"/>
      <c r="J778" s="41" t="n"/>
      <c r="K778" s="41" t="n"/>
    </row>
    <row r="779" ht="15.75" customHeight="1" s="60">
      <c r="A779" s="41" t="n"/>
      <c r="B779" s="41" t="n"/>
      <c r="C779" s="41" t="n"/>
      <c r="D779" s="41" t="n"/>
      <c r="E779" s="41" t="n"/>
      <c r="F779" s="41" t="n"/>
      <c r="G779" s="41" t="n"/>
      <c r="H779" s="41" t="n"/>
      <c r="I779" s="41" t="n"/>
      <c r="J779" s="41" t="n"/>
      <c r="K779" s="41" t="n"/>
    </row>
    <row r="780" ht="15.75" customHeight="1" s="60">
      <c r="A780" s="41" t="n"/>
      <c r="B780" s="41" t="n"/>
      <c r="C780" s="41" t="n"/>
      <c r="D780" s="41" t="n"/>
      <c r="E780" s="41" t="n"/>
      <c r="F780" s="41" t="n"/>
      <c r="G780" s="41" t="n"/>
      <c r="H780" s="41" t="n"/>
      <c r="I780" s="41" t="n"/>
      <c r="J780" s="41" t="n"/>
      <c r="K780" s="41" t="n"/>
    </row>
    <row r="781" ht="15.75" customHeight="1" s="60">
      <c r="A781" s="41" t="n"/>
      <c r="B781" s="41" t="n"/>
      <c r="C781" s="41" t="n"/>
      <c r="D781" s="41" t="n"/>
      <c r="E781" s="41" t="n"/>
      <c r="F781" s="41" t="n"/>
      <c r="G781" s="41" t="n"/>
      <c r="H781" s="41" t="n"/>
      <c r="I781" s="41" t="n"/>
      <c r="J781" s="41" t="n"/>
      <c r="K781" s="41" t="n"/>
    </row>
    <row r="782" ht="15.75" customHeight="1" s="60">
      <c r="A782" s="41" t="n"/>
      <c r="B782" s="41" t="n"/>
      <c r="C782" s="41" t="n"/>
      <c r="D782" s="41" t="n"/>
      <c r="E782" s="41" t="n"/>
      <c r="F782" s="41" t="n"/>
      <c r="G782" s="41" t="n"/>
      <c r="H782" s="41" t="n"/>
      <c r="I782" s="41" t="n"/>
      <c r="J782" s="41" t="n"/>
      <c r="K782" s="41" t="n"/>
    </row>
    <row r="783" ht="15.75" customHeight="1" s="60">
      <c r="A783" s="41" t="n"/>
      <c r="B783" s="41" t="n"/>
      <c r="C783" s="41" t="n"/>
      <c r="D783" s="41" t="n"/>
      <c r="E783" s="41" t="n"/>
      <c r="F783" s="41" t="n"/>
      <c r="G783" s="41" t="n"/>
      <c r="H783" s="41" t="n"/>
      <c r="I783" s="41" t="n"/>
      <c r="J783" s="41" t="n"/>
      <c r="K783" s="41" t="n"/>
    </row>
    <row r="784" ht="15.75" customHeight="1" s="60">
      <c r="A784" s="41" t="n"/>
      <c r="B784" s="41" t="n"/>
      <c r="C784" s="41" t="n"/>
      <c r="D784" s="41" t="n"/>
      <c r="E784" s="41" t="n"/>
      <c r="F784" s="41" t="n"/>
      <c r="G784" s="41" t="n"/>
      <c r="H784" s="41" t="n"/>
      <c r="I784" s="41" t="n"/>
      <c r="J784" s="41" t="n"/>
      <c r="K784" s="41" t="n"/>
    </row>
    <row r="785" ht="15.75" customHeight="1" s="60">
      <c r="A785" s="41" t="n"/>
      <c r="B785" s="41" t="n"/>
      <c r="C785" s="41" t="n"/>
      <c r="D785" s="41" t="n"/>
      <c r="E785" s="41" t="n"/>
      <c r="F785" s="41" t="n"/>
      <c r="G785" s="41" t="n"/>
      <c r="H785" s="41" t="n"/>
      <c r="I785" s="41" t="n"/>
      <c r="J785" s="41" t="n"/>
      <c r="K785" s="41" t="n"/>
    </row>
    <row r="786" ht="15.75" customHeight="1" s="60">
      <c r="A786" s="41" t="n"/>
      <c r="B786" s="41" t="n"/>
      <c r="C786" s="41" t="n"/>
      <c r="D786" s="41" t="n"/>
      <c r="E786" s="41" t="n"/>
      <c r="F786" s="41" t="n"/>
      <c r="G786" s="41" t="n"/>
      <c r="H786" s="41" t="n"/>
      <c r="I786" s="41" t="n"/>
      <c r="J786" s="41" t="n"/>
      <c r="K786" s="41" t="n"/>
    </row>
    <row r="787" ht="15.75" customHeight="1" s="60">
      <c r="A787" s="41" t="n"/>
      <c r="B787" s="41" t="n"/>
      <c r="C787" s="41" t="n"/>
      <c r="D787" s="41" t="n"/>
      <c r="E787" s="41" t="n"/>
      <c r="F787" s="41" t="n"/>
      <c r="G787" s="41" t="n"/>
      <c r="H787" s="41" t="n"/>
      <c r="I787" s="41" t="n"/>
      <c r="J787" s="41" t="n"/>
      <c r="K787" s="41" t="n"/>
    </row>
    <row r="788" ht="15.75" customHeight="1" s="60">
      <c r="A788" s="41" t="n"/>
      <c r="B788" s="41" t="n"/>
      <c r="C788" s="41" t="n"/>
      <c r="D788" s="41" t="n"/>
      <c r="E788" s="41" t="n"/>
      <c r="F788" s="41" t="n"/>
      <c r="G788" s="41" t="n"/>
      <c r="H788" s="41" t="n"/>
      <c r="I788" s="41" t="n"/>
      <c r="J788" s="41" t="n"/>
      <c r="K788" s="41" t="n"/>
    </row>
    <row r="789" ht="15.75" customHeight="1" s="60">
      <c r="A789" s="41" t="n"/>
      <c r="B789" s="41" t="n"/>
      <c r="C789" s="41" t="n"/>
      <c r="D789" s="41" t="n"/>
      <c r="E789" s="41" t="n"/>
      <c r="F789" s="41" t="n"/>
      <c r="G789" s="41" t="n"/>
      <c r="H789" s="41" t="n"/>
      <c r="I789" s="41" t="n"/>
      <c r="J789" s="41" t="n"/>
      <c r="K789" s="41" t="n"/>
    </row>
    <row r="790" ht="15.75" customHeight="1" s="60">
      <c r="A790" s="41" t="n"/>
      <c r="B790" s="41" t="n"/>
      <c r="C790" s="41" t="n"/>
      <c r="D790" s="41" t="n"/>
      <c r="E790" s="41" t="n"/>
      <c r="F790" s="41" t="n"/>
      <c r="G790" s="41" t="n"/>
      <c r="H790" s="41" t="n"/>
      <c r="I790" s="41" t="n"/>
      <c r="J790" s="41" t="n"/>
      <c r="K790" s="41" t="n"/>
    </row>
    <row r="791" ht="15.75" customHeight="1" s="60">
      <c r="A791" s="41" t="n"/>
      <c r="B791" s="41" t="n"/>
      <c r="C791" s="41" t="n"/>
      <c r="D791" s="41" t="n"/>
      <c r="E791" s="41" t="n"/>
      <c r="F791" s="41" t="n"/>
      <c r="G791" s="41" t="n"/>
      <c r="H791" s="41" t="n"/>
      <c r="I791" s="41" t="n"/>
      <c r="J791" s="41" t="n"/>
      <c r="K791" s="41" t="n"/>
    </row>
    <row r="792" ht="15.75" customHeight="1" s="60">
      <c r="A792" s="41" t="n"/>
      <c r="B792" s="41" t="n"/>
      <c r="C792" s="41" t="n"/>
      <c r="D792" s="41" t="n"/>
      <c r="E792" s="41" t="n"/>
      <c r="F792" s="41" t="n"/>
      <c r="G792" s="41" t="n"/>
      <c r="H792" s="41" t="n"/>
      <c r="I792" s="41" t="n"/>
      <c r="J792" s="41" t="n"/>
      <c r="K792" s="41" t="n"/>
    </row>
    <row r="793" ht="15.75" customHeight="1" s="60">
      <c r="A793" s="41" t="n"/>
      <c r="B793" s="41" t="n"/>
      <c r="C793" s="41" t="n"/>
      <c r="D793" s="41" t="n"/>
      <c r="E793" s="41" t="n"/>
      <c r="F793" s="41" t="n"/>
      <c r="G793" s="41" t="n"/>
      <c r="H793" s="41" t="n"/>
      <c r="I793" s="41" t="n"/>
      <c r="J793" s="41" t="n"/>
      <c r="K793" s="41" t="n"/>
    </row>
    <row r="794" ht="15.75" customHeight="1" s="60">
      <c r="A794" s="41" t="n"/>
      <c r="B794" s="41" t="n"/>
      <c r="C794" s="41" t="n"/>
      <c r="D794" s="41" t="n"/>
      <c r="E794" s="41" t="n"/>
      <c r="F794" s="41" t="n"/>
      <c r="G794" s="41" t="n"/>
      <c r="H794" s="41" t="n"/>
      <c r="I794" s="41" t="n"/>
      <c r="J794" s="41" t="n"/>
      <c r="K794" s="41" t="n"/>
    </row>
    <row r="795" ht="15.75" customHeight="1" s="60">
      <c r="A795" s="41" t="n"/>
      <c r="B795" s="41" t="n"/>
      <c r="C795" s="41" t="n"/>
      <c r="D795" s="41" t="n"/>
      <c r="E795" s="41" t="n"/>
      <c r="F795" s="41" t="n"/>
      <c r="G795" s="41" t="n"/>
      <c r="H795" s="41" t="n"/>
      <c r="I795" s="41" t="n"/>
      <c r="J795" s="41" t="n"/>
      <c r="K795" s="41" t="n"/>
    </row>
    <row r="796" ht="15.75" customHeight="1" s="60">
      <c r="A796" s="41" t="n"/>
      <c r="B796" s="41" t="n"/>
      <c r="C796" s="41" t="n"/>
      <c r="D796" s="41" t="n"/>
      <c r="E796" s="41" t="n"/>
      <c r="F796" s="41" t="n"/>
      <c r="G796" s="41" t="n"/>
      <c r="H796" s="41" t="n"/>
      <c r="I796" s="41" t="n"/>
      <c r="J796" s="41" t="n"/>
      <c r="K796" s="41" t="n"/>
    </row>
    <row r="797" ht="15.75" customHeight="1" s="60">
      <c r="A797" s="41" t="n"/>
      <c r="B797" s="41" t="n"/>
      <c r="C797" s="41" t="n"/>
      <c r="D797" s="41" t="n"/>
      <c r="E797" s="41" t="n"/>
      <c r="F797" s="41" t="n"/>
      <c r="G797" s="41" t="n"/>
      <c r="H797" s="41" t="n"/>
      <c r="I797" s="41" t="n"/>
      <c r="J797" s="41" t="n"/>
      <c r="K797" s="41" t="n"/>
    </row>
    <row r="798" ht="15.75" customHeight="1" s="60">
      <c r="A798" s="41" t="n"/>
      <c r="B798" s="41" t="n"/>
      <c r="C798" s="41" t="n"/>
      <c r="D798" s="41" t="n"/>
      <c r="E798" s="41" t="n"/>
      <c r="F798" s="41" t="n"/>
      <c r="G798" s="41" t="n"/>
      <c r="H798" s="41" t="n"/>
      <c r="I798" s="41" t="n"/>
      <c r="J798" s="41" t="n"/>
      <c r="K798" s="41" t="n"/>
    </row>
    <row r="799" ht="15.75" customHeight="1" s="60">
      <c r="A799" s="41" t="n"/>
      <c r="B799" s="41" t="n"/>
      <c r="C799" s="41" t="n"/>
      <c r="D799" s="41" t="n"/>
      <c r="E799" s="41" t="n"/>
      <c r="F799" s="41" t="n"/>
      <c r="G799" s="41" t="n"/>
      <c r="H799" s="41" t="n"/>
      <c r="I799" s="41" t="n"/>
      <c r="J799" s="41" t="n"/>
      <c r="K799" s="41" t="n"/>
    </row>
    <row r="800" ht="15.75" customHeight="1" s="60">
      <c r="A800" s="41" t="n"/>
      <c r="B800" s="41" t="n"/>
      <c r="C800" s="41" t="n"/>
      <c r="D800" s="41" t="n"/>
      <c r="E800" s="41" t="n"/>
      <c r="F800" s="41" t="n"/>
      <c r="G800" s="41" t="n"/>
      <c r="H800" s="41" t="n"/>
      <c r="I800" s="41" t="n"/>
      <c r="J800" s="41" t="n"/>
      <c r="K800" s="41" t="n"/>
    </row>
    <row r="801" ht="15.75" customHeight="1" s="60">
      <c r="A801" s="41" t="n"/>
      <c r="B801" s="41" t="n"/>
      <c r="C801" s="41" t="n"/>
      <c r="D801" s="41" t="n"/>
      <c r="E801" s="41" t="n"/>
      <c r="F801" s="41" t="n"/>
      <c r="G801" s="41" t="n"/>
      <c r="H801" s="41" t="n"/>
      <c r="I801" s="41" t="n"/>
      <c r="J801" s="41" t="n"/>
      <c r="K801" s="41" t="n"/>
    </row>
    <row r="802" ht="15.75" customHeight="1" s="60">
      <c r="A802" s="41" t="n"/>
      <c r="B802" s="41" t="n"/>
      <c r="C802" s="41" t="n"/>
      <c r="D802" s="41" t="n"/>
      <c r="E802" s="41" t="n"/>
      <c r="F802" s="41" t="n"/>
      <c r="G802" s="41" t="n"/>
      <c r="H802" s="41" t="n"/>
      <c r="I802" s="41" t="n"/>
      <c r="J802" s="41" t="n"/>
      <c r="K802" s="41" t="n"/>
    </row>
    <row r="803" ht="15.75" customHeight="1" s="60">
      <c r="A803" s="41" t="n"/>
      <c r="B803" s="41" t="n"/>
      <c r="C803" s="41" t="n"/>
      <c r="D803" s="41" t="n"/>
      <c r="E803" s="41" t="n"/>
      <c r="F803" s="41" t="n"/>
      <c r="G803" s="41" t="n"/>
      <c r="H803" s="41" t="n"/>
      <c r="I803" s="41" t="n"/>
      <c r="J803" s="41" t="n"/>
      <c r="K803" s="41" t="n"/>
    </row>
    <row r="804" ht="15.75" customHeight="1" s="60">
      <c r="A804" s="41" t="n"/>
      <c r="B804" s="41" t="n"/>
      <c r="C804" s="41" t="n"/>
      <c r="D804" s="41" t="n"/>
      <c r="E804" s="41" t="n"/>
      <c r="F804" s="41" t="n"/>
      <c r="G804" s="41" t="n"/>
      <c r="H804" s="41" t="n"/>
      <c r="I804" s="41" t="n"/>
      <c r="J804" s="41" t="n"/>
      <c r="K804" s="41" t="n"/>
    </row>
    <row r="805" ht="15.75" customHeight="1" s="60">
      <c r="A805" s="41" t="n"/>
      <c r="B805" s="41" t="n"/>
      <c r="C805" s="41" t="n"/>
      <c r="D805" s="41" t="n"/>
      <c r="E805" s="41" t="n"/>
      <c r="F805" s="41" t="n"/>
      <c r="G805" s="41" t="n"/>
      <c r="H805" s="41" t="n"/>
      <c r="I805" s="41" t="n"/>
      <c r="J805" s="41" t="n"/>
      <c r="K805" s="41" t="n"/>
    </row>
    <row r="806" ht="15.75" customHeight="1" s="60">
      <c r="A806" s="41" t="n"/>
      <c r="B806" s="41" t="n"/>
      <c r="C806" s="41" t="n"/>
      <c r="D806" s="41" t="n"/>
      <c r="E806" s="41" t="n"/>
      <c r="F806" s="41" t="n"/>
      <c r="G806" s="41" t="n"/>
      <c r="H806" s="41" t="n"/>
      <c r="I806" s="41" t="n"/>
      <c r="J806" s="41" t="n"/>
      <c r="K806" s="41" t="n"/>
    </row>
    <row r="807" ht="15.75" customHeight="1" s="60">
      <c r="A807" s="41" t="n"/>
      <c r="B807" s="41" t="n"/>
      <c r="C807" s="41" t="n"/>
      <c r="D807" s="41" t="n"/>
      <c r="E807" s="41" t="n"/>
      <c r="F807" s="41" t="n"/>
      <c r="G807" s="41" t="n"/>
      <c r="H807" s="41" t="n"/>
      <c r="I807" s="41" t="n"/>
      <c r="J807" s="41" t="n"/>
      <c r="K807" s="41" t="n"/>
    </row>
    <row r="808" ht="15.75" customHeight="1" s="60">
      <c r="A808" s="41" t="n"/>
      <c r="B808" s="41" t="n"/>
      <c r="C808" s="41" t="n"/>
      <c r="D808" s="41" t="n"/>
      <c r="E808" s="41" t="n"/>
      <c r="F808" s="41" t="n"/>
      <c r="G808" s="41" t="n"/>
      <c r="H808" s="41" t="n"/>
      <c r="I808" s="41" t="n"/>
      <c r="J808" s="41" t="n"/>
      <c r="K808" s="41" t="n"/>
    </row>
    <row r="809" ht="15.75" customHeight="1" s="60">
      <c r="A809" s="41" t="n"/>
      <c r="B809" s="41" t="n"/>
      <c r="C809" s="41" t="n"/>
      <c r="D809" s="41" t="n"/>
      <c r="E809" s="41" t="n"/>
      <c r="F809" s="41" t="n"/>
      <c r="G809" s="41" t="n"/>
      <c r="H809" s="41" t="n"/>
      <c r="I809" s="41" t="n"/>
      <c r="J809" s="41" t="n"/>
      <c r="K809" s="41" t="n"/>
    </row>
    <row r="810" ht="15.75" customHeight="1" s="60">
      <c r="A810" s="41" t="n"/>
      <c r="B810" s="41" t="n"/>
      <c r="C810" s="41" t="n"/>
      <c r="D810" s="41" t="n"/>
      <c r="E810" s="41" t="n"/>
      <c r="F810" s="41" t="n"/>
      <c r="G810" s="41" t="n"/>
      <c r="H810" s="41" t="n"/>
      <c r="I810" s="41" t="n"/>
      <c r="J810" s="41" t="n"/>
      <c r="K810" s="41" t="n"/>
    </row>
    <row r="811" ht="15.75" customHeight="1" s="60">
      <c r="A811" s="41" t="n"/>
      <c r="B811" s="41" t="n"/>
      <c r="C811" s="41" t="n"/>
      <c r="D811" s="41" t="n"/>
      <c r="E811" s="41" t="n"/>
      <c r="F811" s="41" t="n"/>
      <c r="G811" s="41" t="n"/>
      <c r="H811" s="41" t="n"/>
      <c r="I811" s="41" t="n"/>
      <c r="J811" s="41" t="n"/>
      <c r="K811" s="41" t="n"/>
    </row>
    <row r="812" ht="15.75" customHeight="1" s="60">
      <c r="A812" s="41" t="n"/>
      <c r="B812" s="41" t="n"/>
      <c r="C812" s="41" t="n"/>
      <c r="D812" s="41" t="n"/>
      <c r="E812" s="41" t="n"/>
      <c r="F812" s="41" t="n"/>
      <c r="G812" s="41" t="n"/>
      <c r="H812" s="41" t="n"/>
      <c r="I812" s="41" t="n"/>
      <c r="J812" s="41" t="n"/>
      <c r="K812" s="41" t="n"/>
    </row>
    <row r="813" ht="15.75" customHeight="1" s="60">
      <c r="A813" s="41" t="n"/>
      <c r="B813" s="41" t="n"/>
      <c r="C813" s="41" t="n"/>
      <c r="D813" s="41" t="n"/>
      <c r="E813" s="41" t="n"/>
      <c r="F813" s="41" t="n"/>
      <c r="G813" s="41" t="n"/>
      <c r="H813" s="41" t="n"/>
      <c r="I813" s="41" t="n"/>
      <c r="J813" s="41" t="n"/>
      <c r="K813" s="41" t="n"/>
    </row>
    <row r="814" ht="15.75" customHeight="1" s="60">
      <c r="A814" s="41" t="n"/>
      <c r="B814" s="41" t="n"/>
      <c r="C814" s="41" t="n"/>
      <c r="D814" s="41" t="n"/>
      <c r="E814" s="41" t="n"/>
      <c r="F814" s="41" t="n"/>
      <c r="G814" s="41" t="n"/>
      <c r="H814" s="41" t="n"/>
      <c r="I814" s="41" t="n"/>
      <c r="J814" s="41" t="n"/>
      <c r="K814" s="41" t="n"/>
    </row>
    <row r="815" ht="15.75" customHeight="1" s="60">
      <c r="A815" s="41" t="n"/>
      <c r="B815" s="41" t="n"/>
      <c r="C815" s="41" t="n"/>
      <c r="D815" s="41" t="n"/>
      <c r="E815" s="41" t="n"/>
      <c r="F815" s="41" t="n"/>
      <c r="G815" s="41" t="n"/>
      <c r="H815" s="41" t="n"/>
      <c r="I815" s="41" t="n"/>
      <c r="J815" s="41" t="n"/>
      <c r="K815" s="41" t="n"/>
    </row>
    <row r="816" ht="15.75" customHeight="1" s="60">
      <c r="A816" s="41" t="n"/>
      <c r="B816" s="41" t="n"/>
      <c r="C816" s="41" t="n"/>
      <c r="D816" s="41" t="n"/>
      <c r="E816" s="41" t="n"/>
      <c r="F816" s="41" t="n"/>
      <c r="G816" s="41" t="n"/>
      <c r="H816" s="41" t="n"/>
      <c r="I816" s="41" t="n"/>
      <c r="J816" s="41" t="n"/>
      <c r="K816" s="41" t="n"/>
    </row>
    <row r="817" ht="15.75" customHeight="1" s="60">
      <c r="A817" s="41" t="n"/>
      <c r="B817" s="41" t="n"/>
      <c r="C817" s="41" t="n"/>
      <c r="D817" s="41" t="n"/>
      <c r="E817" s="41" t="n"/>
      <c r="F817" s="41" t="n"/>
      <c r="G817" s="41" t="n"/>
      <c r="H817" s="41" t="n"/>
      <c r="I817" s="41" t="n"/>
      <c r="J817" s="41" t="n"/>
      <c r="K817" s="41" t="n"/>
    </row>
    <row r="818" ht="15.75" customHeight="1" s="60">
      <c r="A818" s="41" t="n"/>
      <c r="B818" s="41" t="n"/>
      <c r="C818" s="41" t="n"/>
      <c r="D818" s="41" t="n"/>
      <c r="E818" s="41" t="n"/>
      <c r="F818" s="41" t="n"/>
      <c r="G818" s="41" t="n"/>
      <c r="H818" s="41" t="n"/>
      <c r="I818" s="41" t="n"/>
      <c r="J818" s="41" t="n"/>
      <c r="K818" s="41" t="n"/>
    </row>
    <row r="819" ht="15.75" customHeight="1" s="60">
      <c r="A819" s="41" t="n"/>
      <c r="B819" s="41" t="n"/>
      <c r="C819" s="41" t="n"/>
      <c r="D819" s="41" t="n"/>
      <c r="E819" s="41" t="n"/>
      <c r="F819" s="41" t="n"/>
      <c r="G819" s="41" t="n"/>
      <c r="H819" s="41" t="n"/>
      <c r="I819" s="41" t="n"/>
      <c r="J819" s="41" t="n"/>
      <c r="K819" s="41" t="n"/>
    </row>
    <row r="820" ht="15.75" customHeight="1" s="60">
      <c r="A820" s="41" t="n"/>
      <c r="B820" s="41" t="n"/>
      <c r="C820" s="41" t="n"/>
      <c r="D820" s="41" t="n"/>
      <c r="E820" s="41" t="n"/>
      <c r="F820" s="41" t="n"/>
      <c r="G820" s="41" t="n"/>
      <c r="H820" s="41" t="n"/>
      <c r="I820" s="41" t="n"/>
      <c r="J820" s="41" t="n"/>
      <c r="K820" s="41" t="n"/>
    </row>
    <row r="821" ht="15.75" customHeight="1" s="60">
      <c r="A821" s="41" t="n"/>
      <c r="B821" s="41" t="n"/>
      <c r="C821" s="41" t="n"/>
      <c r="D821" s="41" t="n"/>
      <c r="E821" s="41" t="n"/>
      <c r="F821" s="41" t="n"/>
      <c r="G821" s="41" t="n"/>
      <c r="H821" s="41" t="n"/>
      <c r="I821" s="41" t="n"/>
      <c r="J821" s="41" t="n"/>
      <c r="K821" s="41" t="n"/>
    </row>
    <row r="822" ht="15.75" customHeight="1" s="60">
      <c r="A822" s="41" t="n"/>
      <c r="B822" s="41" t="n"/>
      <c r="C822" s="41" t="n"/>
      <c r="D822" s="41" t="n"/>
      <c r="E822" s="41" t="n"/>
      <c r="F822" s="41" t="n"/>
      <c r="G822" s="41" t="n"/>
      <c r="H822" s="41" t="n"/>
      <c r="I822" s="41" t="n"/>
      <c r="J822" s="41" t="n"/>
      <c r="K822" s="41" t="n"/>
    </row>
    <row r="823" ht="15.75" customHeight="1" s="60">
      <c r="A823" s="41" t="n"/>
      <c r="B823" s="41" t="n"/>
      <c r="C823" s="41" t="n"/>
      <c r="D823" s="41" t="n"/>
      <c r="E823" s="41" t="n"/>
      <c r="F823" s="41" t="n"/>
      <c r="G823" s="41" t="n"/>
      <c r="H823" s="41" t="n"/>
      <c r="I823" s="41" t="n"/>
      <c r="J823" s="41" t="n"/>
      <c r="K823" s="41" t="n"/>
    </row>
    <row r="824" ht="15.75" customHeight="1" s="60">
      <c r="A824" s="41" t="n"/>
      <c r="B824" s="41" t="n"/>
      <c r="C824" s="41" t="n"/>
      <c r="D824" s="41" t="n"/>
      <c r="E824" s="41" t="n"/>
      <c r="F824" s="41" t="n"/>
      <c r="G824" s="41" t="n"/>
      <c r="H824" s="41" t="n"/>
      <c r="I824" s="41" t="n"/>
      <c r="J824" s="41" t="n"/>
      <c r="K824" s="41" t="n"/>
    </row>
    <row r="825" ht="15.75" customHeight="1" s="60">
      <c r="A825" s="41" t="n"/>
      <c r="B825" s="41" t="n"/>
      <c r="C825" s="41" t="n"/>
      <c r="D825" s="41" t="n"/>
      <c r="E825" s="41" t="n"/>
      <c r="F825" s="41" t="n"/>
      <c r="G825" s="41" t="n"/>
      <c r="H825" s="41" t="n"/>
      <c r="I825" s="41" t="n"/>
      <c r="J825" s="41" t="n"/>
      <c r="K825" s="41" t="n"/>
    </row>
    <row r="826" ht="15.75" customHeight="1" s="60">
      <c r="A826" s="41" t="n"/>
      <c r="B826" s="41" t="n"/>
      <c r="C826" s="41" t="n"/>
      <c r="D826" s="41" t="n"/>
      <c r="E826" s="41" t="n"/>
      <c r="F826" s="41" t="n"/>
      <c r="G826" s="41" t="n"/>
      <c r="H826" s="41" t="n"/>
      <c r="I826" s="41" t="n"/>
      <c r="J826" s="41" t="n"/>
      <c r="K826" s="41" t="n"/>
    </row>
    <row r="827" ht="15.75" customHeight="1" s="60">
      <c r="A827" s="41" t="n"/>
      <c r="B827" s="41" t="n"/>
      <c r="C827" s="41" t="n"/>
      <c r="D827" s="41" t="n"/>
      <c r="E827" s="41" t="n"/>
      <c r="F827" s="41" t="n"/>
      <c r="G827" s="41" t="n"/>
      <c r="H827" s="41" t="n"/>
      <c r="I827" s="41" t="n"/>
      <c r="J827" s="41" t="n"/>
      <c r="K827" s="41" t="n"/>
    </row>
    <row r="828" ht="15.75" customHeight="1" s="60">
      <c r="A828" s="41" t="n"/>
      <c r="B828" s="41" t="n"/>
      <c r="C828" s="41" t="n"/>
      <c r="D828" s="41" t="n"/>
      <c r="E828" s="41" t="n"/>
      <c r="F828" s="41" t="n"/>
      <c r="G828" s="41" t="n"/>
      <c r="H828" s="41" t="n"/>
      <c r="I828" s="41" t="n"/>
      <c r="J828" s="41" t="n"/>
      <c r="K828" s="41" t="n"/>
    </row>
    <row r="829" ht="15.75" customHeight="1" s="60">
      <c r="A829" s="41" t="n"/>
      <c r="B829" s="41" t="n"/>
      <c r="C829" s="41" t="n"/>
      <c r="D829" s="41" t="n"/>
      <c r="E829" s="41" t="n"/>
      <c r="F829" s="41" t="n"/>
      <c r="G829" s="41" t="n"/>
      <c r="H829" s="41" t="n"/>
      <c r="I829" s="41" t="n"/>
      <c r="J829" s="41" t="n"/>
      <c r="K829" s="41" t="n"/>
    </row>
    <row r="830" ht="15.75" customHeight="1" s="60">
      <c r="A830" s="41" t="n"/>
      <c r="B830" s="41" t="n"/>
      <c r="C830" s="41" t="n"/>
      <c r="D830" s="41" t="n"/>
      <c r="E830" s="41" t="n"/>
      <c r="F830" s="41" t="n"/>
      <c r="G830" s="41" t="n"/>
      <c r="H830" s="41" t="n"/>
      <c r="I830" s="41" t="n"/>
      <c r="J830" s="41" t="n"/>
      <c r="K830" s="41" t="n"/>
    </row>
    <row r="831" ht="15.75" customHeight="1" s="60">
      <c r="A831" s="41" t="n"/>
      <c r="B831" s="41" t="n"/>
      <c r="C831" s="41" t="n"/>
      <c r="D831" s="41" t="n"/>
      <c r="E831" s="41" t="n"/>
      <c r="F831" s="41" t="n"/>
      <c r="G831" s="41" t="n"/>
      <c r="H831" s="41" t="n"/>
      <c r="I831" s="41" t="n"/>
      <c r="J831" s="41" t="n"/>
      <c r="K831" s="41" t="n"/>
    </row>
    <row r="832" ht="15.75" customHeight="1" s="60">
      <c r="A832" s="41" t="n"/>
      <c r="B832" s="41" t="n"/>
      <c r="C832" s="41" t="n"/>
      <c r="D832" s="41" t="n"/>
      <c r="E832" s="41" t="n"/>
      <c r="F832" s="41" t="n"/>
      <c r="G832" s="41" t="n"/>
      <c r="H832" s="41" t="n"/>
      <c r="I832" s="41" t="n"/>
      <c r="J832" s="41" t="n"/>
      <c r="K832" s="41" t="n"/>
    </row>
    <row r="833" ht="15.75" customHeight="1" s="60">
      <c r="A833" s="41" t="n"/>
      <c r="B833" s="41" t="n"/>
      <c r="C833" s="41" t="n"/>
      <c r="D833" s="41" t="n"/>
      <c r="E833" s="41" t="n"/>
      <c r="F833" s="41" t="n"/>
      <c r="G833" s="41" t="n"/>
      <c r="H833" s="41" t="n"/>
      <c r="I833" s="41" t="n"/>
      <c r="J833" s="41" t="n"/>
      <c r="K833" s="41" t="n"/>
    </row>
    <row r="834" ht="15.75" customHeight="1" s="60">
      <c r="A834" s="41" t="n"/>
      <c r="B834" s="41" t="n"/>
      <c r="C834" s="41" t="n"/>
      <c r="D834" s="41" t="n"/>
      <c r="E834" s="41" t="n"/>
      <c r="F834" s="41" t="n"/>
      <c r="G834" s="41" t="n"/>
      <c r="H834" s="41" t="n"/>
      <c r="I834" s="41" t="n"/>
      <c r="J834" s="41" t="n"/>
      <c r="K834" s="41" t="n"/>
    </row>
    <row r="835" ht="15.75" customHeight="1" s="60">
      <c r="A835" s="41" t="n"/>
      <c r="B835" s="41" t="n"/>
      <c r="C835" s="41" t="n"/>
      <c r="D835" s="41" t="n"/>
      <c r="E835" s="41" t="n"/>
      <c r="F835" s="41" t="n"/>
      <c r="G835" s="41" t="n"/>
      <c r="H835" s="41" t="n"/>
      <c r="I835" s="41" t="n"/>
      <c r="J835" s="41" t="n"/>
      <c r="K835" s="41" t="n"/>
    </row>
    <row r="836" ht="15.75" customHeight="1" s="60">
      <c r="A836" s="41" t="n"/>
      <c r="B836" s="41" t="n"/>
      <c r="C836" s="41" t="n"/>
      <c r="D836" s="41" t="n"/>
      <c r="E836" s="41" t="n"/>
      <c r="F836" s="41" t="n"/>
      <c r="G836" s="41" t="n"/>
      <c r="H836" s="41" t="n"/>
      <c r="I836" s="41" t="n"/>
      <c r="J836" s="41" t="n"/>
      <c r="K836" s="41" t="n"/>
    </row>
    <row r="837" ht="15.75" customHeight="1" s="60">
      <c r="A837" s="41" t="n"/>
      <c r="B837" s="41" t="n"/>
      <c r="C837" s="41" t="n"/>
      <c r="D837" s="41" t="n"/>
      <c r="E837" s="41" t="n"/>
      <c r="F837" s="41" t="n"/>
      <c r="G837" s="41" t="n"/>
      <c r="H837" s="41" t="n"/>
      <c r="I837" s="41" t="n"/>
      <c r="J837" s="41" t="n"/>
      <c r="K837" s="41" t="n"/>
    </row>
    <row r="838" ht="15.75" customHeight="1" s="60">
      <c r="A838" s="41" t="n"/>
      <c r="B838" s="41" t="n"/>
      <c r="C838" s="41" t="n"/>
      <c r="D838" s="41" t="n"/>
      <c r="E838" s="41" t="n"/>
      <c r="F838" s="41" t="n"/>
      <c r="G838" s="41" t="n"/>
      <c r="H838" s="41" t="n"/>
      <c r="I838" s="41" t="n"/>
      <c r="J838" s="41" t="n"/>
      <c r="K838" s="41" t="n"/>
    </row>
    <row r="839" ht="15.75" customHeight="1" s="60">
      <c r="A839" s="41" t="n"/>
      <c r="B839" s="41" t="n"/>
      <c r="C839" s="41" t="n"/>
      <c r="D839" s="41" t="n"/>
      <c r="E839" s="41" t="n"/>
      <c r="F839" s="41" t="n"/>
      <c r="G839" s="41" t="n"/>
      <c r="H839" s="41" t="n"/>
      <c r="I839" s="41" t="n"/>
      <c r="J839" s="41" t="n"/>
      <c r="K839" s="41" t="n"/>
    </row>
    <row r="840" ht="15.75" customHeight="1" s="60">
      <c r="A840" s="41" t="n"/>
      <c r="B840" s="41" t="n"/>
      <c r="C840" s="41" t="n"/>
      <c r="D840" s="41" t="n"/>
      <c r="E840" s="41" t="n"/>
      <c r="F840" s="41" t="n"/>
      <c r="G840" s="41" t="n"/>
      <c r="H840" s="41" t="n"/>
      <c r="I840" s="41" t="n"/>
      <c r="J840" s="41" t="n"/>
      <c r="K840" s="41" t="n"/>
    </row>
    <row r="841" ht="15.75" customHeight="1" s="60">
      <c r="A841" s="41" t="n"/>
      <c r="B841" s="41" t="n"/>
      <c r="C841" s="41" t="n"/>
      <c r="D841" s="41" t="n"/>
      <c r="E841" s="41" t="n"/>
      <c r="F841" s="41" t="n"/>
      <c r="G841" s="41" t="n"/>
      <c r="H841" s="41" t="n"/>
      <c r="I841" s="41" t="n"/>
      <c r="J841" s="41" t="n"/>
      <c r="K841" s="41" t="n"/>
    </row>
    <row r="842" ht="15.75" customHeight="1" s="60">
      <c r="A842" s="41" t="n"/>
      <c r="B842" s="41" t="n"/>
      <c r="C842" s="41" t="n"/>
      <c r="D842" s="41" t="n"/>
      <c r="E842" s="41" t="n"/>
      <c r="F842" s="41" t="n"/>
      <c r="G842" s="41" t="n"/>
      <c r="H842" s="41" t="n"/>
      <c r="I842" s="41" t="n"/>
      <c r="J842" s="41" t="n"/>
      <c r="K842" s="41" t="n"/>
    </row>
    <row r="843" ht="15.75" customHeight="1" s="60">
      <c r="A843" s="41" t="n"/>
      <c r="B843" s="41" t="n"/>
      <c r="C843" s="41" t="n"/>
      <c r="D843" s="41" t="n"/>
      <c r="E843" s="41" t="n"/>
      <c r="F843" s="41" t="n"/>
      <c r="G843" s="41" t="n"/>
      <c r="H843" s="41" t="n"/>
      <c r="I843" s="41" t="n"/>
      <c r="J843" s="41" t="n"/>
      <c r="K843" s="41" t="n"/>
    </row>
    <row r="844" ht="15.75" customHeight="1" s="60">
      <c r="A844" s="41" t="n"/>
      <c r="B844" s="41" t="n"/>
      <c r="C844" s="41" t="n"/>
      <c r="D844" s="41" t="n"/>
      <c r="E844" s="41" t="n"/>
      <c r="F844" s="41" t="n"/>
      <c r="G844" s="41" t="n"/>
      <c r="H844" s="41" t="n"/>
      <c r="I844" s="41" t="n"/>
      <c r="J844" s="41" t="n"/>
      <c r="K844" s="41" t="n"/>
    </row>
    <row r="845" ht="15.75" customHeight="1" s="60">
      <c r="A845" s="41" t="n"/>
      <c r="B845" s="41" t="n"/>
      <c r="C845" s="41" t="n"/>
      <c r="D845" s="41" t="n"/>
      <c r="E845" s="41" t="n"/>
      <c r="F845" s="41" t="n"/>
      <c r="G845" s="41" t="n"/>
      <c r="H845" s="41" t="n"/>
      <c r="I845" s="41" t="n"/>
      <c r="J845" s="41" t="n"/>
      <c r="K845" s="41" t="n"/>
    </row>
    <row r="846" ht="15.75" customHeight="1" s="60">
      <c r="A846" s="41" t="n"/>
      <c r="B846" s="41" t="n"/>
      <c r="C846" s="41" t="n"/>
      <c r="D846" s="41" t="n"/>
      <c r="E846" s="41" t="n"/>
      <c r="F846" s="41" t="n"/>
      <c r="G846" s="41" t="n"/>
      <c r="H846" s="41" t="n"/>
      <c r="I846" s="41" t="n"/>
      <c r="J846" s="41" t="n"/>
      <c r="K846" s="41" t="n"/>
    </row>
    <row r="847" ht="15.75" customHeight="1" s="60">
      <c r="A847" s="41" t="n"/>
      <c r="B847" s="41" t="n"/>
      <c r="C847" s="41" t="n"/>
      <c r="D847" s="41" t="n"/>
      <c r="E847" s="41" t="n"/>
      <c r="F847" s="41" t="n"/>
      <c r="G847" s="41" t="n"/>
      <c r="H847" s="41" t="n"/>
      <c r="I847" s="41" t="n"/>
      <c r="J847" s="41" t="n"/>
      <c r="K847" s="41" t="n"/>
    </row>
    <row r="848" ht="15.75" customHeight="1" s="60">
      <c r="A848" s="41" t="n"/>
      <c r="B848" s="41" t="n"/>
      <c r="C848" s="41" t="n"/>
      <c r="D848" s="41" t="n"/>
      <c r="E848" s="41" t="n"/>
      <c r="F848" s="41" t="n"/>
      <c r="G848" s="41" t="n"/>
      <c r="H848" s="41" t="n"/>
      <c r="I848" s="41" t="n"/>
      <c r="J848" s="41" t="n"/>
      <c r="K848" s="41" t="n"/>
    </row>
    <row r="849" ht="15.75" customHeight="1" s="60">
      <c r="A849" s="41" t="n"/>
      <c r="B849" s="41" t="n"/>
      <c r="C849" s="41" t="n"/>
      <c r="D849" s="41" t="n"/>
      <c r="E849" s="41" t="n"/>
      <c r="F849" s="41" t="n"/>
      <c r="G849" s="41" t="n"/>
      <c r="H849" s="41" t="n"/>
      <c r="I849" s="41" t="n"/>
      <c r="J849" s="41" t="n"/>
      <c r="K849" s="41" t="n"/>
    </row>
    <row r="850" ht="15.75" customHeight="1" s="60">
      <c r="A850" s="41" t="n"/>
      <c r="B850" s="41" t="n"/>
      <c r="C850" s="41" t="n"/>
      <c r="D850" s="41" t="n"/>
      <c r="E850" s="41" t="n"/>
      <c r="F850" s="41" t="n"/>
      <c r="G850" s="41" t="n"/>
      <c r="H850" s="41" t="n"/>
      <c r="I850" s="41" t="n"/>
      <c r="J850" s="41" t="n"/>
      <c r="K850" s="41" t="n"/>
    </row>
    <row r="851" ht="15.75" customHeight="1" s="60">
      <c r="A851" s="41" t="n"/>
      <c r="B851" s="41" t="n"/>
      <c r="C851" s="41" t="n"/>
      <c r="D851" s="41" t="n"/>
      <c r="E851" s="41" t="n"/>
      <c r="F851" s="41" t="n"/>
      <c r="G851" s="41" t="n"/>
      <c r="H851" s="41" t="n"/>
      <c r="I851" s="41" t="n"/>
      <c r="J851" s="41" t="n"/>
      <c r="K851" s="41" t="n"/>
    </row>
    <row r="852" ht="15.75" customHeight="1" s="60">
      <c r="A852" s="41" t="n"/>
      <c r="B852" s="41" t="n"/>
      <c r="C852" s="41" t="n"/>
      <c r="D852" s="41" t="n"/>
      <c r="E852" s="41" t="n"/>
      <c r="F852" s="41" t="n"/>
      <c r="G852" s="41" t="n"/>
      <c r="H852" s="41" t="n"/>
      <c r="I852" s="41" t="n"/>
      <c r="J852" s="41" t="n"/>
      <c r="K852" s="41" t="n"/>
    </row>
    <row r="853" ht="15.75" customHeight="1" s="60">
      <c r="A853" s="41" t="n"/>
      <c r="B853" s="41" t="n"/>
      <c r="C853" s="41" t="n"/>
      <c r="D853" s="41" t="n"/>
      <c r="E853" s="41" t="n"/>
      <c r="F853" s="41" t="n"/>
      <c r="G853" s="41" t="n"/>
      <c r="H853" s="41" t="n"/>
      <c r="I853" s="41" t="n"/>
      <c r="J853" s="41" t="n"/>
      <c r="K853" s="41" t="n"/>
    </row>
    <row r="854" ht="15.75" customHeight="1" s="60">
      <c r="A854" s="41" t="n"/>
      <c r="B854" s="41" t="n"/>
      <c r="C854" s="41" t="n"/>
      <c r="D854" s="41" t="n"/>
      <c r="E854" s="41" t="n"/>
      <c r="F854" s="41" t="n"/>
      <c r="G854" s="41" t="n"/>
      <c r="H854" s="41" t="n"/>
      <c r="I854" s="41" t="n"/>
      <c r="J854" s="41" t="n"/>
      <c r="K854" s="41" t="n"/>
    </row>
    <row r="855" ht="15.75" customHeight="1" s="60">
      <c r="A855" s="41" t="n"/>
      <c r="B855" s="41" t="n"/>
      <c r="C855" s="41" t="n"/>
      <c r="D855" s="41" t="n"/>
      <c r="E855" s="41" t="n"/>
      <c r="F855" s="41" t="n"/>
      <c r="G855" s="41" t="n"/>
      <c r="H855" s="41" t="n"/>
      <c r="I855" s="41" t="n"/>
      <c r="J855" s="41" t="n"/>
      <c r="K855" s="41" t="n"/>
    </row>
    <row r="856" ht="15.75" customHeight="1" s="60">
      <c r="A856" s="41" t="n"/>
      <c r="B856" s="41" t="n"/>
      <c r="C856" s="41" t="n"/>
      <c r="D856" s="41" t="n"/>
      <c r="E856" s="41" t="n"/>
      <c r="F856" s="41" t="n"/>
      <c r="G856" s="41" t="n"/>
      <c r="H856" s="41" t="n"/>
      <c r="I856" s="41" t="n"/>
      <c r="J856" s="41" t="n"/>
      <c r="K856" s="41" t="n"/>
    </row>
    <row r="857" ht="15.75" customHeight="1" s="60">
      <c r="A857" s="41" t="n"/>
      <c r="B857" s="41" t="n"/>
      <c r="C857" s="41" t="n"/>
      <c r="D857" s="41" t="n"/>
      <c r="E857" s="41" t="n"/>
      <c r="F857" s="41" t="n"/>
      <c r="G857" s="41" t="n"/>
      <c r="H857" s="41" t="n"/>
      <c r="I857" s="41" t="n"/>
      <c r="J857" s="41" t="n"/>
      <c r="K857" s="41" t="n"/>
    </row>
    <row r="858" ht="15.75" customHeight="1" s="60">
      <c r="A858" s="41" t="n"/>
      <c r="B858" s="41" t="n"/>
      <c r="C858" s="41" t="n"/>
      <c r="D858" s="41" t="n"/>
      <c r="E858" s="41" t="n"/>
      <c r="F858" s="41" t="n"/>
      <c r="G858" s="41" t="n"/>
      <c r="H858" s="41" t="n"/>
      <c r="I858" s="41" t="n"/>
      <c r="J858" s="41" t="n"/>
      <c r="K858" s="41" t="n"/>
    </row>
    <row r="859" ht="15.75" customHeight="1" s="60">
      <c r="A859" s="41" t="n"/>
      <c r="B859" s="41" t="n"/>
      <c r="C859" s="41" t="n"/>
      <c r="D859" s="41" t="n"/>
      <c r="E859" s="41" t="n"/>
      <c r="F859" s="41" t="n"/>
      <c r="G859" s="41" t="n"/>
      <c r="H859" s="41" t="n"/>
      <c r="I859" s="41" t="n"/>
      <c r="J859" s="41" t="n"/>
      <c r="K859" s="41" t="n"/>
    </row>
    <row r="860" ht="15.75" customHeight="1" s="60">
      <c r="A860" s="41" t="n"/>
      <c r="B860" s="41" t="n"/>
      <c r="C860" s="41" t="n"/>
      <c r="D860" s="41" t="n"/>
      <c r="E860" s="41" t="n"/>
      <c r="F860" s="41" t="n"/>
      <c r="G860" s="41" t="n"/>
      <c r="H860" s="41" t="n"/>
      <c r="I860" s="41" t="n"/>
      <c r="J860" s="41" t="n"/>
      <c r="K860" s="41" t="n"/>
    </row>
    <row r="861" ht="15.75" customHeight="1" s="60">
      <c r="A861" s="41" t="n"/>
      <c r="B861" s="41" t="n"/>
      <c r="C861" s="41" t="n"/>
      <c r="D861" s="41" t="n"/>
      <c r="E861" s="41" t="n"/>
      <c r="F861" s="41" t="n"/>
      <c r="G861" s="41" t="n"/>
      <c r="H861" s="41" t="n"/>
      <c r="I861" s="41" t="n"/>
      <c r="J861" s="41" t="n"/>
      <c r="K861" s="41" t="n"/>
    </row>
    <row r="862" ht="15.75" customHeight="1" s="60">
      <c r="A862" s="41" t="n"/>
      <c r="B862" s="41" t="n"/>
      <c r="C862" s="41" t="n"/>
      <c r="D862" s="41" t="n"/>
      <c r="E862" s="41" t="n"/>
      <c r="F862" s="41" t="n"/>
      <c r="G862" s="41" t="n"/>
      <c r="H862" s="41" t="n"/>
      <c r="I862" s="41" t="n"/>
      <c r="J862" s="41" t="n"/>
      <c r="K862" s="41" t="n"/>
    </row>
    <row r="863" ht="15.75" customHeight="1" s="60">
      <c r="A863" s="41" t="n"/>
      <c r="B863" s="41" t="n"/>
      <c r="C863" s="41" t="n"/>
      <c r="D863" s="41" t="n"/>
      <c r="E863" s="41" t="n"/>
      <c r="F863" s="41" t="n"/>
      <c r="G863" s="41" t="n"/>
      <c r="H863" s="41" t="n"/>
      <c r="I863" s="41" t="n"/>
      <c r="J863" s="41" t="n"/>
      <c r="K863" s="41" t="n"/>
    </row>
    <row r="864" ht="15.75" customHeight="1" s="60">
      <c r="A864" s="41" t="n"/>
      <c r="B864" s="41" t="n"/>
      <c r="C864" s="41" t="n"/>
      <c r="D864" s="41" t="n"/>
      <c r="E864" s="41" t="n"/>
      <c r="F864" s="41" t="n"/>
      <c r="G864" s="41" t="n"/>
      <c r="H864" s="41" t="n"/>
      <c r="I864" s="41" t="n"/>
      <c r="J864" s="41" t="n"/>
      <c r="K864" s="41" t="n"/>
    </row>
    <row r="865" ht="15.75" customHeight="1" s="60">
      <c r="A865" s="41" t="n"/>
      <c r="B865" s="41" t="n"/>
      <c r="C865" s="41" t="n"/>
      <c r="D865" s="41" t="n"/>
      <c r="E865" s="41" t="n"/>
      <c r="F865" s="41" t="n"/>
      <c r="G865" s="41" t="n"/>
      <c r="H865" s="41" t="n"/>
      <c r="I865" s="41" t="n"/>
      <c r="J865" s="41" t="n"/>
      <c r="K865" s="41" t="n"/>
    </row>
    <row r="866" ht="15.75" customHeight="1" s="60">
      <c r="A866" s="41" t="n"/>
      <c r="B866" s="41" t="n"/>
      <c r="C866" s="41" t="n"/>
      <c r="D866" s="41" t="n"/>
      <c r="E866" s="41" t="n"/>
      <c r="F866" s="41" t="n"/>
      <c r="G866" s="41" t="n"/>
      <c r="H866" s="41" t="n"/>
      <c r="I866" s="41" t="n"/>
      <c r="J866" s="41" t="n"/>
      <c r="K866" s="41" t="n"/>
    </row>
    <row r="867" ht="15.75" customHeight="1" s="60">
      <c r="A867" s="41" t="n"/>
      <c r="B867" s="41" t="n"/>
      <c r="C867" s="41" t="n"/>
      <c r="D867" s="41" t="n"/>
      <c r="E867" s="41" t="n"/>
      <c r="F867" s="41" t="n"/>
      <c r="G867" s="41" t="n"/>
      <c r="H867" s="41" t="n"/>
      <c r="I867" s="41" t="n"/>
      <c r="J867" s="41" t="n"/>
      <c r="K867" s="41" t="n"/>
    </row>
    <row r="868" ht="15.75" customHeight="1" s="60">
      <c r="A868" s="41" t="n"/>
      <c r="B868" s="41" t="n"/>
      <c r="C868" s="41" t="n"/>
      <c r="D868" s="41" t="n"/>
      <c r="E868" s="41" t="n"/>
      <c r="F868" s="41" t="n"/>
      <c r="G868" s="41" t="n"/>
      <c r="H868" s="41" t="n"/>
      <c r="I868" s="41" t="n"/>
      <c r="J868" s="41" t="n"/>
      <c r="K868" s="41" t="n"/>
    </row>
    <row r="869" ht="15.75" customHeight="1" s="60">
      <c r="A869" s="41" t="n"/>
      <c r="B869" s="41" t="n"/>
      <c r="C869" s="41" t="n"/>
      <c r="D869" s="41" t="n"/>
      <c r="E869" s="41" t="n"/>
      <c r="F869" s="41" t="n"/>
      <c r="G869" s="41" t="n"/>
      <c r="H869" s="41" t="n"/>
      <c r="I869" s="41" t="n"/>
      <c r="J869" s="41" t="n"/>
      <c r="K869" s="41" t="n"/>
    </row>
    <row r="870" ht="15.75" customHeight="1" s="60">
      <c r="A870" s="41" t="n"/>
      <c r="B870" s="41" t="n"/>
      <c r="C870" s="41" t="n"/>
      <c r="D870" s="41" t="n"/>
      <c r="E870" s="41" t="n"/>
      <c r="F870" s="41" t="n"/>
      <c r="G870" s="41" t="n"/>
      <c r="H870" s="41" t="n"/>
      <c r="I870" s="41" t="n"/>
      <c r="J870" s="41" t="n"/>
      <c r="K870" s="41" t="n"/>
    </row>
    <row r="871" ht="15.75" customHeight="1" s="60">
      <c r="A871" s="41" t="n"/>
      <c r="B871" s="41" t="n"/>
      <c r="C871" s="41" t="n"/>
      <c r="D871" s="41" t="n"/>
      <c r="E871" s="41" t="n"/>
      <c r="F871" s="41" t="n"/>
      <c r="G871" s="41" t="n"/>
      <c r="H871" s="41" t="n"/>
      <c r="I871" s="41" t="n"/>
      <c r="J871" s="41" t="n"/>
      <c r="K871" s="41" t="n"/>
    </row>
    <row r="872" ht="15.75" customHeight="1" s="60">
      <c r="A872" s="41" t="n"/>
      <c r="B872" s="41" t="n"/>
      <c r="C872" s="41" t="n"/>
      <c r="D872" s="41" t="n"/>
      <c r="E872" s="41" t="n"/>
      <c r="F872" s="41" t="n"/>
      <c r="G872" s="41" t="n"/>
      <c r="H872" s="41" t="n"/>
      <c r="I872" s="41" t="n"/>
      <c r="J872" s="41" t="n"/>
      <c r="K872" s="41" t="n"/>
    </row>
    <row r="873" ht="15.75" customHeight="1" s="60">
      <c r="A873" s="41" t="n"/>
      <c r="B873" s="41" t="n"/>
      <c r="C873" s="41" t="n"/>
      <c r="D873" s="41" t="n"/>
      <c r="E873" s="41" t="n"/>
      <c r="F873" s="41" t="n"/>
      <c r="G873" s="41" t="n"/>
      <c r="H873" s="41" t="n"/>
      <c r="I873" s="41" t="n"/>
      <c r="J873" s="41" t="n"/>
      <c r="K873" s="41" t="n"/>
    </row>
    <row r="874" ht="15.75" customHeight="1" s="60">
      <c r="A874" s="41" t="n"/>
      <c r="B874" s="41" t="n"/>
      <c r="C874" s="41" t="n"/>
      <c r="D874" s="41" t="n"/>
      <c r="E874" s="41" t="n"/>
      <c r="F874" s="41" t="n"/>
      <c r="G874" s="41" t="n"/>
      <c r="H874" s="41" t="n"/>
      <c r="I874" s="41" t="n"/>
      <c r="J874" s="41" t="n"/>
      <c r="K874" s="41" t="n"/>
    </row>
    <row r="875" ht="15.75" customHeight="1" s="60">
      <c r="A875" s="41" t="n"/>
      <c r="B875" s="41" t="n"/>
      <c r="C875" s="41" t="n"/>
      <c r="D875" s="41" t="n"/>
      <c r="E875" s="41" t="n"/>
      <c r="F875" s="41" t="n"/>
      <c r="G875" s="41" t="n"/>
      <c r="H875" s="41" t="n"/>
      <c r="I875" s="41" t="n"/>
      <c r="J875" s="41" t="n"/>
      <c r="K875" s="41" t="n"/>
    </row>
    <row r="876" ht="15.75" customHeight="1" s="60">
      <c r="A876" s="41" t="n"/>
      <c r="B876" s="41" t="n"/>
      <c r="C876" s="41" t="n"/>
      <c r="D876" s="41" t="n"/>
      <c r="E876" s="41" t="n"/>
      <c r="F876" s="41" t="n"/>
      <c r="G876" s="41" t="n"/>
      <c r="H876" s="41" t="n"/>
      <c r="I876" s="41" t="n"/>
      <c r="J876" s="41" t="n"/>
      <c r="K876" s="41" t="n"/>
    </row>
    <row r="877" ht="15.75" customHeight="1" s="60">
      <c r="A877" s="41" t="n"/>
      <c r="B877" s="41" t="n"/>
      <c r="C877" s="41" t="n"/>
      <c r="D877" s="41" t="n"/>
      <c r="E877" s="41" t="n"/>
      <c r="F877" s="41" t="n"/>
      <c r="G877" s="41" t="n"/>
      <c r="H877" s="41" t="n"/>
      <c r="I877" s="41" t="n"/>
      <c r="J877" s="41" t="n"/>
      <c r="K877" s="41" t="n"/>
    </row>
    <row r="878" ht="15.75" customHeight="1" s="60">
      <c r="A878" s="41" t="n"/>
      <c r="B878" s="41" t="n"/>
      <c r="C878" s="41" t="n"/>
      <c r="D878" s="41" t="n"/>
      <c r="E878" s="41" t="n"/>
      <c r="F878" s="41" t="n"/>
      <c r="G878" s="41" t="n"/>
      <c r="H878" s="41" t="n"/>
      <c r="I878" s="41" t="n"/>
      <c r="J878" s="41" t="n"/>
      <c r="K878" s="41" t="n"/>
    </row>
    <row r="879" ht="15.75" customHeight="1" s="60">
      <c r="A879" s="41" t="n"/>
      <c r="B879" s="41" t="n"/>
      <c r="C879" s="41" t="n"/>
      <c r="D879" s="41" t="n"/>
      <c r="E879" s="41" t="n"/>
      <c r="F879" s="41" t="n"/>
      <c r="G879" s="41" t="n"/>
      <c r="H879" s="41" t="n"/>
      <c r="I879" s="41" t="n"/>
      <c r="J879" s="41" t="n"/>
      <c r="K879" s="41" t="n"/>
    </row>
    <row r="880" ht="15.75" customHeight="1" s="60">
      <c r="A880" s="41" t="n"/>
      <c r="B880" s="41" t="n"/>
      <c r="C880" s="41" t="n"/>
      <c r="D880" s="41" t="n"/>
      <c r="E880" s="41" t="n"/>
      <c r="F880" s="41" t="n"/>
      <c r="G880" s="41" t="n"/>
      <c r="H880" s="41" t="n"/>
      <c r="I880" s="41" t="n"/>
      <c r="J880" s="41" t="n"/>
      <c r="K880" s="41" t="n"/>
    </row>
    <row r="881" ht="15.75" customHeight="1" s="60">
      <c r="A881" s="41" t="n"/>
      <c r="B881" s="41" t="n"/>
      <c r="C881" s="41" t="n"/>
      <c r="D881" s="41" t="n"/>
      <c r="E881" s="41" t="n"/>
      <c r="F881" s="41" t="n"/>
      <c r="G881" s="41" t="n"/>
      <c r="H881" s="41" t="n"/>
      <c r="I881" s="41" t="n"/>
      <c r="J881" s="41" t="n"/>
      <c r="K881" s="41" t="n"/>
    </row>
    <row r="882" ht="15.75" customHeight="1" s="60">
      <c r="A882" s="41" t="n"/>
      <c r="B882" s="41" t="n"/>
      <c r="C882" s="41" t="n"/>
      <c r="D882" s="41" t="n"/>
      <c r="E882" s="41" t="n"/>
      <c r="F882" s="41" t="n"/>
      <c r="G882" s="41" t="n"/>
      <c r="H882" s="41" t="n"/>
      <c r="I882" s="41" t="n"/>
      <c r="J882" s="41" t="n"/>
      <c r="K882" s="41" t="n"/>
    </row>
    <row r="883" ht="15.75" customHeight="1" s="60">
      <c r="A883" s="41" t="n"/>
      <c r="B883" s="41" t="n"/>
      <c r="C883" s="41" t="n"/>
      <c r="D883" s="41" t="n"/>
      <c r="E883" s="41" t="n"/>
      <c r="F883" s="41" t="n"/>
      <c r="G883" s="41" t="n"/>
      <c r="H883" s="41" t="n"/>
      <c r="I883" s="41" t="n"/>
      <c r="J883" s="41" t="n"/>
      <c r="K883" s="41" t="n"/>
    </row>
    <row r="884" ht="15.75" customHeight="1" s="60">
      <c r="A884" s="41" t="n"/>
      <c r="B884" s="41" t="n"/>
      <c r="C884" s="41" t="n"/>
      <c r="D884" s="41" t="n"/>
      <c r="E884" s="41" t="n"/>
      <c r="F884" s="41" t="n"/>
      <c r="G884" s="41" t="n"/>
      <c r="H884" s="41" t="n"/>
      <c r="I884" s="41" t="n"/>
      <c r="J884" s="41" t="n"/>
      <c r="K884" s="41" t="n"/>
    </row>
    <row r="885" ht="15.75" customHeight="1" s="60">
      <c r="A885" s="41" t="n"/>
      <c r="B885" s="41" t="n"/>
      <c r="C885" s="41" t="n"/>
      <c r="D885" s="41" t="n"/>
      <c r="E885" s="41" t="n"/>
      <c r="F885" s="41" t="n"/>
      <c r="G885" s="41" t="n"/>
      <c r="H885" s="41" t="n"/>
      <c r="I885" s="41" t="n"/>
      <c r="J885" s="41" t="n"/>
      <c r="K885" s="41" t="n"/>
    </row>
    <row r="886" ht="15.75" customHeight="1" s="60">
      <c r="A886" s="41" t="n"/>
      <c r="B886" s="41" t="n"/>
      <c r="C886" s="41" t="n"/>
      <c r="D886" s="41" t="n"/>
      <c r="E886" s="41" t="n"/>
      <c r="F886" s="41" t="n"/>
      <c r="G886" s="41" t="n"/>
      <c r="H886" s="41" t="n"/>
      <c r="I886" s="41" t="n"/>
      <c r="J886" s="41" t="n"/>
      <c r="K886" s="41" t="n"/>
    </row>
    <row r="887" ht="15.75" customHeight="1" s="60">
      <c r="A887" s="41" t="n"/>
      <c r="B887" s="41" t="n"/>
      <c r="C887" s="41" t="n"/>
      <c r="D887" s="41" t="n"/>
      <c r="E887" s="41" t="n"/>
      <c r="F887" s="41" t="n"/>
      <c r="G887" s="41" t="n"/>
      <c r="H887" s="41" t="n"/>
      <c r="I887" s="41" t="n"/>
      <c r="J887" s="41" t="n"/>
      <c r="K887" s="41" t="n"/>
    </row>
    <row r="888" ht="15.75" customHeight="1" s="60">
      <c r="A888" s="41" t="n"/>
      <c r="B888" s="41" t="n"/>
      <c r="C888" s="41" t="n"/>
      <c r="D888" s="41" t="n"/>
      <c r="E888" s="41" t="n"/>
      <c r="F888" s="41" t="n"/>
      <c r="G888" s="41" t="n"/>
      <c r="H888" s="41" t="n"/>
      <c r="I888" s="41" t="n"/>
      <c r="J888" s="41" t="n"/>
      <c r="K888" s="41" t="n"/>
    </row>
    <row r="889" ht="15.75" customHeight="1" s="60">
      <c r="A889" s="41" t="n"/>
      <c r="B889" s="41" t="n"/>
      <c r="C889" s="41" t="n"/>
      <c r="D889" s="41" t="n"/>
      <c r="E889" s="41" t="n"/>
      <c r="F889" s="41" t="n"/>
      <c r="G889" s="41" t="n"/>
      <c r="H889" s="41" t="n"/>
      <c r="I889" s="41" t="n"/>
      <c r="J889" s="41" t="n"/>
      <c r="K889" s="41" t="n"/>
    </row>
    <row r="890" ht="15.75" customHeight="1" s="60">
      <c r="A890" s="41" t="n"/>
      <c r="B890" s="41" t="n"/>
      <c r="C890" s="41" t="n"/>
      <c r="D890" s="41" t="n"/>
      <c r="E890" s="41" t="n"/>
      <c r="F890" s="41" t="n"/>
      <c r="G890" s="41" t="n"/>
      <c r="H890" s="41" t="n"/>
      <c r="I890" s="41" t="n"/>
      <c r="J890" s="41" t="n"/>
      <c r="K890" s="41" t="n"/>
    </row>
    <row r="891" ht="15.75" customHeight="1" s="60">
      <c r="A891" s="41" t="n"/>
      <c r="B891" s="41" t="n"/>
      <c r="C891" s="41" t="n"/>
      <c r="D891" s="41" t="n"/>
      <c r="E891" s="41" t="n"/>
      <c r="F891" s="41" t="n"/>
      <c r="G891" s="41" t="n"/>
      <c r="H891" s="41" t="n"/>
      <c r="I891" s="41" t="n"/>
      <c r="J891" s="41" t="n"/>
      <c r="K891" s="41" t="n"/>
    </row>
    <row r="892" ht="15.75" customHeight="1" s="60">
      <c r="A892" s="41" t="n"/>
      <c r="B892" s="41" t="n"/>
      <c r="C892" s="41" t="n"/>
      <c r="D892" s="41" t="n"/>
      <c r="E892" s="41" t="n"/>
      <c r="F892" s="41" t="n"/>
      <c r="G892" s="41" t="n"/>
      <c r="H892" s="41" t="n"/>
      <c r="I892" s="41" t="n"/>
      <c r="J892" s="41" t="n"/>
      <c r="K892" s="41" t="n"/>
    </row>
    <row r="893" ht="15.75" customHeight="1" s="60">
      <c r="A893" s="41" t="n"/>
      <c r="B893" s="41" t="n"/>
      <c r="C893" s="41" t="n"/>
      <c r="D893" s="41" t="n"/>
      <c r="E893" s="41" t="n"/>
      <c r="F893" s="41" t="n"/>
      <c r="G893" s="41" t="n"/>
      <c r="H893" s="41" t="n"/>
      <c r="I893" s="41" t="n"/>
      <c r="J893" s="41" t="n"/>
      <c r="K893" s="41" t="n"/>
    </row>
    <row r="894" ht="15.75" customHeight="1" s="60">
      <c r="A894" s="41" t="n"/>
      <c r="B894" s="41" t="n"/>
      <c r="C894" s="41" t="n"/>
      <c r="D894" s="41" t="n"/>
      <c r="E894" s="41" t="n"/>
      <c r="F894" s="41" t="n"/>
      <c r="G894" s="41" t="n"/>
      <c r="H894" s="41" t="n"/>
      <c r="I894" s="41" t="n"/>
      <c r="J894" s="41" t="n"/>
      <c r="K894" s="41" t="n"/>
    </row>
    <row r="895" ht="15.75" customHeight="1" s="60">
      <c r="A895" s="41" t="n"/>
      <c r="B895" s="41" t="n"/>
      <c r="C895" s="41" t="n"/>
      <c r="D895" s="41" t="n"/>
      <c r="E895" s="41" t="n"/>
      <c r="F895" s="41" t="n"/>
      <c r="G895" s="41" t="n"/>
      <c r="H895" s="41" t="n"/>
      <c r="I895" s="41" t="n"/>
      <c r="J895" s="41" t="n"/>
      <c r="K895" s="41" t="n"/>
    </row>
    <row r="896" ht="15.75" customHeight="1" s="60">
      <c r="A896" s="41" t="n"/>
      <c r="B896" s="41" t="n"/>
      <c r="C896" s="41" t="n"/>
      <c r="D896" s="41" t="n"/>
      <c r="E896" s="41" t="n"/>
      <c r="F896" s="41" t="n"/>
      <c r="G896" s="41" t="n"/>
      <c r="H896" s="41" t="n"/>
      <c r="I896" s="41" t="n"/>
      <c r="J896" s="41" t="n"/>
      <c r="K896" s="41" t="n"/>
    </row>
    <row r="897" ht="15.75" customHeight="1" s="60">
      <c r="A897" s="41" t="n"/>
      <c r="B897" s="41" t="n"/>
      <c r="C897" s="41" t="n"/>
      <c r="D897" s="41" t="n"/>
      <c r="E897" s="41" t="n"/>
      <c r="F897" s="41" t="n"/>
      <c r="G897" s="41" t="n"/>
      <c r="H897" s="41" t="n"/>
      <c r="I897" s="41" t="n"/>
      <c r="J897" s="41" t="n"/>
      <c r="K897" s="41" t="n"/>
    </row>
    <row r="898" ht="15.75" customHeight="1" s="60">
      <c r="A898" s="41" t="n"/>
      <c r="B898" s="41" t="n"/>
      <c r="C898" s="41" t="n"/>
      <c r="D898" s="41" t="n"/>
      <c r="E898" s="41" t="n"/>
      <c r="F898" s="41" t="n"/>
      <c r="G898" s="41" t="n"/>
      <c r="H898" s="41" t="n"/>
      <c r="I898" s="41" t="n"/>
      <c r="J898" s="41" t="n"/>
      <c r="K898" s="41" t="n"/>
    </row>
    <row r="899" ht="15.75" customHeight="1" s="60">
      <c r="A899" s="41" t="n"/>
      <c r="B899" s="41" t="n"/>
      <c r="C899" s="41" t="n"/>
      <c r="D899" s="41" t="n"/>
      <c r="E899" s="41" t="n"/>
      <c r="F899" s="41" t="n"/>
      <c r="G899" s="41" t="n"/>
      <c r="H899" s="41" t="n"/>
      <c r="I899" s="41" t="n"/>
      <c r="J899" s="41" t="n"/>
      <c r="K899" s="41" t="n"/>
    </row>
    <row r="900" ht="15.75" customHeight="1" s="60">
      <c r="A900" s="41" t="n"/>
      <c r="B900" s="41" t="n"/>
      <c r="C900" s="41" t="n"/>
      <c r="D900" s="41" t="n"/>
      <c r="E900" s="41" t="n"/>
      <c r="F900" s="41" t="n"/>
      <c r="G900" s="41" t="n"/>
      <c r="H900" s="41" t="n"/>
      <c r="I900" s="41" t="n"/>
      <c r="J900" s="41" t="n"/>
      <c r="K900" s="41" t="n"/>
    </row>
    <row r="901" ht="15.75" customHeight="1" s="60">
      <c r="A901" s="41" t="n"/>
      <c r="B901" s="41" t="n"/>
      <c r="C901" s="41" t="n"/>
      <c r="D901" s="41" t="n"/>
      <c r="E901" s="41" t="n"/>
      <c r="F901" s="41" t="n"/>
      <c r="G901" s="41" t="n"/>
      <c r="H901" s="41" t="n"/>
      <c r="I901" s="41" t="n"/>
      <c r="J901" s="41" t="n"/>
      <c r="K901" s="41" t="n"/>
    </row>
    <row r="902" ht="15.75" customHeight="1" s="60">
      <c r="A902" s="41" t="n"/>
      <c r="B902" s="41" t="n"/>
      <c r="C902" s="41" t="n"/>
      <c r="D902" s="41" t="n"/>
      <c r="E902" s="41" t="n"/>
      <c r="F902" s="41" t="n"/>
      <c r="G902" s="41" t="n"/>
      <c r="H902" s="41" t="n"/>
      <c r="I902" s="41" t="n"/>
      <c r="J902" s="41" t="n"/>
      <c r="K902" s="41" t="n"/>
    </row>
    <row r="903" ht="15.75" customHeight="1" s="60">
      <c r="A903" s="41" t="n"/>
      <c r="B903" s="41" t="n"/>
      <c r="C903" s="41" t="n"/>
      <c r="D903" s="41" t="n"/>
      <c r="E903" s="41" t="n"/>
      <c r="F903" s="41" t="n"/>
      <c r="G903" s="41" t="n"/>
      <c r="H903" s="41" t="n"/>
      <c r="I903" s="41" t="n"/>
      <c r="J903" s="41" t="n"/>
      <c r="K903" s="41" t="n"/>
    </row>
    <row r="904" ht="15.75" customHeight="1" s="60">
      <c r="A904" s="41" t="n"/>
      <c r="B904" s="41" t="n"/>
      <c r="C904" s="41" t="n"/>
      <c r="D904" s="41" t="n"/>
      <c r="E904" s="41" t="n"/>
      <c r="F904" s="41" t="n"/>
      <c r="G904" s="41" t="n"/>
      <c r="H904" s="41" t="n"/>
      <c r="I904" s="41" t="n"/>
      <c r="J904" s="41" t="n"/>
      <c r="K904" s="41" t="n"/>
    </row>
    <row r="905" ht="15.75" customHeight="1" s="60">
      <c r="A905" s="41" t="n"/>
      <c r="B905" s="41" t="n"/>
      <c r="C905" s="41" t="n"/>
      <c r="D905" s="41" t="n"/>
      <c r="E905" s="41" t="n"/>
      <c r="F905" s="41" t="n"/>
      <c r="G905" s="41" t="n"/>
      <c r="H905" s="41" t="n"/>
      <c r="I905" s="41" t="n"/>
      <c r="J905" s="41" t="n"/>
      <c r="K905" s="41" t="n"/>
    </row>
    <row r="906" ht="15.75" customHeight="1" s="60">
      <c r="A906" s="41" t="n"/>
      <c r="B906" s="41" t="n"/>
      <c r="C906" s="41" t="n"/>
      <c r="D906" s="41" t="n"/>
      <c r="E906" s="41" t="n"/>
      <c r="F906" s="41" t="n"/>
      <c r="G906" s="41" t="n"/>
      <c r="H906" s="41" t="n"/>
      <c r="I906" s="41" t="n"/>
      <c r="J906" s="41" t="n"/>
      <c r="K906" s="41" t="n"/>
    </row>
    <row r="907" ht="15.75" customHeight="1" s="60">
      <c r="A907" s="41" t="n"/>
      <c r="B907" s="41" t="n"/>
      <c r="C907" s="41" t="n"/>
      <c r="D907" s="41" t="n"/>
      <c r="E907" s="41" t="n"/>
      <c r="F907" s="41" t="n"/>
      <c r="G907" s="41" t="n"/>
      <c r="H907" s="41" t="n"/>
      <c r="I907" s="41" t="n"/>
      <c r="J907" s="41" t="n"/>
      <c r="K907" s="41" t="n"/>
    </row>
    <row r="908" ht="15.75" customHeight="1" s="60">
      <c r="A908" s="41" t="n"/>
      <c r="B908" s="41" t="n"/>
      <c r="C908" s="41" t="n"/>
      <c r="D908" s="41" t="n"/>
      <c r="E908" s="41" t="n"/>
      <c r="F908" s="41" t="n"/>
      <c r="G908" s="41" t="n"/>
      <c r="H908" s="41" t="n"/>
      <c r="I908" s="41" t="n"/>
      <c r="J908" s="41" t="n"/>
      <c r="K908" s="41" t="n"/>
    </row>
    <row r="909" ht="15.75" customHeight="1" s="60">
      <c r="A909" s="41" t="n"/>
      <c r="B909" s="41" t="n"/>
      <c r="C909" s="41" t="n"/>
      <c r="D909" s="41" t="n"/>
      <c r="E909" s="41" t="n"/>
      <c r="F909" s="41" t="n"/>
      <c r="G909" s="41" t="n"/>
      <c r="H909" s="41" t="n"/>
      <c r="I909" s="41" t="n"/>
      <c r="J909" s="41" t="n"/>
      <c r="K909" s="41" t="n"/>
    </row>
    <row r="910" ht="15.75" customHeight="1" s="60">
      <c r="A910" s="41" t="n"/>
      <c r="B910" s="41" t="n"/>
      <c r="C910" s="41" t="n"/>
      <c r="D910" s="41" t="n"/>
      <c r="E910" s="41" t="n"/>
      <c r="F910" s="41" t="n"/>
      <c r="G910" s="41" t="n"/>
      <c r="H910" s="41" t="n"/>
      <c r="I910" s="41" t="n"/>
      <c r="J910" s="41" t="n"/>
      <c r="K910" s="41" t="n"/>
    </row>
    <row r="911" ht="15.75" customHeight="1" s="60">
      <c r="A911" s="41" t="n"/>
      <c r="B911" s="41" t="n"/>
      <c r="C911" s="41" t="n"/>
      <c r="D911" s="41" t="n"/>
      <c r="E911" s="41" t="n"/>
      <c r="F911" s="41" t="n"/>
      <c r="G911" s="41" t="n"/>
      <c r="H911" s="41" t="n"/>
      <c r="I911" s="41" t="n"/>
      <c r="J911" s="41" t="n"/>
      <c r="K911" s="41" t="n"/>
    </row>
    <row r="912" ht="15.75" customHeight="1" s="60">
      <c r="A912" s="41" t="n"/>
      <c r="B912" s="41" t="n"/>
      <c r="C912" s="41" t="n"/>
      <c r="D912" s="41" t="n"/>
      <c r="E912" s="41" t="n"/>
      <c r="F912" s="41" t="n"/>
      <c r="G912" s="41" t="n"/>
      <c r="H912" s="41" t="n"/>
      <c r="I912" s="41" t="n"/>
      <c r="J912" s="41" t="n"/>
      <c r="K912" s="41" t="n"/>
    </row>
    <row r="913" ht="15.75" customHeight="1" s="60">
      <c r="A913" s="41" t="n"/>
      <c r="B913" s="41" t="n"/>
      <c r="C913" s="41" t="n"/>
      <c r="D913" s="41" t="n"/>
      <c r="E913" s="41" t="n"/>
      <c r="F913" s="41" t="n"/>
      <c r="G913" s="41" t="n"/>
      <c r="H913" s="41" t="n"/>
      <c r="I913" s="41" t="n"/>
      <c r="J913" s="41" t="n"/>
      <c r="K913" s="41" t="n"/>
    </row>
    <row r="914" ht="15.75" customHeight="1" s="60">
      <c r="A914" s="41" t="n"/>
      <c r="B914" s="41" t="n"/>
      <c r="C914" s="41" t="n"/>
      <c r="D914" s="41" t="n"/>
      <c r="E914" s="41" t="n"/>
      <c r="F914" s="41" t="n"/>
      <c r="G914" s="41" t="n"/>
      <c r="H914" s="41" t="n"/>
      <c r="I914" s="41" t="n"/>
      <c r="J914" s="41" t="n"/>
      <c r="K914" s="41" t="n"/>
    </row>
    <row r="915" ht="15.75" customHeight="1" s="60">
      <c r="A915" s="41" t="n"/>
      <c r="B915" s="41" t="n"/>
      <c r="C915" s="41" t="n"/>
      <c r="D915" s="41" t="n"/>
      <c r="E915" s="41" t="n"/>
      <c r="F915" s="41" t="n"/>
      <c r="G915" s="41" t="n"/>
      <c r="H915" s="41" t="n"/>
      <c r="I915" s="41" t="n"/>
      <c r="J915" s="41" t="n"/>
      <c r="K915" s="41" t="n"/>
    </row>
    <row r="916" ht="15.75" customHeight="1" s="60">
      <c r="A916" s="41" t="n"/>
      <c r="B916" s="41" t="n"/>
      <c r="C916" s="41" t="n"/>
      <c r="D916" s="41" t="n"/>
      <c r="E916" s="41" t="n"/>
      <c r="F916" s="41" t="n"/>
      <c r="G916" s="41" t="n"/>
      <c r="H916" s="41" t="n"/>
      <c r="I916" s="41" t="n"/>
      <c r="J916" s="41" t="n"/>
      <c r="K916" s="41" t="n"/>
    </row>
    <row r="917" ht="15.75" customHeight="1" s="60">
      <c r="A917" s="41" t="n"/>
      <c r="B917" s="41" t="n"/>
      <c r="C917" s="41" t="n"/>
      <c r="D917" s="41" t="n"/>
      <c r="E917" s="41" t="n"/>
      <c r="F917" s="41" t="n"/>
      <c r="G917" s="41" t="n"/>
      <c r="H917" s="41" t="n"/>
      <c r="I917" s="41" t="n"/>
      <c r="J917" s="41" t="n"/>
      <c r="K917" s="41" t="n"/>
    </row>
    <row r="918" ht="15.75" customHeight="1" s="60">
      <c r="A918" s="41" t="n"/>
      <c r="B918" s="41" t="n"/>
      <c r="C918" s="41" t="n"/>
      <c r="D918" s="41" t="n"/>
      <c r="E918" s="41" t="n"/>
      <c r="F918" s="41" t="n"/>
      <c r="G918" s="41" t="n"/>
      <c r="H918" s="41" t="n"/>
      <c r="I918" s="41" t="n"/>
      <c r="J918" s="41" t="n"/>
      <c r="K918" s="41" t="n"/>
    </row>
    <row r="919" ht="15.75" customHeight="1" s="60">
      <c r="A919" s="41" t="n"/>
      <c r="B919" s="41" t="n"/>
      <c r="C919" s="41" t="n"/>
      <c r="D919" s="41" t="n"/>
      <c r="E919" s="41" t="n"/>
      <c r="F919" s="41" t="n"/>
      <c r="G919" s="41" t="n"/>
      <c r="H919" s="41" t="n"/>
      <c r="I919" s="41" t="n"/>
      <c r="J919" s="41" t="n"/>
      <c r="K919" s="41" t="n"/>
    </row>
    <row r="920" ht="15.75" customHeight="1" s="60">
      <c r="A920" s="41" t="n"/>
      <c r="B920" s="41" t="n"/>
      <c r="C920" s="41" t="n"/>
      <c r="D920" s="41" t="n"/>
      <c r="E920" s="41" t="n"/>
      <c r="F920" s="41" t="n"/>
      <c r="G920" s="41" t="n"/>
      <c r="H920" s="41" t="n"/>
      <c r="I920" s="41" t="n"/>
      <c r="J920" s="41" t="n"/>
      <c r="K920" s="41" t="n"/>
    </row>
    <row r="921" ht="15.75" customHeight="1" s="60">
      <c r="A921" s="41" t="n"/>
      <c r="B921" s="41" t="n"/>
      <c r="C921" s="41" t="n"/>
      <c r="D921" s="41" t="n"/>
      <c r="E921" s="41" t="n"/>
      <c r="F921" s="41" t="n"/>
      <c r="G921" s="41" t="n"/>
      <c r="H921" s="41" t="n"/>
      <c r="I921" s="41" t="n"/>
      <c r="J921" s="41" t="n"/>
      <c r="K921" s="41" t="n"/>
    </row>
    <row r="922" ht="15.75" customHeight="1" s="60">
      <c r="A922" s="41" t="n"/>
      <c r="B922" s="41" t="n"/>
      <c r="C922" s="41" t="n"/>
      <c r="D922" s="41" t="n"/>
      <c r="E922" s="41" t="n"/>
      <c r="F922" s="41" t="n"/>
      <c r="G922" s="41" t="n"/>
      <c r="H922" s="41" t="n"/>
      <c r="I922" s="41" t="n"/>
      <c r="J922" s="41" t="n"/>
      <c r="K922" s="41" t="n"/>
    </row>
    <row r="923" ht="15.75" customHeight="1" s="60">
      <c r="A923" s="41" t="n"/>
      <c r="B923" s="41" t="n"/>
      <c r="C923" s="41" t="n"/>
      <c r="D923" s="41" t="n"/>
      <c r="E923" s="41" t="n"/>
      <c r="F923" s="41" t="n"/>
      <c r="G923" s="41" t="n"/>
      <c r="H923" s="41" t="n"/>
      <c r="I923" s="41" t="n"/>
      <c r="J923" s="41" t="n"/>
      <c r="K923" s="41" t="n"/>
    </row>
    <row r="924" ht="15.75" customHeight="1" s="60">
      <c r="A924" s="41" t="n"/>
      <c r="B924" s="41" t="n"/>
      <c r="C924" s="41" t="n"/>
      <c r="D924" s="41" t="n"/>
      <c r="E924" s="41" t="n"/>
      <c r="F924" s="41" t="n"/>
      <c r="G924" s="41" t="n"/>
      <c r="H924" s="41" t="n"/>
      <c r="I924" s="41" t="n"/>
      <c r="J924" s="41" t="n"/>
      <c r="K924" s="41" t="n"/>
    </row>
    <row r="925" ht="15.75" customHeight="1" s="60">
      <c r="A925" s="41" t="n"/>
      <c r="B925" s="41" t="n"/>
      <c r="C925" s="41" t="n"/>
      <c r="D925" s="41" t="n"/>
      <c r="E925" s="41" t="n"/>
      <c r="F925" s="41" t="n"/>
      <c r="G925" s="41" t="n"/>
      <c r="H925" s="41" t="n"/>
      <c r="I925" s="41" t="n"/>
      <c r="J925" s="41" t="n"/>
      <c r="K925" s="41" t="n"/>
    </row>
    <row r="926" ht="15.75" customHeight="1" s="60">
      <c r="A926" s="41" t="n"/>
      <c r="B926" s="41" t="n"/>
      <c r="C926" s="41" t="n"/>
      <c r="D926" s="41" t="n"/>
      <c r="E926" s="41" t="n"/>
      <c r="F926" s="41" t="n"/>
      <c r="G926" s="41" t="n"/>
      <c r="H926" s="41" t="n"/>
      <c r="I926" s="41" t="n"/>
      <c r="J926" s="41" t="n"/>
      <c r="K926" s="41" t="n"/>
    </row>
    <row r="927" ht="15.75" customHeight="1" s="60">
      <c r="A927" s="41" t="n"/>
      <c r="B927" s="41" t="n"/>
      <c r="C927" s="41" t="n"/>
      <c r="D927" s="41" t="n"/>
      <c r="E927" s="41" t="n"/>
      <c r="F927" s="41" t="n"/>
      <c r="G927" s="41" t="n"/>
      <c r="H927" s="41" t="n"/>
      <c r="I927" s="41" t="n"/>
      <c r="J927" s="41" t="n"/>
      <c r="K927" s="41" t="n"/>
    </row>
    <row r="928" ht="15.75" customHeight="1" s="60">
      <c r="A928" s="41" t="n"/>
      <c r="B928" s="41" t="n"/>
      <c r="C928" s="41" t="n"/>
      <c r="D928" s="41" t="n"/>
      <c r="E928" s="41" t="n"/>
      <c r="F928" s="41" t="n"/>
      <c r="G928" s="41" t="n"/>
      <c r="H928" s="41" t="n"/>
      <c r="I928" s="41" t="n"/>
      <c r="J928" s="41" t="n"/>
      <c r="K928" s="41" t="n"/>
    </row>
    <row r="929" ht="15.75" customHeight="1" s="60">
      <c r="A929" s="41" t="n"/>
      <c r="B929" s="41" t="n"/>
      <c r="C929" s="41" t="n"/>
      <c r="D929" s="41" t="n"/>
      <c r="E929" s="41" t="n"/>
      <c r="F929" s="41" t="n"/>
      <c r="G929" s="41" t="n"/>
      <c r="H929" s="41" t="n"/>
      <c r="I929" s="41" t="n"/>
      <c r="J929" s="41" t="n"/>
      <c r="K929" s="41" t="n"/>
    </row>
    <row r="930" ht="15.75" customHeight="1" s="60">
      <c r="A930" s="41" t="n"/>
      <c r="B930" s="41" t="n"/>
      <c r="C930" s="41" t="n"/>
      <c r="D930" s="41" t="n"/>
      <c r="E930" s="41" t="n"/>
      <c r="F930" s="41" t="n"/>
      <c r="G930" s="41" t="n"/>
      <c r="H930" s="41" t="n"/>
      <c r="I930" s="41" t="n"/>
      <c r="J930" s="41" t="n"/>
      <c r="K930" s="41" t="n"/>
    </row>
    <row r="931" ht="15.75" customHeight="1" s="60">
      <c r="A931" s="41" t="n"/>
      <c r="B931" s="41" t="n"/>
      <c r="C931" s="41" t="n"/>
      <c r="D931" s="41" t="n"/>
      <c r="E931" s="41" t="n"/>
      <c r="F931" s="41" t="n"/>
      <c r="G931" s="41" t="n"/>
      <c r="H931" s="41" t="n"/>
      <c r="I931" s="41" t="n"/>
      <c r="J931" s="41" t="n"/>
      <c r="K931" s="41" t="n"/>
    </row>
    <row r="932" ht="15.75" customHeight="1" s="60">
      <c r="A932" s="41" t="n"/>
      <c r="B932" s="41" t="n"/>
      <c r="C932" s="41" t="n"/>
      <c r="D932" s="41" t="n"/>
      <c r="E932" s="41" t="n"/>
      <c r="F932" s="41" t="n"/>
      <c r="G932" s="41" t="n"/>
      <c r="H932" s="41" t="n"/>
      <c r="I932" s="41" t="n"/>
      <c r="J932" s="41" t="n"/>
      <c r="K932" s="41" t="n"/>
    </row>
    <row r="933" ht="15.75" customHeight="1" s="60">
      <c r="A933" s="41" t="n"/>
      <c r="B933" s="41" t="n"/>
      <c r="C933" s="41" t="n"/>
      <c r="D933" s="41" t="n"/>
      <c r="E933" s="41" t="n"/>
      <c r="F933" s="41" t="n"/>
      <c r="G933" s="41" t="n"/>
      <c r="H933" s="41" t="n"/>
      <c r="I933" s="41" t="n"/>
      <c r="J933" s="41" t="n"/>
      <c r="K933" s="41" t="n"/>
    </row>
    <row r="934" ht="15.75" customHeight="1" s="60">
      <c r="A934" s="41" t="n"/>
      <c r="B934" s="41" t="n"/>
      <c r="C934" s="41" t="n"/>
      <c r="D934" s="41" t="n"/>
      <c r="E934" s="41" t="n"/>
      <c r="F934" s="41" t="n"/>
      <c r="G934" s="41" t="n"/>
      <c r="H934" s="41" t="n"/>
      <c r="I934" s="41" t="n"/>
      <c r="J934" s="41" t="n"/>
      <c r="K934" s="41" t="n"/>
    </row>
    <row r="935" ht="15.75" customHeight="1" s="60">
      <c r="A935" s="41" t="n"/>
      <c r="B935" s="41" t="n"/>
      <c r="C935" s="41" t="n"/>
      <c r="D935" s="41" t="n"/>
      <c r="E935" s="41" t="n"/>
      <c r="F935" s="41" t="n"/>
      <c r="G935" s="41" t="n"/>
      <c r="H935" s="41" t="n"/>
      <c r="I935" s="41" t="n"/>
      <c r="J935" s="41" t="n"/>
      <c r="K935" s="41" t="n"/>
    </row>
    <row r="936" ht="15.75" customHeight="1" s="60">
      <c r="A936" s="41" t="n"/>
      <c r="B936" s="41" t="n"/>
      <c r="C936" s="41" t="n"/>
      <c r="D936" s="41" t="n"/>
      <c r="E936" s="41" t="n"/>
      <c r="F936" s="41" t="n"/>
      <c r="G936" s="41" t="n"/>
      <c r="H936" s="41" t="n"/>
      <c r="I936" s="41" t="n"/>
      <c r="J936" s="41" t="n"/>
      <c r="K936" s="41" t="n"/>
    </row>
    <row r="937" ht="15.75" customHeight="1" s="60">
      <c r="A937" s="41" t="n"/>
      <c r="B937" s="41" t="n"/>
      <c r="C937" s="41" t="n"/>
      <c r="D937" s="41" t="n"/>
      <c r="E937" s="41" t="n"/>
      <c r="F937" s="41" t="n"/>
      <c r="G937" s="41" t="n"/>
      <c r="H937" s="41" t="n"/>
      <c r="I937" s="41" t="n"/>
      <c r="J937" s="41" t="n"/>
      <c r="K937" s="41" t="n"/>
    </row>
    <row r="938" ht="15.75" customHeight="1" s="60">
      <c r="A938" s="41" t="n"/>
      <c r="B938" s="41" t="n"/>
      <c r="C938" s="41" t="n"/>
      <c r="D938" s="41" t="n"/>
      <c r="E938" s="41" t="n"/>
      <c r="F938" s="41" t="n"/>
      <c r="G938" s="41" t="n"/>
      <c r="H938" s="41" t="n"/>
      <c r="I938" s="41" t="n"/>
      <c r="J938" s="41" t="n"/>
      <c r="K938" s="41" t="n"/>
    </row>
    <row r="939" ht="15.75" customHeight="1" s="60">
      <c r="A939" s="41" t="n"/>
      <c r="B939" s="41" t="n"/>
      <c r="C939" s="41" t="n"/>
      <c r="D939" s="41" t="n"/>
      <c r="E939" s="41" t="n"/>
      <c r="F939" s="41" t="n"/>
      <c r="G939" s="41" t="n"/>
      <c r="H939" s="41" t="n"/>
      <c r="I939" s="41" t="n"/>
      <c r="J939" s="41" t="n"/>
      <c r="K939" s="41" t="n"/>
    </row>
    <row r="940" ht="15.75" customHeight="1" s="60">
      <c r="A940" s="41" t="n"/>
      <c r="B940" s="41" t="n"/>
      <c r="C940" s="41" t="n"/>
      <c r="D940" s="41" t="n"/>
      <c r="E940" s="41" t="n"/>
      <c r="F940" s="41" t="n"/>
      <c r="G940" s="41" t="n"/>
      <c r="H940" s="41" t="n"/>
      <c r="I940" s="41" t="n"/>
      <c r="J940" s="41" t="n"/>
      <c r="K940" s="41" t="n"/>
    </row>
    <row r="941" ht="15.75" customHeight="1" s="60">
      <c r="A941" s="41" t="n"/>
      <c r="B941" s="41" t="n"/>
      <c r="C941" s="41" t="n"/>
      <c r="D941" s="41" t="n"/>
      <c r="E941" s="41" t="n"/>
      <c r="F941" s="41" t="n"/>
      <c r="G941" s="41" t="n"/>
      <c r="H941" s="41" t="n"/>
      <c r="I941" s="41" t="n"/>
      <c r="J941" s="41" t="n"/>
      <c r="K941" s="41" t="n"/>
    </row>
    <row r="942" ht="15.75" customHeight="1" s="60">
      <c r="A942" s="41" t="n"/>
      <c r="B942" s="41" t="n"/>
      <c r="C942" s="41" t="n"/>
      <c r="D942" s="41" t="n"/>
      <c r="E942" s="41" t="n"/>
      <c r="F942" s="41" t="n"/>
      <c r="G942" s="41" t="n"/>
      <c r="H942" s="41" t="n"/>
      <c r="I942" s="41" t="n"/>
      <c r="J942" s="41" t="n"/>
      <c r="K942" s="41" t="n"/>
    </row>
    <row r="943" ht="15.75" customHeight="1" s="60">
      <c r="A943" s="41" t="n"/>
      <c r="B943" s="41" t="n"/>
      <c r="C943" s="41" t="n"/>
      <c r="D943" s="41" t="n"/>
      <c r="E943" s="41" t="n"/>
      <c r="F943" s="41" t="n"/>
      <c r="G943" s="41" t="n"/>
      <c r="H943" s="41" t="n"/>
      <c r="I943" s="41" t="n"/>
      <c r="J943" s="41" t="n"/>
      <c r="K943" s="41" t="n"/>
    </row>
    <row r="944" ht="15.75" customHeight="1" s="60">
      <c r="A944" s="41" t="n"/>
      <c r="B944" s="41" t="n"/>
      <c r="C944" s="41" t="n"/>
      <c r="D944" s="41" t="n"/>
      <c r="E944" s="41" t="n"/>
      <c r="F944" s="41" t="n"/>
      <c r="G944" s="41" t="n"/>
      <c r="H944" s="41" t="n"/>
      <c r="I944" s="41" t="n"/>
      <c r="J944" s="41" t="n"/>
      <c r="K944" s="41" t="n"/>
    </row>
    <row r="945" ht="15.75" customHeight="1" s="60">
      <c r="A945" s="41" t="n"/>
      <c r="B945" s="41" t="n"/>
      <c r="C945" s="41" t="n"/>
      <c r="D945" s="41" t="n"/>
      <c r="E945" s="41" t="n"/>
      <c r="F945" s="41" t="n"/>
      <c r="G945" s="41" t="n"/>
      <c r="H945" s="41" t="n"/>
      <c r="I945" s="41" t="n"/>
      <c r="J945" s="41" t="n"/>
      <c r="K945" s="41" t="n"/>
    </row>
    <row r="946" ht="15.75" customHeight="1" s="60">
      <c r="A946" s="41" t="n"/>
      <c r="B946" s="41" t="n"/>
      <c r="C946" s="41" t="n"/>
      <c r="D946" s="41" t="n"/>
      <c r="E946" s="41" t="n"/>
      <c r="F946" s="41" t="n"/>
      <c r="G946" s="41" t="n"/>
      <c r="H946" s="41" t="n"/>
      <c r="I946" s="41" t="n"/>
      <c r="J946" s="41" t="n"/>
      <c r="K946" s="41" t="n"/>
    </row>
    <row r="947" ht="15.75" customHeight="1" s="60">
      <c r="A947" s="41" t="n"/>
      <c r="B947" s="41" t="n"/>
      <c r="C947" s="41" t="n"/>
      <c r="D947" s="41" t="n"/>
      <c r="E947" s="41" t="n"/>
      <c r="F947" s="41" t="n"/>
      <c r="G947" s="41" t="n"/>
      <c r="H947" s="41" t="n"/>
      <c r="I947" s="41" t="n"/>
      <c r="J947" s="41" t="n"/>
      <c r="K947" s="41" t="n"/>
    </row>
    <row r="948" ht="15.75" customHeight="1" s="60">
      <c r="A948" s="41" t="n"/>
      <c r="B948" s="41" t="n"/>
      <c r="C948" s="41" t="n"/>
      <c r="D948" s="41" t="n"/>
      <c r="E948" s="41" t="n"/>
      <c r="F948" s="41" t="n"/>
      <c r="G948" s="41" t="n"/>
      <c r="H948" s="41" t="n"/>
      <c r="I948" s="41" t="n"/>
      <c r="J948" s="41" t="n"/>
      <c r="K948" s="41" t="n"/>
    </row>
    <row r="949" ht="15.75" customHeight="1" s="60">
      <c r="A949" s="41" t="n"/>
      <c r="B949" s="41" t="n"/>
      <c r="C949" s="41" t="n"/>
      <c r="D949" s="41" t="n"/>
      <c r="E949" s="41" t="n"/>
      <c r="F949" s="41" t="n"/>
      <c r="G949" s="41" t="n"/>
      <c r="H949" s="41" t="n"/>
      <c r="I949" s="41" t="n"/>
      <c r="J949" s="41" t="n"/>
      <c r="K949" s="41" t="n"/>
    </row>
    <row r="950" ht="15.75" customHeight="1" s="60">
      <c r="A950" s="41" t="n"/>
      <c r="B950" s="41" t="n"/>
      <c r="C950" s="41" t="n"/>
      <c r="D950" s="41" t="n"/>
      <c r="E950" s="41" t="n"/>
      <c r="F950" s="41" t="n"/>
      <c r="G950" s="41" t="n"/>
      <c r="H950" s="41" t="n"/>
      <c r="I950" s="41" t="n"/>
      <c r="J950" s="41" t="n"/>
      <c r="K950" s="41" t="n"/>
    </row>
    <row r="951" ht="15.75" customHeight="1" s="60">
      <c r="A951" s="41" t="n"/>
      <c r="B951" s="41" t="n"/>
      <c r="C951" s="41" t="n"/>
      <c r="D951" s="41" t="n"/>
      <c r="E951" s="41" t="n"/>
      <c r="F951" s="41" t="n"/>
      <c r="G951" s="41" t="n"/>
      <c r="H951" s="41" t="n"/>
      <c r="I951" s="41" t="n"/>
      <c r="J951" s="41" t="n"/>
      <c r="K951" s="41" t="n"/>
    </row>
    <row r="952" ht="15.75" customHeight="1" s="60">
      <c r="A952" s="41" t="n"/>
      <c r="B952" s="41" t="n"/>
      <c r="C952" s="41" t="n"/>
      <c r="D952" s="41" t="n"/>
      <c r="E952" s="41" t="n"/>
      <c r="F952" s="41" t="n"/>
      <c r="G952" s="41" t="n"/>
      <c r="H952" s="41" t="n"/>
      <c r="I952" s="41" t="n"/>
      <c r="J952" s="41" t="n"/>
      <c r="K952" s="41" t="n"/>
    </row>
    <row r="953" ht="15.75" customHeight="1" s="60">
      <c r="A953" s="41" t="n"/>
      <c r="B953" s="41" t="n"/>
      <c r="C953" s="41" t="n"/>
      <c r="D953" s="41" t="n"/>
      <c r="E953" s="41" t="n"/>
      <c r="F953" s="41" t="n"/>
      <c r="G953" s="41" t="n"/>
      <c r="H953" s="41" t="n"/>
      <c r="I953" s="41" t="n"/>
      <c r="J953" s="41" t="n"/>
      <c r="K953" s="41" t="n"/>
    </row>
    <row r="954" ht="15.75" customHeight="1" s="60">
      <c r="A954" s="41" t="n"/>
      <c r="B954" s="41" t="n"/>
      <c r="C954" s="41" t="n"/>
      <c r="D954" s="41" t="n"/>
      <c r="E954" s="41" t="n"/>
      <c r="F954" s="41" t="n"/>
      <c r="G954" s="41" t="n"/>
      <c r="H954" s="41" t="n"/>
      <c r="I954" s="41" t="n"/>
      <c r="J954" s="41" t="n"/>
      <c r="K954" s="41" t="n"/>
    </row>
    <row r="955" ht="15.75" customHeight="1" s="60">
      <c r="A955" s="41" t="n"/>
      <c r="B955" s="41" t="n"/>
      <c r="C955" s="41" t="n"/>
      <c r="D955" s="41" t="n"/>
      <c r="E955" s="41" t="n"/>
      <c r="F955" s="41" t="n"/>
      <c r="G955" s="41" t="n"/>
      <c r="H955" s="41" t="n"/>
      <c r="I955" s="41" t="n"/>
      <c r="J955" s="41" t="n"/>
      <c r="K955" s="41" t="n"/>
    </row>
    <row r="956" ht="15.75" customHeight="1" s="60">
      <c r="A956" s="41" t="n"/>
      <c r="B956" s="41" t="n"/>
      <c r="C956" s="41" t="n"/>
      <c r="D956" s="41" t="n"/>
      <c r="E956" s="41" t="n"/>
      <c r="F956" s="41" t="n"/>
      <c r="G956" s="41" t="n"/>
      <c r="H956" s="41" t="n"/>
      <c r="I956" s="41" t="n"/>
      <c r="J956" s="41" t="n"/>
      <c r="K956" s="41" t="n"/>
    </row>
    <row r="957" ht="15.75" customHeight="1" s="60">
      <c r="A957" s="41" t="n"/>
      <c r="B957" s="41" t="n"/>
      <c r="C957" s="41" t="n"/>
      <c r="D957" s="41" t="n"/>
      <c r="E957" s="41" t="n"/>
      <c r="F957" s="41" t="n"/>
      <c r="G957" s="41" t="n"/>
      <c r="H957" s="41" t="n"/>
      <c r="I957" s="41" t="n"/>
      <c r="J957" s="41" t="n"/>
      <c r="K957" s="41" t="n"/>
    </row>
    <row r="958" ht="15.75" customHeight="1" s="60">
      <c r="A958" s="41" t="n"/>
      <c r="B958" s="41" t="n"/>
      <c r="C958" s="41" t="n"/>
      <c r="D958" s="41" t="n"/>
      <c r="E958" s="41" t="n"/>
      <c r="F958" s="41" t="n"/>
      <c r="G958" s="41" t="n"/>
      <c r="H958" s="41" t="n"/>
      <c r="I958" s="41" t="n"/>
      <c r="J958" s="41" t="n"/>
      <c r="K958" s="41" t="n"/>
    </row>
    <row r="959" ht="15.75" customHeight="1" s="60">
      <c r="A959" s="41" t="n"/>
      <c r="B959" s="41" t="n"/>
      <c r="C959" s="41" t="n"/>
      <c r="D959" s="41" t="n"/>
      <c r="E959" s="41" t="n"/>
      <c r="F959" s="41" t="n"/>
      <c r="G959" s="41" t="n"/>
      <c r="H959" s="41" t="n"/>
      <c r="I959" s="41" t="n"/>
      <c r="J959" s="41" t="n"/>
      <c r="K959" s="41" t="n"/>
    </row>
    <row r="960" ht="15.75" customHeight="1" s="60">
      <c r="A960" s="41" t="n"/>
      <c r="B960" s="41" t="n"/>
      <c r="C960" s="41" t="n"/>
      <c r="D960" s="41" t="n"/>
      <c r="E960" s="41" t="n"/>
      <c r="F960" s="41" t="n"/>
      <c r="G960" s="41" t="n"/>
      <c r="H960" s="41" t="n"/>
      <c r="I960" s="41" t="n"/>
      <c r="J960" s="41" t="n"/>
      <c r="K960" s="41" t="n"/>
    </row>
    <row r="961" ht="15.75" customHeight="1" s="60">
      <c r="A961" s="41" t="n"/>
      <c r="B961" s="41" t="n"/>
      <c r="C961" s="41" t="n"/>
      <c r="D961" s="41" t="n"/>
      <c r="E961" s="41" t="n"/>
      <c r="F961" s="41" t="n"/>
      <c r="G961" s="41" t="n"/>
      <c r="H961" s="41" t="n"/>
      <c r="I961" s="41" t="n"/>
      <c r="J961" s="41" t="n"/>
      <c r="K961" s="41" t="n"/>
    </row>
    <row r="962" ht="15.75" customHeight="1" s="60">
      <c r="A962" s="41" t="n"/>
      <c r="B962" s="41" t="n"/>
      <c r="C962" s="41" t="n"/>
      <c r="D962" s="41" t="n"/>
      <c r="E962" s="41" t="n"/>
      <c r="F962" s="41" t="n"/>
      <c r="G962" s="41" t="n"/>
      <c r="H962" s="41" t="n"/>
      <c r="I962" s="41" t="n"/>
      <c r="J962" s="41" t="n"/>
      <c r="K962" s="41" t="n"/>
    </row>
    <row r="963" ht="15.75" customHeight="1" s="60">
      <c r="A963" s="41" t="n"/>
      <c r="B963" s="41" t="n"/>
      <c r="C963" s="41" t="n"/>
      <c r="D963" s="41" t="n"/>
      <c r="E963" s="41" t="n"/>
      <c r="F963" s="41" t="n"/>
      <c r="G963" s="41" t="n"/>
      <c r="H963" s="41" t="n"/>
      <c r="I963" s="41" t="n"/>
      <c r="J963" s="41" t="n"/>
      <c r="K963" s="41" t="n"/>
    </row>
    <row r="964" ht="15.75" customHeight="1" s="60">
      <c r="A964" s="41" t="n"/>
      <c r="B964" s="41" t="n"/>
      <c r="C964" s="41" t="n"/>
      <c r="D964" s="41" t="n"/>
      <c r="E964" s="41" t="n"/>
      <c r="F964" s="41" t="n"/>
      <c r="G964" s="41" t="n"/>
      <c r="H964" s="41" t="n"/>
      <c r="I964" s="41" t="n"/>
      <c r="J964" s="41" t="n"/>
      <c r="K964" s="41" t="n"/>
    </row>
    <row r="965" ht="15.75" customHeight="1" s="60">
      <c r="A965" s="41" t="n"/>
      <c r="B965" s="41" t="n"/>
      <c r="C965" s="41" t="n"/>
      <c r="D965" s="41" t="n"/>
      <c r="E965" s="41" t="n"/>
      <c r="F965" s="41" t="n"/>
      <c r="G965" s="41" t="n"/>
      <c r="H965" s="41" t="n"/>
      <c r="I965" s="41" t="n"/>
      <c r="J965" s="41" t="n"/>
      <c r="K965" s="41" t="n"/>
    </row>
    <row r="966" ht="15.75" customHeight="1" s="60">
      <c r="A966" s="41" t="n"/>
      <c r="B966" s="41" t="n"/>
      <c r="C966" s="41" t="n"/>
      <c r="D966" s="41" t="n"/>
      <c r="E966" s="41" t="n"/>
      <c r="F966" s="41" t="n"/>
      <c r="G966" s="41" t="n"/>
      <c r="H966" s="41" t="n"/>
      <c r="I966" s="41" t="n"/>
      <c r="J966" s="41" t="n"/>
      <c r="K966" s="41" t="n"/>
    </row>
    <row r="967" ht="15.75" customHeight="1" s="60">
      <c r="A967" s="41" t="n"/>
      <c r="B967" s="41" t="n"/>
      <c r="C967" s="41" t="n"/>
      <c r="D967" s="41" t="n"/>
      <c r="E967" s="41" t="n"/>
      <c r="F967" s="41" t="n"/>
      <c r="G967" s="41" t="n"/>
      <c r="H967" s="41" t="n"/>
      <c r="I967" s="41" t="n"/>
      <c r="J967" s="41" t="n"/>
      <c r="K967" s="41" t="n"/>
    </row>
    <row r="968" ht="15.75" customHeight="1" s="60">
      <c r="A968" s="41" t="n"/>
      <c r="B968" s="41" t="n"/>
      <c r="C968" s="41" t="n"/>
      <c r="D968" s="41" t="n"/>
      <c r="E968" s="41" t="n"/>
      <c r="F968" s="41" t="n"/>
      <c r="G968" s="41" t="n"/>
      <c r="H968" s="41" t="n"/>
      <c r="I968" s="41" t="n"/>
      <c r="J968" s="41" t="n"/>
      <c r="K968" s="41" t="n"/>
    </row>
    <row r="969" ht="15.75" customHeight="1" s="60">
      <c r="A969" s="41" t="n"/>
      <c r="B969" s="41" t="n"/>
      <c r="C969" s="41" t="n"/>
      <c r="D969" s="41" t="n"/>
      <c r="E969" s="41" t="n"/>
      <c r="F969" s="41" t="n"/>
      <c r="G969" s="41" t="n"/>
      <c r="H969" s="41" t="n"/>
      <c r="I969" s="41" t="n"/>
      <c r="J969" s="41" t="n"/>
      <c r="K969" s="41" t="n"/>
    </row>
    <row r="970" ht="15.75" customHeight="1" s="60">
      <c r="A970" s="41" t="n"/>
      <c r="B970" s="41" t="n"/>
      <c r="C970" s="41" t="n"/>
      <c r="D970" s="41" t="n"/>
      <c r="E970" s="41" t="n"/>
      <c r="F970" s="41" t="n"/>
      <c r="G970" s="41" t="n"/>
      <c r="H970" s="41" t="n"/>
      <c r="I970" s="41" t="n"/>
      <c r="J970" s="41" t="n"/>
      <c r="K970" s="41" t="n"/>
    </row>
    <row r="971" ht="15.75" customHeight="1" s="60">
      <c r="A971" s="41" t="n"/>
      <c r="B971" s="41" t="n"/>
      <c r="C971" s="41" t="n"/>
      <c r="D971" s="41" t="n"/>
      <c r="E971" s="41" t="n"/>
      <c r="F971" s="41" t="n"/>
      <c r="G971" s="41" t="n"/>
      <c r="H971" s="41" t="n"/>
      <c r="I971" s="41" t="n"/>
      <c r="J971" s="41" t="n"/>
      <c r="K971" s="41" t="n"/>
    </row>
    <row r="972" ht="15.75" customHeight="1" s="60">
      <c r="A972" s="41" t="n"/>
      <c r="B972" s="41" t="n"/>
      <c r="C972" s="41" t="n"/>
      <c r="D972" s="41" t="n"/>
      <c r="E972" s="41" t="n"/>
      <c r="F972" s="41" t="n"/>
      <c r="G972" s="41" t="n"/>
      <c r="H972" s="41" t="n"/>
      <c r="I972" s="41" t="n"/>
      <c r="J972" s="41" t="n"/>
      <c r="K972" s="41" t="n"/>
    </row>
    <row r="973" ht="15.75" customHeight="1" s="60">
      <c r="A973" s="41" t="n"/>
      <c r="B973" s="41" t="n"/>
      <c r="C973" s="41" t="n"/>
      <c r="D973" s="41" t="n"/>
      <c r="E973" s="41" t="n"/>
      <c r="F973" s="41" t="n"/>
      <c r="G973" s="41" t="n"/>
      <c r="H973" s="41" t="n"/>
      <c r="I973" s="41" t="n"/>
      <c r="J973" s="41" t="n"/>
      <c r="K973" s="41" t="n"/>
    </row>
    <row r="974" ht="15.75" customHeight="1" s="60">
      <c r="A974" s="41" t="n"/>
      <c r="B974" s="41" t="n"/>
      <c r="C974" s="41" t="n"/>
      <c r="D974" s="41" t="n"/>
      <c r="E974" s="41" t="n"/>
      <c r="F974" s="41" t="n"/>
      <c r="G974" s="41" t="n"/>
      <c r="H974" s="41" t="n"/>
      <c r="I974" s="41" t="n"/>
      <c r="J974" s="41" t="n"/>
      <c r="K974" s="41" t="n"/>
    </row>
    <row r="975" ht="15.75" customHeight="1" s="60">
      <c r="A975" s="41" t="n"/>
      <c r="B975" s="41" t="n"/>
      <c r="C975" s="41" t="n"/>
      <c r="D975" s="41" t="n"/>
      <c r="E975" s="41" t="n"/>
      <c r="F975" s="41" t="n"/>
      <c r="G975" s="41" t="n"/>
      <c r="H975" s="41" t="n"/>
      <c r="I975" s="41" t="n"/>
      <c r="J975" s="41" t="n"/>
      <c r="K975" s="41" t="n"/>
    </row>
    <row r="976" ht="15.75" customHeight="1" s="60">
      <c r="A976" s="41" t="n"/>
      <c r="B976" s="41" t="n"/>
      <c r="C976" s="41" t="n"/>
      <c r="D976" s="41" t="n"/>
      <c r="E976" s="41" t="n"/>
      <c r="F976" s="41" t="n"/>
      <c r="G976" s="41" t="n"/>
      <c r="H976" s="41" t="n"/>
      <c r="I976" s="41" t="n"/>
      <c r="J976" s="41" t="n"/>
      <c r="K976" s="41" t="n"/>
    </row>
    <row r="977" ht="15.75" customHeight="1" s="60">
      <c r="A977" s="41" t="n"/>
      <c r="B977" s="41" t="n"/>
      <c r="C977" s="41" t="n"/>
      <c r="D977" s="41" t="n"/>
      <c r="E977" s="41" t="n"/>
      <c r="F977" s="41" t="n"/>
      <c r="G977" s="41" t="n"/>
      <c r="H977" s="41" t="n"/>
      <c r="I977" s="41" t="n"/>
      <c r="J977" s="41" t="n"/>
      <c r="K977" s="41" t="n"/>
    </row>
    <row r="978" ht="15.75" customHeight="1" s="60">
      <c r="A978" s="41" t="n"/>
      <c r="B978" s="41" t="n"/>
      <c r="C978" s="41" t="n"/>
      <c r="D978" s="41" t="n"/>
      <c r="E978" s="41" t="n"/>
      <c r="F978" s="41" t="n"/>
      <c r="G978" s="41" t="n"/>
      <c r="H978" s="41" t="n"/>
      <c r="I978" s="41" t="n"/>
      <c r="J978" s="41" t="n"/>
      <c r="K978" s="41" t="n"/>
    </row>
    <row r="979" ht="15.75" customHeight="1" s="60">
      <c r="A979" s="41" t="n"/>
      <c r="B979" s="41" t="n"/>
      <c r="C979" s="41" t="n"/>
      <c r="D979" s="41" t="n"/>
      <c r="E979" s="41" t="n"/>
      <c r="F979" s="41" t="n"/>
      <c r="G979" s="41" t="n"/>
      <c r="H979" s="41" t="n"/>
      <c r="I979" s="41" t="n"/>
      <c r="J979" s="41" t="n"/>
      <c r="K979" s="41" t="n"/>
    </row>
    <row r="980" ht="15.75" customHeight="1" s="60">
      <c r="A980" s="41" t="n"/>
      <c r="B980" s="41" t="n"/>
      <c r="C980" s="41" t="n"/>
      <c r="D980" s="41" t="n"/>
      <c r="E980" s="41" t="n"/>
      <c r="F980" s="41" t="n"/>
      <c r="G980" s="41" t="n"/>
      <c r="H980" s="41" t="n"/>
      <c r="I980" s="41" t="n"/>
      <c r="J980" s="41" t="n"/>
      <c r="K980" s="41" t="n"/>
    </row>
    <row r="981" ht="15.75" customHeight="1" s="60">
      <c r="A981" s="41" t="n"/>
      <c r="B981" s="41" t="n"/>
      <c r="C981" s="41" t="n"/>
      <c r="D981" s="41" t="n"/>
      <c r="E981" s="41" t="n"/>
      <c r="F981" s="41" t="n"/>
      <c r="G981" s="41" t="n"/>
      <c r="H981" s="41" t="n"/>
      <c r="I981" s="41" t="n"/>
      <c r="J981" s="41" t="n"/>
      <c r="K981" s="41" t="n"/>
    </row>
    <row r="982" ht="15.75" customHeight="1" s="60">
      <c r="A982" s="41" t="n"/>
      <c r="B982" s="41" t="n"/>
      <c r="C982" s="41" t="n"/>
      <c r="D982" s="41" t="n"/>
      <c r="E982" s="41" t="n"/>
      <c r="F982" s="41" t="n"/>
      <c r="G982" s="41" t="n"/>
      <c r="H982" s="41" t="n"/>
      <c r="I982" s="41" t="n"/>
      <c r="J982" s="41" t="n"/>
      <c r="K982" s="41" t="n"/>
    </row>
    <row r="983" ht="15.75" customHeight="1" s="60">
      <c r="A983" s="41" t="n"/>
      <c r="B983" s="41" t="n"/>
      <c r="C983" s="41" t="n"/>
      <c r="D983" s="41" t="n"/>
      <c r="E983" s="41" t="n"/>
      <c r="F983" s="41" t="n"/>
      <c r="G983" s="41" t="n"/>
      <c r="H983" s="41" t="n"/>
      <c r="I983" s="41" t="n"/>
      <c r="J983" s="41" t="n"/>
      <c r="K983" s="41" t="n"/>
    </row>
    <row r="984" ht="15.75" customHeight="1" s="60">
      <c r="A984" s="41" t="n"/>
      <c r="B984" s="41" t="n"/>
      <c r="C984" s="41" t="n"/>
      <c r="D984" s="41" t="n"/>
      <c r="E984" s="41" t="n"/>
      <c r="F984" s="41" t="n"/>
      <c r="G984" s="41" t="n"/>
      <c r="H984" s="41" t="n"/>
      <c r="I984" s="41" t="n"/>
      <c r="J984" s="41" t="n"/>
      <c r="K984" s="41" t="n"/>
    </row>
    <row r="985" ht="15.75" customHeight="1" s="60">
      <c r="A985" s="41" t="n"/>
      <c r="B985" s="41" t="n"/>
      <c r="C985" s="41" t="n"/>
      <c r="D985" s="41" t="n"/>
      <c r="E985" s="41" t="n"/>
      <c r="F985" s="41" t="n"/>
      <c r="G985" s="41" t="n"/>
      <c r="H985" s="41" t="n"/>
      <c r="I985" s="41" t="n"/>
      <c r="J985" s="41" t="n"/>
      <c r="K985" s="41" t="n"/>
    </row>
    <row r="986" ht="15.75" customHeight="1" s="60">
      <c r="A986" s="41" t="n"/>
      <c r="B986" s="41" t="n"/>
      <c r="C986" s="41" t="n"/>
      <c r="D986" s="41" t="n"/>
      <c r="E986" s="41" t="n"/>
      <c r="F986" s="41" t="n"/>
      <c r="G986" s="41" t="n"/>
      <c r="H986" s="41" t="n"/>
      <c r="I986" s="41" t="n"/>
      <c r="J986" s="41" t="n"/>
      <c r="K986" s="41" t="n"/>
    </row>
    <row r="987" ht="15.75" customHeight="1" s="60">
      <c r="A987" s="41" t="n"/>
      <c r="B987" s="41" t="n"/>
      <c r="C987" s="41" t="n"/>
      <c r="D987" s="41" t="n"/>
      <c r="E987" s="41" t="n"/>
      <c r="F987" s="41" t="n"/>
      <c r="G987" s="41" t="n"/>
      <c r="H987" s="41" t="n"/>
      <c r="I987" s="41" t="n"/>
      <c r="J987" s="41" t="n"/>
      <c r="K987" s="41" t="n"/>
    </row>
    <row r="988" ht="15.75" customHeight="1" s="60">
      <c r="A988" s="41" t="n"/>
      <c r="B988" s="41" t="n"/>
      <c r="C988" s="41" t="n"/>
      <c r="D988" s="41" t="n"/>
      <c r="E988" s="41" t="n"/>
      <c r="F988" s="41" t="n"/>
      <c r="G988" s="41" t="n"/>
      <c r="H988" s="41" t="n"/>
      <c r="I988" s="41" t="n"/>
      <c r="J988" s="41" t="n"/>
      <c r="K988" s="41" t="n"/>
    </row>
    <row r="989" ht="15.75" customHeight="1" s="60">
      <c r="A989" s="41" t="n"/>
      <c r="B989" s="41" t="n"/>
      <c r="C989" s="41" t="n"/>
      <c r="D989" s="41" t="n"/>
      <c r="E989" s="41" t="n"/>
      <c r="F989" s="41" t="n"/>
      <c r="G989" s="41" t="n"/>
      <c r="H989" s="41" t="n"/>
      <c r="I989" s="41" t="n"/>
      <c r="J989" s="41" t="n"/>
      <c r="K989" s="41" t="n"/>
    </row>
    <row r="990" ht="15.75" customHeight="1" s="60">
      <c r="A990" s="41" t="n"/>
      <c r="B990" s="41" t="n"/>
      <c r="C990" s="41" t="n"/>
      <c r="D990" s="41" t="n"/>
      <c r="E990" s="41" t="n"/>
      <c r="F990" s="41" t="n"/>
      <c r="G990" s="41" t="n"/>
      <c r="H990" s="41" t="n"/>
      <c r="I990" s="41" t="n"/>
      <c r="J990" s="41" t="n"/>
      <c r="K990" s="41" t="n"/>
    </row>
    <row r="991" ht="15.75" customHeight="1" s="60">
      <c r="A991" s="41" t="n"/>
      <c r="B991" s="41" t="n"/>
      <c r="C991" s="41" t="n"/>
      <c r="D991" s="41" t="n"/>
      <c r="E991" s="41" t="n"/>
      <c r="F991" s="41" t="n"/>
      <c r="G991" s="41" t="n"/>
      <c r="H991" s="41" t="n"/>
      <c r="I991" s="41" t="n"/>
      <c r="J991" s="41" t="n"/>
      <c r="K991" s="41" t="n"/>
    </row>
    <row r="992" ht="15.75" customHeight="1" s="60">
      <c r="A992" s="41" t="n"/>
      <c r="B992" s="41" t="n"/>
      <c r="C992" s="41" t="n"/>
      <c r="D992" s="41" t="n"/>
      <c r="E992" s="41" t="n"/>
      <c r="F992" s="41" t="n"/>
      <c r="G992" s="41" t="n"/>
      <c r="H992" s="41" t="n"/>
      <c r="I992" s="41" t="n"/>
      <c r="J992" s="41" t="n"/>
      <c r="K992" s="41" t="n"/>
    </row>
    <row r="993" ht="15.75" customHeight="1" s="60">
      <c r="A993" s="41" t="n"/>
      <c r="B993" s="41" t="n"/>
      <c r="C993" s="41" t="n"/>
      <c r="D993" s="41" t="n"/>
      <c r="E993" s="41" t="n"/>
      <c r="F993" s="41" t="n"/>
      <c r="G993" s="41" t="n"/>
      <c r="H993" s="41" t="n"/>
      <c r="I993" s="41" t="n"/>
      <c r="J993" s="41" t="n"/>
      <c r="K993" s="41" t="n"/>
    </row>
    <row r="994" ht="15.75" customHeight="1" s="60">
      <c r="A994" s="41" t="n"/>
      <c r="B994" s="41" t="n"/>
      <c r="C994" s="41" t="n"/>
      <c r="D994" s="41" t="n"/>
      <c r="E994" s="41" t="n"/>
      <c r="F994" s="41" t="n"/>
      <c r="G994" s="41" t="n"/>
      <c r="H994" s="41" t="n"/>
      <c r="I994" s="41" t="n"/>
      <c r="J994" s="41" t="n"/>
      <c r="K994" s="41" t="n"/>
    </row>
    <row r="995" ht="15.75" customHeight="1" s="60">
      <c r="A995" s="41" t="n"/>
      <c r="B995" s="41" t="n"/>
      <c r="C995" s="41" t="n"/>
      <c r="D995" s="41" t="n"/>
      <c r="E995" s="41" t="n"/>
      <c r="F995" s="41" t="n"/>
      <c r="G995" s="41" t="n"/>
      <c r="H995" s="41" t="n"/>
      <c r="I995" s="41" t="n"/>
      <c r="J995" s="41" t="n"/>
      <c r="K995" s="41" t="n"/>
    </row>
    <row r="996" ht="15.75" customHeight="1" s="60">
      <c r="A996" s="41" t="n"/>
      <c r="B996" s="41" t="n"/>
      <c r="C996" s="41" t="n"/>
      <c r="D996" s="41" t="n"/>
      <c r="E996" s="41" t="n"/>
      <c r="F996" s="41" t="n"/>
      <c r="G996" s="41" t="n"/>
      <c r="H996" s="41" t="n"/>
      <c r="I996" s="41" t="n"/>
      <c r="J996" s="41" t="n"/>
      <c r="K996" s="41" t="n"/>
    </row>
    <row r="997" ht="15.75" customHeight="1" s="60">
      <c r="A997" s="41" t="n"/>
      <c r="B997" s="41" t="n"/>
      <c r="C997" s="41" t="n"/>
      <c r="D997" s="41" t="n"/>
      <c r="E997" s="41" t="n"/>
      <c r="F997" s="41" t="n"/>
      <c r="G997" s="41" t="n"/>
      <c r="H997" s="41" t="n"/>
      <c r="I997" s="41" t="n"/>
      <c r="J997" s="41" t="n"/>
      <c r="K997" s="41" t="n"/>
    </row>
    <row r="998" ht="15.75" customHeight="1" s="60">
      <c r="A998" s="41" t="n"/>
      <c r="B998" s="41" t="n"/>
      <c r="C998" s="41" t="n"/>
      <c r="D998" s="41" t="n"/>
      <c r="E998" s="41" t="n"/>
      <c r="F998" s="41" t="n"/>
      <c r="G998" s="41" t="n"/>
      <c r="H998" s="41" t="n"/>
      <c r="I998" s="41" t="n"/>
      <c r="J998" s="41" t="n"/>
      <c r="K998" s="41" t="n"/>
    </row>
    <row r="999" ht="15.75" customHeight="1" s="60">
      <c r="A999" s="41" t="n"/>
      <c r="B999" s="41" t="n"/>
      <c r="C999" s="41" t="n"/>
      <c r="D999" s="41" t="n"/>
      <c r="E999" s="41" t="n"/>
      <c r="F999" s="41" t="n"/>
      <c r="G999" s="41" t="n"/>
      <c r="H999" s="41" t="n"/>
      <c r="I999" s="41" t="n"/>
      <c r="J999" s="41" t="n"/>
      <c r="K999" s="41" t="n"/>
    </row>
    <row r="1000" ht="15.75" customHeight="1" s="60">
      <c r="A1000" s="41" t="n"/>
      <c r="B1000" s="41" t="n"/>
      <c r="C1000" s="41" t="n"/>
      <c r="D1000" s="41" t="n"/>
      <c r="E1000" s="41" t="n"/>
      <c r="F1000" s="41" t="n"/>
      <c r="G1000" s="41" t="n"/>
      <c r="H1000" s="41" t="n"/>
      <c r="I1000" s="41" t="n"/>
      <c r="J1000" s="41" t="n"/>
      <c r="K1000" s="41" t="n"/>
    </row>
  </sheetData>
  <dataValidations count="2">
    <dataValidation sqref="G5:G54" showDropDown="0" showInputMessage="0" showErrorMessage="0" allowBlank="1" type="list">
      <formula1>"Garis Lurus,Baki Berkurangan"</formula1>
    </dataValidation>
    <dataValidation sqref="B5:B54" showDropDown="0" showInputMessage="0" showErrorMessage="0" allowBlank="1" type="list">
      <formula1>"Tanah,Bangunan,Kenderaan,Komputer &amp; IT,Loji &amp; Peralatan,Lain-lain"</formula1>
    </dataValidation>
  </dataValidations>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14" customWidth="1" style="60" min="1" max="1"/>
    <col width="12" customWidth="1" style="60" min="2" max="2"/>
    <col width="34" customWidth="1" style="60" min="3" max="3"/>
    <col width="16" customWidth="1" style="60" min="4" max="4"/>
    <col width="12" customWidth="1" style="60" min="5" max="6"/>
    <col width="30" customWidth="1" style="60" min="7" max="7"/>
    <col width="8.710000000000001" customWidth="1" style="60" min="8" max="26"/>
  </cols>
  <sheetData>
    <row r="1" ht="17.25" customHeight="1" s="60">
      <c r="A1" s="1" t="inlineStr">
        <is>
          <t>TRANSAKSI (TRANSACTION HEADERS)</t>
        </is>
      </c>
      <c r="B1" s="41" t="n"/>
      <c r="C1" s="41" t="n"/>
      <c r="D1" s="41" t="n"/>
      <c r="E1" s="41" t="n"/>
      <c r="F1" s="41" t="n"/>
      <c r="G1" s="41" t="n"/>
    </row>
    <row r="2" ht="15" customHeight="1" s="60">
      <c r="A2" s="5" t="inlineStr">
        <is>
          <t>Satu baris = satu transaksi/resit/PV. Baris di bawah adalah CONTOH sahaja.</t>
        </is>
      </c>
      <c r="B2" s="41" t="n"/>
      <c r="C2" s="41" t="n"/>
      <c r="D2" s="41" t="n"/>
      <c r="E2" s="41" t="n"/>
      <c r="F2" s="41" t="n"/>
      <c r="G2" s="41" t="n"/>
    </row>
    <row r="3" ht="15" customHeight="1" s="60">
      <c r="A3" s="29" t="inlineStr">
        <is>
          <t>SEMUA BARIS DI BAWAH INI IALAH CONTOH - PADAM SEBELUM GUNA SEBENAR</t>
        </is>
      </c>
      <c r="B3" s="41" t="n"/>
      <c r="C3" s="41" t="n"/>
      <c r="D3" s="41" t="n"/>
      <c r="E3" s="41" t="n"/>
      <c r="F3" s="41" t="n"/>
      <c r="G3" s="41" t="n"/>
    </row>
    <row r="4" ht="27.75" customHeight="1" s="60">
      <c r="A4" s="7" t="inlineStr">
        <is>
          <t>ID Transaksi</t>
        </is>
      </c>
      <c r="B4" s="7" t="inlineStr">
        <is>
          <t>Tarikh</t>
        </is>
      </c>
      <c r="C4" s="7" t="inlineStr">
        <is>
          <t>Perkara</t>
        </is>
      </c>
      <c r="D4" s="7" t="inlineStr">
        <is>
          <t>No. PV / Rujukan</t>
        </is>
      </c>
      <c r="E4" s="7" t="inlineStr">
        <is>
          <t>Kaedah</t>
        </is>
      </c>
      <c r="F4" s="7" t="inlineStr">
        <is>
          <t>Status</t>
        </is>
      </c>
      <c r="G4" s="7" t="inlineStr">
        <is>
          <t>URL Resit / Baucar</t>
        </is>
      </c>
    </row>
    <row r="5" ht="15" customHeight="1" s="60">
      <c r="A5" s="38" t="inlineStr">
        <is>
          <t>CONTOH-0000</t>
        </is>
      </c>
      <c r="B5" s="38" t="inlineStr">
        <is>
          <t>2026-01-01</t>
        </is>
      </c>
      <c r="C5" s="38" t="inlineStr">
        <is>
          <t>Baki pembukaan tahun kewangan 2026</t>
        </is>
      </c>
      <c r="D5" s="38" t="inlineStr">
        <is>
          <t>BA-2026</t>
        </is>
      </c>
      <c r="E5" s="38" t="inlineStr">
        <is>
          <t>Bank</t>
        </is>
      </c>
      <c r="F5" s="38" t="inlineStr">
        <is>
          <t>Disahkan</t>
        </is>
      </c>
      <c r="G5" s="38" t="n"/>
    </row>
    <row r="6" ht="15" customHeight="1" s="60">
      <c r="A6" s="38" t="inlineStr">
        <is>
          <t>CONTOH-0001</t>
        </is>
      </c>
      <c r="B6" s="38" t="inlineStr">
        <is>
          <t>2026-01-15</t>
        </is>
      </c>
      <c r="C6" s="38" t="inlineStr">
        <is>
          <t>Fi masuk ahli baharu</t>
        </is>
      </c>
      <c r="D6" s="38" t="inlineStr">
        <is>
          <t>PV-0001</t>
        </is>
      </c>
      <c r="E6" s="38" t="inlineStr">
        <is>
          <t>Tunai</t>
        </is>
      </c>
      <c r="F6" s="38" t="inlineStr">
        <is>
          <t>Disahkan</t>
        </is>
      </c>
      <c r="G6" s="38" t="n"/>
    </row>
    <row r="7" ht="15" customHeight="1" s="60">
      <c r="A7" s="38" t="inlineStr">
        <is>
          <t>CONTOH-0002</t>
        </is>
      </c>
      <c r="B7" s="38" t="inlineStr">
        <is>
          <t>2026-01-20</t>
        </is>
      </c>
      <c r="C7" s="38" t="inlineStr">
        <is>
          <t>Bayaran sewa pejabat Januari</t>
        </is>
      </c>
      <c r="D7" s="38" t="inlineStr">
        <is>
          <t>PV-0002</t>
        </is>
      </c>
      <c r="E7" s="38" t="inlineStr">
        <is>
          <t>Bank</t>
        </is>
      </c>
      <c r="F7" s="38" t="inlineStr">
        <is>
          <t>Disahkan</t>
        </is>
      </c>
      <c r="G7" s="38" t="n"/>
    </row>
    <row r="8" ht="15" customHeight="1" s="60">
      <c r="A8" s="38" t="inlineStr">
        <is>
          <t>CONTOH-0003</t>
        </is>
      </c>
      <c r="B8" s="38" t="inlineStr">
        <is>
          <t>2026-01-25</t>
        </is>
      </c>
      <c r="C8" s="38" t="inlineStr">
        <is>
          <t>Faedah/Hibah bank atas baki bulan Januari</t>
        </is>
      </c>
      <c r="D8" s="38" t="inlineStr">
        <is>
          <t>PV-0003</t>
        </is>
      </c>
      <c r="E8" s="38" t="inlineStr">
        <is>
          <t>Bank</t>
        </is>
      </c>
      <c r="F8" s="38" t="inlineStr">
        <is>
          <t>Disahkan</t>
        </is>
      </c>
      <c r="G8" s="38" t="n"/>
    </row>
    <row r="9" ht="15" customHeight="1" s="60">
      <c r="A9" s="38" t="inlineStr">
        <is>
          <t>CONTOH-0004</t>
        </is>
      </c>
      <c r="B9" s="38" t="inlineStr">
        <is>
          <t>2026-01-28</t>
        </is>
      </c>
      <c r="C9" s="38" t="inlineStr">
        <is>
          <t>Kontra: pindah tunai ke bank</t>
        </is>
      </c>
      <c r="D9" s="38" t="inlineStr">
        <is>
          <t>PV-0004</t>
        </is>
      </c>
      <c r="E9" s="38" t="inlineStr">
        <is>
          <t>Bank</t>
        </is>
      </c>
      <c r="F9" s="38" t="inlineStr">
        <is>
          <t>Disahkan</t>
        </is>
      </c>
      <c r="G9" s="38" t="n"/>
    </row>
    <row r="10">
      <c r="A10" s="41" t="inlineStr">
        <is>
          <t>T-0000</t>
        </is>
      </c>
      <c r="B10" s="31" t="n">
        <v>46280</v>
      </c>
      <c r="C10" s="41" t="inlineStr">
        <is>
          <t>Bank</t>
        </is>
      </c>
      <c r="D10" s="41" t="inlineStr">
        <is>
          <t>dfds</t>
        </is>
      </c>
      <c r="E10" s="41" t="inlineStr">
        <is>
          <t>Online</t>
        </is>
      </c>
      <c r="F10" s="41" t="inlineStr">
        <is>
          <t>Disahkan</t>
        </is>
      </c>
      <c r="G10" s="41" t="n"/>
    </row>
    <row r="11">
      <c r="A11" s="41" t="inlineStr">
        <is>
          <t>T-0001</t>
        </is>
      </c>
      <c r="B11" s="31" t="n">
        <v>46280</v>
      </c>
      <c r="C11" s="41" t="inlineStr">
        <is>
          <t>Kontra / Pindahan</t>
        </is>
      </c>
      <c r="D11" s="41" t="n">
        <v>43</v>
      </c>
      <c r="E11" s="41" t="inlineStr">
        <is>
          <t>Kontra</t>
        </is>
      </c>
      <c r="F11" s="41" t="inlineStr">
        <is>
          <t>Disahkan</t>
        </is>
      </c>
      <c r="G11" s="41" t="n"/>
    </row>
    <row r="12">
      <c r="A12" s="41" t="n"/>
      <c r="B12" s="41" t="n"/>
      <c r="C12" s="41" t="n"/>
      <c r="D12" s="41" t="n"/>
      <c r="E12" s="41" t="n"/>
      <c r="F12" s="41" t="n"/>
      <c r="G12" s="41" t="n"/>
    </row>
    <row r="13">
      <c r="A13" s="41" t="n"/>
      <c r="B13" s="41" t="n"/>
      <c r="C13" s="41" t="n"/>
      <c r="D13" s="41" t="n"/>
      <c r="E13" s="41" t="n"/>
      <c r="F13" s="41" t="n"/>
      <c r="G13" s="41" t="n"/>
    </row>
    <row r="14">
      <c r="A14" s="41" t="n"/>
      <c r="B14" s="41" t="n"/>
      <c r="C14" s="41" t="n"/>
      <c r="D14" s="41" t="n"/>
      <c r="E14" s="41" t="n"/>
      <c r="F14" s="41" t="n"/>
      <c r="G14" s="41" t="n"/>
    </row>
    <row r="15">
      <c r="A15" s="41" t="n"/>
      <c r="B15" s="41" t="n"/>
      <c r="C15" s="41" t="n"/>
      <c r="D15" s="41" t="n"/>
      <c r="E15" s="41" t="n"/>
      <c r="F15" s="41" t="n"/>
      <c r="G15" s="41" t="n"/>
    </row>
    <row r="16">
      <c r="A16" s="41" t="n"/>
      <c r="B16" s="41" t="n"/>
      <c r="C16" s="41" t="n"/>
      <c r="D16" s="41" t="n"/>
      <c r="E16" s="41" t="n"/>
      <c r="F16" s="41" t="n"/>
      <c r="G16" s="41" t="n"/>
    </row>
    <row r="17">
      <c r="A17" s="41" t="n"/>
      <c r="B17" s="41" t="n"/>
      <c r="C17" s="41" t="n"/>
      <c r="D17" s="41" t="n"/>
      <c r="E17" s="41" t="n"/>
      <c r="F17" s="41" t="n"/>
      <c r="G17" s="41" t="n"/>
    </row>
    <row r="18">
      <c r="A18" s="41" t="n"/>
      <c r="B18" s="41" t="n"/>
      <c r="C18" s="41" t="n"/>
      <c r="D18" s="41" t="n"/>
      <c r="E18" s="41" t="n"/>
      <c r="F18" s="41" t="n"/>
      <c r="G18" s="41" t="n"/>
    </row>
    <row r="19">
      <c r="A19" s="41" t="n"/>
      <c r="B19" s="41" t="n"/>
      <c r="C19" s="41" t="n"/>
      <c r="D19" s="41" t="n"/>
      <c r="E19" s="41" t="n"/>
      <c r="F19" s="41" t="n"/>
      <c r="G19" s="41" t="n"/>
    </row>
    <row r="20">
      <c r="A20" s="41" t="n"/>
      <c r="B20" s="41" t="n"/>
      <c r="C20" s="41" t="n"/>
      <c r="D20" s="41" t="n"/>
      <c r="E20" s="41" t="n"/>
      <c r="F20" s="41" t="n"/>
      <c r="G20" s="41" t="n"/>
    </row>
    <row r="21" ht="15.75" customHeight="1" s="60">
      <c r="A21" s="41" t="n"/>
      <c r="B21" s="41" t="n"/>
      <c r="C21" s="41" t="n"/>
      <c r="D21" s="41" t="n"/>
      <c r="E21" s="41" t="n"/>
      <c r="F21" s="41" t="n"/>
      <c r="G21" s="41" t="n"/>
    </row>
    <row r="22" ht="15.75" customHeight="1" s="60">
      <c r="A22" s="41" t="n"/>
      <c r="B22" s="41" t="n"/>
      <c r="C22" s="41" t="n"/>
      <c r="D22" s="41" t="n"/>
      <c r="E22" s="41" t="n"/>
      <c r="F22" s="41" t="n"/>
      <c r="G22" s="41" t="n"/>
    </row>
    <row r="23" ht="15.75" customHeight="1" s="60">
      <c r="A23" s="41" t="n"/>
      <c r="B23" s="41" t="n"/>
      <c r="C23" s="41" t="n"/>
      <c r="D23" s="41" t="n"/>
      <c r="E23" s="41" t="n"/>
      <c r="F23" s="41" t="n"/>
      <c r="G23" s="41" t="n"/>
    </row>
    <row r="24" ht="15.75" customHeight="1" s="60">
      <c r="A24" s="41" t="n"/>
      <c r="B24" s="41" t="n"/>
      <c r="C24" s="41" t="n"/>
      <c r="D24" s="41" t="n"/>
      <c r="E24" s="41" t="n"/>
      <c r="F24" s="41" t="n"/>
      <c r="G24" s="41" t="n"/>
    </row>
    <row r="25" ht="15.75" customHeight="1" s="60">
      <c r="A25" s="41" t="n"/>
      <c r="B25" s="41" t="n"/>
      <c r="C25" s="41" t="n"/>
      <c r="D25" s="41" t="n"/>
      <c r="E25" s="41" t="n"/>
      <c r="F25" s="41" t="n"/>
      <c r="G25" s="41" t="n"/>
    </row>
    <row r="26" ht="15.75" customHeight="1" s="60">
      <c r="A26" s="41" t="n"/>
      <c r="B26" s="41" t="n"/>
      <c r="C26" s="41" t="n"/>
      <c r="D26" s="41" t="n"/>
      <c r="E26" s="41" t="n"/>
      <c r="F26" s="41" t="n"/>
      <c r="G26" s="41" t="n"/>
    </row>
    <row r="27" ht="15.75" customHeight="1" s="60">
      <c r="A27" s="41" t="n"/>
      <c r="B27" s="41" t="n"/>
      <c r="C27" s="41" t="n"/>
      <c r="D27" s="41" t="n"/>
      <c r="E27" s="41" t="n"/>
      <c r="F27" s="41" t="n"/>
      <c r="G27" s="41" t="n"/>
    </row>
    <row r="28" ht="15.75" customHeight="1" s="60">
      <c r="A28" s="41" t="n"/>
      <c r="B28" s="41" t="n"/>
      <c r="C28" s="41" t="n"/>
      <c r="D28" s="41" t="n"/>
      <c r="E28" s="41" t="n"/>
      <c r="F28" s="41" t="n"/>
      <c r="G28" s="41" t="n"/>
    </row>
    <row r="29" ht="15.75" customHeight="1" s="60">
      <c r="A29" s="41" t="n"/>
      <c r="B29" s="41" t="n"/>
      <c r="C29" s="41" t="n"/>
      <c r="D29" s="41" t="n"/>
      <c r="E29" s="41" t="n"/>
      <c r="F29" s="41" t="n"/>
      <c r="G29" s="41" t="n"/>
    </row>
    <row r="30" ht="15.75" customHeight="1" s="60">
      <c r="A30" s="41" t="n"/>
      <c r="B30" s="41" t="n"/>
      <c r="C30" s="41" t="n"/>
      <c r="D30" s="41" t="n"/>
      <c r="E30" s="41" t="n"/>
      <c r="F30" s="41" t="n"/>
      <c r="G30" s="41" t="n"/>
    </row>
    <row r="31" ht="15.75" customHeight="1" s="60">
      <c r="A31" s="41" t="n"/>
      <c r="B31" s="41" t="n"/>
      <c r="C31" s="41" t="n"/>
      <c r="D31" s="41" t="n"/>
      <c r="E31" s="41" t="n"/>
      <c r="F31" s="41" t="n"/>
      <c r="G31" s="41" t="n"/>
    </row>
    <row r="32" ht="15.75" customHeight="1" s="60">
      <c r="A32" s="41" t="n"/>
      <c r="B32" s="41" t="n"/>
      <c r="C32" s="41" t="n"/>
      <c r="D32" s="41" t="n"/>
      <c r="E32" s="41" t="n"/>
      <c r="F32" s="41" t="n"/>
      <c r="G32" s="41" t="n"/>
    </row>
    <row r="33" ht="15.75" customHeight="1" s="60">
      <c r="A33" s="41" t="n"/>
      <c r="B33" s="41" t="n"/>
      <c r="C33" s="41" t="n"/>
      <c r="D33" s="41" t="n"/>
      <c r="E33" s="41" t="n"/>
      <c r="F33" s="41" t="n"/>
      <c r="G33" s="41" t="n"/>
    </row>
    <row r="34" ht="15.75" customHeight="1" s="60">
      <c r="A34" s="41" t="n"/>
      <c r="B34" s="41" t="n"/>
      <c r="C34" s="41" t="n"/>
      <c r="D34" s="41" t="n"/>
      <c r="E34" s="41" t="n"/>
      <c r="F34" s="41" t="n"/>
      <c r="G34" s="41" t="n"/>
    </row>
    <row r="35" ht="15.75" customHeight="1" s="60">
      <c r="A35" s="41" t="n"/>
      <c r="B35" s="41" t="n"/>
      <c r="C35" s="41" t="n"/>
      <c r="D35" s="41" t="n"/>
      <c r="E35" s="41" t="n"/>
      <c r="F35" s="41" t="n"/>
      <c r="G35" s="41" t="n"/>
    </row>
    <row r="36" ht="15.75" customHeight="1" s="60">
      <c r="A36" s="41" t="n"/>
      <c r="B36" s="41" t="n"/>
      <c r="C36" s="41" t="n"/>
      <c r="D36" s="41" t="n"/>
      <c r="E36" s="41" t="n"/>
      <c r="F36" s="41" t="n"/>
      <c r="G36" s="41" t="n"/>
    </row>
    <row r="37" ht="15.75" customHeight="1" s="60">
      <c r="A37" s="41" t="n"/>
      <c r="B37" s="41" t="n"/>
      <c r="C37" s="41" t="n"/>
      <c r="D37" s="41" t="n"/>
      <c r="E37" s="41" t="n"/>
      <c r="F37" s="41" t="n"/>
      <c r="G37" s="41" t="n"/>
    </row>
    <row r="38" ht="15.75" customHeight="1" s="60">
      <c r="A38" s="41" t="n"/>
      <c r="B38" s="41" t="n"/>
      <c r="C38" s="41" t="n"/>
      <c r="D38" s="41" t="n"/>
      <c r="E38" s="41" t="n"/>
      <c r="F38" s="41" t="n"/>
      <c r="G38" s="41" t="n"/>
    </row>
    <row r="39" ht="15.75" customHeight="1" s="60">
      <c r="A39" s="41" t="n"/>
      <c r="B39" s="41" t="n"/>
      <c r="C39" s="41" t="n"/>
      <c r="D39" s="41" t="n"/>
      <c r="E39" s="41" t="n"/>
      <c r="F39" s="41" t="n"/>
      <c r="G39" s="41" t="n"/>
    </row>
    <row r="40" ht="15.75" customHeight="1" s="60">
      <c r="A40" s="41" t="n"/>
      <c r="B40" s="41" t="n"/>
      <c r="C40" s="41" t="n"/>
      <c r="D40" s="41" t="n"/>
      <c r="E40" s="41" t="n"/>
      <c r="F40" s="41" t="n"/>
      <c r="G40" s="41" t="n"/>
    </row>
    <row r="41" ht="15.75" customHeight="1" s="60">
      <c r="A41" s="41" t="n"/>
      <c r="B41" s="41" t="n"/>
      <c r="C41" s="41" t="n"/>
      <c r="D41" s="41" t="n"/>
      <c r="E41" s="41" t="n"/>
      <c r="F41" s="41" t="n"/>
      <c r="G41" s="41" t="n"/>
    </row>
    <row r="42" ht="15.75" customHeight="1" s="60">
      <c r="A42" s="41" t="n"/>
      <c r="B42" s="41" t="n"/>
      <c r="C42" s="41" t="n"/>
      <c r="D42" s="41" t="n"/>
      <c r="E42" s="41" t="n"/>
      <c r="F42" s="41" t="n"/>
      <c r="G42" s="41" t="n"/>
    </row>
    <row r="43" ht="15.75" customHeight="1" s="60">
      <c r="A43" s="41" t="n"/>
      <c r="B43" s="41" t="n"/>
      <c r="C43" s="41" t="n"/>
      <c r="D43" s="41" t="n"/>
      <c r="E43" s="41" t="n"/>
      <c r="F43" s="41" t="n"/>
      <c r="G43" s="41" t="n"/>
    </row>
    <row r="44" ht="15.75" customHeight="1" s="60">
      <c r="A44" s="41" t="n"/>
      <c r="B44" s="41" t="n"/>
      <c r="C44" s="41" t="n"/>
      <c r="D44" s="41" t="n"/>
      <c r="E44" s="41" t="n"/>
      <c r="F44" s="41" t="n"/>
      <c r="G44" s="41" t="n"/>
    </row>
    <row r="45" ht="15.75" customHeight="1" s="60">
      <c r="A45" s="41" t="n"/>
      <c r="B45" s="41" t="n"/>
      <c r="C45" s="41" t="n"/>
      <c r="D45" s="41" t="n"/>
      <c r="E45" s="41" t="n"/>
      <c r="F45" s="41" t="n"/>
      <c r="G45" s="41" t="n"/>
    </row>
    <row r="46" ht="15.75" customHeight="1" s="60">
      <c r="A46" s="41" t="n"/>
      <c r="B46" s="41" t="n"/>
      <c r="C46" s="41" t="n"/>
      <c r="D46" s="41" t="n"/>
      <c r="E46" s="41" t="n"/>
      <c r="F46" s="41" t="n"/>
      <c r="G46" s="41" t="n"/>
    </row>
    <row r="47" ht="15.75" customHeight="1" s="60">
      <c r="A47" s="41" t="n"/>
      <c r="B47" s="41" t="n"/>
      <c r="C47" s="41" t="n"/>
      <c r="D47" s="41" t="n"/>
      <c r="E47" s="41" t="n"/>
      <c r="F47" s="41" t="n"/>
      <c r="G47" s="41" t="n"/>
    </row>
    <row r="48" ht="15.75" customHeight="1" s="60">
      <c r="A48" s="41" t="n"/>
      <c r="B48" s="41" t="n"/>
      <c r="C48" s="41" t="n"/>
      <c r="D48" s="41" t="n"/>
      <c r="E48" s="41" t="n"/>
      <c r="F48" s="41" t="n"/>
      <c r="G48" s="41" t="n"/>
    </row>
    <row r="49" ht="15.75" customHeight="1" s="60">
      <c r="A49" s="41" t="n"/>
      <c r="B49" s="41" t="n"/>
      <c r="C49" s="41" t="n"/>
      <c r="D49" s="41" t="n"/>
      <c r="E49" s="41" t="n"/>
      <c r="F49" s="41" t="n"/>
      <c r="G49" s="41" t="n"/>
    </row>
    <row r="50" ht="15.75" customHeight="1" s="60">
      <c r="A50" s="41" t="n"/>
      <c r="B50" s="41" t="n"/>
      <c r="C50" s="41" t="n"/>
      <c r="D50" s="41" t="n"/>
      <c r="E50" s="41" t="n"/>
      <c r="F50" s="41" t="n"/>
      <c r="G50" s="41" t="n"/>
    </row>
    <row r="51" ht="15.75" customHeight="1" s="60">
      <c r="A51" s="41" t="n"/>
      <c r="B51" s="41" t="n"/>
      <c r="C51" s="41" t="n"/>
      <c r="D51" s="41" t="n"/>
      <c r="E51" s="41" t="n"/>
      <c r="F51" s="41" t="n"/>
      <c r="G51" s="41" t="n"/>
    </row>
    <row r="52" ht="15.75" customHeight="1" s="60">
      <c r="A52" s="41" t="n"/>
      <c r="B52" s="41" t="n"/>
      <c r="C52" s="41" t="n"/>
      <c r="D52" s="41" t="n"/>
      <c r="E52" s="41" t="n"/>
      <c r="F52" s="41" t="n"/>
      <c r="G52" s="41" t="n"/>
    </row>
    <row r="53" ht="15.75" customHeight="1" s="60">
      <c r="A53" s="41" t="n"/>
      <c r="B53" s="41" t="n"/>
      <c r="C53" s="41" t="n"/>
      <c r="D53" s="41" t="n"/>
      <c r="E53" s="41" t="n"/>
      <c r="F53" s="41" t="n"/>
      <c r="G53" s="41" t="n"/>
    </row>
    <row r="54" ht="15.75" customHeight="1" s="60">
      <c r="A54" s="41" t="n"/>
      <c r="B54" s="41" t="n"/>
      <c r="C54" s="41" t="n"/>
      <c r="D54" s="41" t="n"/>
      <c r="E54" s="41" t="n"/>
      <c r="F54" s="41" t="n"/>
      <c r="G54" s="41" t="n"/>
    </row>
    <row r="55" ht="15.75" customHeight="1" s="60">
      <c r="A55" s="41" t="n"/>
      <c r="B55" s="41" t="n"/>
      <c r="C55" s="41" t="n"/>
      <c r="D55" s="41" t="n"/>
      <c r="E55" s="41" t="n"/>
      <c r="F55" s="41" t="n"/>
      <c r="G55" s="41" t="n"/>
    </row>
    <row r="56" ht="15.75" customHeight="1" s="60">
      <c r="A56" s="41" t="n"/>
      <c r="B56" s="41" t="n"/>
      <c r="C56" s="41" t="n"/>
      <c r="D56" s="41" t="n"/>
      <c r="E56" s="41" t="n"/>
      <c r="F56" s="41" t="n"/>
      <c r="G56" s="41" t="n"/>
    </row>
    <row r="57" ht="15.75" customHeight="1" s="60">
      <c r="A57" s="41" t="n"/>
      <c r="B57" s="41" t="n"/>
      <c r="C57" s="41" t="n"/>
      <c r="D57" s="41" t="n"/>
      <c r="E57" s="41" t="n"/>
      <c r="F57" s="41" t="n"/>
      <c r="G57" s="41" t="n"/>
    </row>
    <row r="58" ht="15.75" customHeight="1" s="60">
      <c r="A58" s="41" t="n"/>
      <c r="B58" s="41" t="n"/>
      <c r="C58" s="41" t="n"/>
      <c r="D58" s="41" t="n"/>
      <c r="E58" s="41" t="n"/>
      <c r="F58" s="41" t="n"/>
      <c r="G58" s="41" t="n"/>
    </row>
    <row r="59" ht="15.75" customHeight="1" s="60">
      <c r="A59" s="41" t="n"/>
      <c r="B59" s="41" t="n"/>
      <c r="C59" s="41" t="n"/>
      <c r="D59" s="41" t="n"/>
      <c r="E59" s="41" t="n"/>
      <c r="F59" s="41" t="n"/>
      <c r="G59" s="41" t="n"/>
    </row>
    <row r="60" ht="15.75" customHeight="1" s="60">
      <c r="A60" s="41" t="n"/>
      <c r="B60" s="41" t="n"/>
      <c r="C60" s="41" t="n"/>
      <c r="D60" s="41" t="n"/>
      <c r="E60" s="41" t="n"/>
      <c r="F60" s="41" t="n"/>
      <c r="G60" s="41" t="n"/>
    </row>
    <row r="61" ht="15.75" customHeight="1" s="60">
      <c r="A61" s="41" t="n"/>
      <c r="B61" s="41" t="n"/>
      <c r="C61" s="41" t="n"/>
      <c r="D61" s="41" t="n"/>
      <c r="E61" s="41" t="n"/>
      <c r="F61" s="41" t="n"/>
      <c r="G61" s="41" t="n"/>
    </row>
    <row r="62" ht="15.75" customHeight="1" s="60">
      <c r="A62" s="41" t="n"/>
      <c r="B62" s="41" t="n"/>
      <c r="C62" s="41" t="n"/>
      <c r="D62" s="41" t="n"/>
      <c r="E62" s="41" t="n"/>
      <c r="F62" s="41" t="n"/>
      <c r="G62" s="41" t="n"/>
    </row>
    <row r="63" ht="15.75" customHeight="1" s="60">
      <c r="A63" s="41" t="n"/>
      <c r="B63" s="41" t="n"/>
      <c r="C63" s="41" t="n"/>
      <c r="D63" s="41" t="n"/>
      <c r="E63" s="41" t="n"/>
      <c r="F63" s="41" t="n"/>
      <c r="G63" s="41" t="n"/>
    </row>
    <row r="64" ht="15.75" customHeight="1" s="60">
      <c r="A64" s="41" t="n"/>
      <c r="B64" s="41" t="n"/>
      <c r="C64" s="41" t="n"/>
      <c r="D64" s="41" t="n"/>
      <c r="E64" s="41" t="n"/>
      <c r="F64" s="41" t="n"/>
      <c r="G64" s="41" t="n"/>
    </row>
    <row r="65" ht="15.75" customHeight="1" s="60">
      <c r="A65" s="41" t="n"/>
      <c r="B65" s="41" t="n"/>
      <c r="C65" s="41" t="n"/>
      <c r="D65" s="41" t="n"/>
      <c r="E65" s="41" t="n"/>
      <c r="F65" s="41" t="n"/>
      <c r="G65" s="41" t="n"/>
    </row>
    <row r="66" ht="15.75" customHeight="1" s="60">
      <c r="A66" s="41" t="n"/>
      <c r="B66" s="41" t="n"/>
      <c r="C66" s="41" t="n"/>
      <c r="D66" s="41" t="n"/>
      <c r="E66" s="41" t="n"/>
      <c r="F66" s="41" t="n"/>
      <c r="G66" s="41" t="n"/>
    </row>
    <row r="67" ht="15.75" customHeight="1" s="60">
      <c r="A67" s="41" t="n"/>
      <c r="B67" s="41" t="n"/>
      <c r="C67" s="41" t="n"/>
      <c r="D67" s="41" t="n"/>
      <c r="E67" s="41" t="n"/>
      <c r="F67" s="41" t="n"/>
      <c r="G67" s="41" t="n"/>
    </row>
    <row r="68" ht="15.75" customHeight="1" s="60">
      <c r="A68" s="41" t="n"/>
      <c r="B68" s="41" t="n"/>
      <c r="C68" s="41" t="n"/>
      <c r="D68" s="41" t="n"/>
      <c r="E68" s="41" t="n"/>
      <c r="F68" s="41" t="n"/>
      <c r="G68" s="41" t="n"/>
    </row>
    <row r="69" ht="15.75" customHeight="1" s="60">
      <c r="A69" s="41" t="n"/>
      <c r="B69" s="41" t="n"/>
      <c r="C69" s="41" t="n"/>
      <c r="D69" s="41" t="n"/>
      <c r="E69" s="41" t="n"/>
      <c r="F69" s="41" t="n"/>
      <c r="G69" s="41" t="n"/>
    </row>
    <row r="70" ht="15.75" customHeight="1" s="60">
      <c r="A70" s="41" t="n"/>
      <c r="B70" s="41" t="n"/>
      <c r="C70" s="41" t="n"/>
      <c r="D70" s="41" t="n"/>
      <c r="E70" s="41" t="n"/>
      <c r="F70" s="41" t="n"/>
      <c r="G70" s="41" t="n"/>
    </row>
    <row r="71" ht="15.75" customHeight="1" s="60">
      <c r="A71" s="41" t="n"/>
      <c r="B71" s="41" t="n"/>
      <c r="C71" s="41" t="n"/>
      <c r="D71" s="41" t="n"/>
      <c r="E71" s="41" t="n"/>
      <c r="F71" s="41" t="n"/>
      <c r="G71" s="41" t="n"/>
    </row>
    <row r="72" ht="15.75" customHeight="1" s="60">
      <c r="A72" s="41" t="n"/>
      <c r="B72" s="41" t="n"/>
      <c r="C72" s="41" t="n"/>
      <c r="D72" s="41" t="n"/>
      <c r="E72" s="41" t="n"/>
      <c r="F72" s="41" t="n"/>
      <c r="G72" s="41" t="n"/>
    </row>
    <row r="73" ht="15.75" customHeight="1" s="60">
      <c r="A73" s="41" t="n"/>
      <c r="B73" s="41" t="n"/>
      <c r="C73" s="41" t="n"/>
      <c r="D73" s="41" t="n"/>
      <c r="E73" s="41" t="n"/>
      <c r="F73" s="41" t="n"/>
      <c r="G73" s="41" t="n"/>
    </row>
    <row r="74" ht="15.75" customHeight="1" s="60">
      <c r="A74" s="41" t="n"/>
      <c r="B74" s="41" t="n"/>
      <c r="C74" s="41" t="n"/>
      <c r="D74" s="41" t="n"/>
      <c r="E74" s="41" t="n"/>
      <c r="F74" s="41" t="n"/>
      <c r="G74" s="41" t="n"/>
    </row>
    <row r="75" ht="15.75" customHeight="1" s="60">
      <c r="A75" s="41" t="n"/>
      <c r="B75" s="41" t="n"/>
      <c r="C75" s="41" t="n"/>
      <c r="D75" s="41" t="n"/>
      <c r="E75" s="41" t="n"/>
      <c r="F75" s="41" t="n"/>
      <c r="G75" s="41" t="n"/>
    </row>
    <row r="76" ht="15.75" customHeight="1" s="60">
      <c r="A76" s="41" t="n"/>
      <c r="B76" s="41" t="n"/>
      <c r="C76" s="41" t="n"/>
      <c r="D76" s="41" t="n"/>
      <c r="E76" s="41" t="n"/>
      <c r="F76" s="41" t="n"/>
      <c r="G76" s="41" t="n"/>
    </row>
    <row r="77" ht="15.75" customHeight="1" s="60">
      <c r="A77" s="41" t="n"/>
      <c r="B77" s="41" t="n"/>
      <c r="C77" s="41" t="n"/>
      <c r="D77" s="41" t="n"/>
      <c r="E77" s="41" t="n"/>
      <c r="F77" s="41" t="n"/>
      <c r="G77" s="41" t="n"/>
    </row>
    <row r="78" ht="15.75" customHeight="1" s="60">
      <c r="A78" s="41" t="n"/>
      <c r="B78" s="41" t="n"/>
      <c r="C78" s="41" t="n"/>
      <c r="D78" s="41" t="n"/>
      <c r="E78" s="41" t="n"/>
      <c r="F78" s="41" t="n"/>
      <c r="G78" s="41" t="n"/>
    </row>
    <row r="79" ht="15.75" customHeight="1" s="60">
      <c r="A79" s="41" t="n"/>
      <c r="B79" s="41" t="n"/>
      <c r="C79" s="41" t="n"/>
      <c r="D79" s="41" t="n"/>
      <c r="E79" s="41" t="n"/>
      <c r="F79" s="41" t="n"/>
      <c r="G79" s="41" t="n"/>
    </row>
    <row r="80" ht="15.75" customHeight="1" s="60">
      <c r="A80" s="41" t="n"/>
      <c r="B80" s="41" t="n"/>
      <c r="C80" s="41" t="n"/>
      <c r="D80" s="41" t="n"/>
      <c r="E80" s="41" t="n"/>
      <c r="F80" s="41" t="n"/>
      <c r="G80" s="41" t="n"/>
    </row>
    <row r="81" ht="15.75" customHeight="1" s="60">
      <c r="A81" s="41" t="n"/>
      <c r="B81" s="41" t="n"/>
      <c r="C81" s="41" t="n"/>
      <c r="D81" s="41" t="n"/>
      <c r="E81" s="41" t="n"/>
      <c r="F81" s="41" t="n"/>
      <c r="G81" s="41" t="n"/>
    </row>
    <row r="82" ht="15.75" customHeight="1" s="60">
      <c r="A82" s="41" t="n"/>
      <c r="B82" s="41" t="n"/>
      <c r="C82" s="41" t="n"/>
      <c r="D82" s="41" t="n"/>
      <c r="E82" s="41" t="n"/>
      <c r="F82" s="41" t="n"/>
      <c r="G82" s="41" t="n"/>
    </row>
    <row r="83" ht="15.75" customHeight="1" s="60">
      <c r="A83" s="41" t="n"/>
      <c r="B83" s="41" t="n"/>
      <c r="C83" s="41" t="n"/>
      <c r="D83" s="41" t="n"/>
      <c r="E83" s="41" t="n"/>
      <c r="F83" s="41" t="n"/>
      <c r="G83" s="41" t="n"/>
    </row>
    <row r="84" ht="15.75" customHeight="1" s="60">
      <c r="A84" s="41" t="n"/>
      <c r="B84" s="41" t="n"/>
      <c r="C84" s="41" t="n"/>
      <c r="D84" s="41" t="n"/>
      <c r="E84" s="41" t="n"/>
      <c r="F84" s="41" t="n"/>
      <c r="G84" s="41" t="n"/>
    </row>
    <row r="85" ht="15.75" customHeight="1" s="60">
      <c r="A85" s="41" t="n"/>
      <c r="B85" s="41" t="n"/>
      <c r="C85" s="41" t="n"/>
      <c r="D85" s="41" t="n"/>
      <c r="E85" s="41" t="n"/>
      <c r="F85" s="41" t="n"/>
      <c r="G85" s="41" t="n"/>
    </row>
    <row r="86" ht="15.75" customHeight="1" s="60">
      <c r="A86" s="41" t="n"/>
      <c r="B86" s="41" t="n"/>
      <c r="C86" s="41" t="n"/>
      <c r="D86" s="41" t="n"/>
      <c r="E86" s="41" t="n"/>
      <c r="F86" s="41" t="n"/>
      <c r="G86" s="41" t="n"/>
    </row>
    <row r="87" ht="15.75" customHeight="1" s="60">
      <c r="A87" s="41" t="n"/>
      <c r="B87" s="41" t="n"/>
      <c r="C87" s="41" t="n"/>
      <c r="D87" s="41" t="n"/>
      <c r="E87" s="41" t="n"/>
      <c r="F87" s="41" t="n"/>
      <c r="G87" s="41" t="n"/>
    </row>
    <row r="88" ht="15.75" customHeight="1" s="60">
      <c r="A88" s="41" t="n"/>
      <c r="B88" s="41" t="n"/>
      <c r="C88" s="41" t="n"/>
      <c r="D88" s="41" t="n"/>
      <c r="E88" s="41" t="n"/>
      <c r="F88" s="41" t="n"/>
      <c r="G88" s="41" t="n"/>
    </row>
    <row r="89" ht="15.75" customHeight="1" s="60">
      <c r="A89" s="41" t="n"/>
      <c r="B89" s="41" t="n"/>
      <c r="C89" s="41" t="n"/>
      <c r="D89" s="41" t="n"/>
      <c r="E89" s="41" t="n"/>
      <c r="F89" s="41" t="n"/>
      <c r="G89" s="41" t="n"/>
    </row>
    <row r="90" ht="15.75" customHeight="1" s="60">
      <c r="A90" s="41" t="n"/>
      <c r="B90" s="41" t="n"/>
      <c r="C90" s="41" t="n"/>
      <c r="D90" s="41" t="n"/>
      <c r="E90" s="41" t="n"/>
      <c r="F90" s="41" t="n"/>
      <c r="G90" s="41" t="n"/>
    </row>
    <row r="91" ht="15.75" customHeight="1" s="60">
      <c r="A91" s="41" t="n"/>
      <c r="B91" s="41" t="n"/>
      <c r="C91" s="41" t="n"/>
      <c r="D91" s="41" t="n"/>
      <c r="E91" s="41" t="n"/>
      <c r="F91" s="41" t="n"/>
      <c r="G91" s="41" t="n"/>
    </row>
    <row r="92" ht="15.75" customHeight="1" s="60">
      <c r="A92" s="41" t="n"/>
      <c r="B92" s="41" t="n"/>
      <c r="C92" s="41" t="n"/>
      <c r="D92" s="41" t="n"/>
      <c r="E92" s="41" t="n"/>
      <c r="F92" s="41" t="n"/>
      <c r="G92" s="41" t="n"/>
    </row>
    <row r="93" ht="15.75" customHeight="1" s="60">
      <c r="A93" s="41" t="n"/>
      <c r="B93" s="41" t="n"/>
      <c r="C93" s="41" t="n"/>
      <c r="D93" s="41" t="n"/>
      <c r="E93" s="41" t="n"/>
      <c r="F93" s="41" t="n"/>
      <c r="G93" s="41" t="n"/>
    </row>
    <row r="94" ht="15.75" customHeight="1" s="60">
      <c r="A94" s="41" t="n"/>
      <c r="B94" s="41" t="n"/>
      <c r="C94" s="41" t="n"/>
      <c r="D94" s="41" t="n"/>
      <c r="E94" s="41" t="n"/>
      <c r="F94" s="41" t="n"/>
      <c r="G94" s="41" t="n"/>
    </row>
    <row r="95" ht="15.75" customHeight="1" s="60">
      <c r="A95" s="41" t="n"/>
      <c r="B95" s="41" t="n"/>
      <c r="C95" s="41" t="n"/>
      <c r="D95" s="41" t="n"/>
      <c r="E95" s="41" t="n"/>
      <c r="F95" s="41" t="n"/>
      <c r="G95" s="41" t="n"/>
    </row>
    <row r="96" ht="15.75" customHeight="1" s="60">
      <c r="A96" s="41" t="n"/>
      <c r="B96" s="41" t="n"/>
      <c r="C96" s="41" t="n"/>
      <c r="D96" s="41" t="n"/>
      <c r="E96" s="41" t="n"/>
      <c r="F96" s="41" t="n"/>
      <c r="G96" s="41" t="n"/>
    </row>
    <row r="97" ht="15.75" customHeight="1" s="60">
      <c r="A97" s="41" t="n"/>
      <c r="B97" s="41" t="n"/>
      <c r="C97" s="41" t="n"/>
      <c r="D97" s="41" t="n"/>
      <c r="E97" s="41" t="n"/>
      <c r="F97" s="41" t="n"/>
      <c r="G97" s="41" t="n"/>
    </row>
    <row r="98" ht="15.75" customHeight="1" s="60">
      <c r="A98" s="41" t="n"/>
      <c r="B98" s="41" t="n"/>
      <c r="C98" s="41" t="n"/>
      <c r="D98" s="41" t="n"/>
      <c r="E98" s="41" t="n"/>
      <c r="F98" s="41" t="n"/>
      <c r="G98" s="41" t="n"/>
    </row>
    <row r="99" ht="15.75" customHeight="1" s="60">
      <c r="A99" s="41" t="n"/>
      <c r="B99" s="41" t="n"/>
      <c r="C99" s="41" t="n"/>
      <c r="D99" s="41" t="n"/>
      <c r="E99" s="41" t="n"/>
      <c r="F99" s="41" t="n"/>
      <c r="G99" s="41" t="n"/>
    </row>
    <row r="100" ht="15.75" customHeight="1" s="60">
      <c r="A100" s="41" t="n"/>
      <c r="B100" s="41" t="n"/>
      <c r="C100" s="41" t="n"/>
      <c r="D100" s="41" t="n"/>
      <c r="E100" s="41" t="n"/>
      <c r="F100" s="41" t="n"/>
      <c r="G100" s="41" t="n"/>
    </row>
    <row r="101" ht="15.75" customHeight="1" s="60">
      <c r="A101" s="41" t="n"/>
      <c r="B101" s="41" t="n"/>
      <c r="C101" s="41" t="n"/>
      <c r="D101" s="41" t="n"/>
      <c r="E101" s="41" t="n"/>
      <c r="F101" s="41" t="n"/>
      <c r="G101" s="41" t="n"/>
    </row>
    <row r="102" ht="15.75" customHeight="1" s="60">
      <c r="A102" s="41" t="n"/>
      <c r="B102" s="41" t="n"/>
      <c r="C102" s="41" t="n"/>
      <c r="D102" s="41" t="n"/>
      <c r="E102" s="41" t="n"/>
      <c r="F102" s="41" t="n"/>
      <c r="G102" s="41" t="n"/>
    </row>
    <row r="103" ht="15.75" customHeight="1" s="60">
      <c r="A103" s="41" t="n"/>
      <c r="B103" s="41" t="n"/>
      <c r="C103" s="41" t="n"/>
      <c r="D103" s="41" t="n"/>
      <c r="E103" s="41" t="n"/>
      <c r="F103" s="41" t="n"/>
      <c r="G103" s="41" t="n"/>
    </row>
    <row r="104" ht="15.75" customHeight="1" s="60">
      <c r="A104" s="41" t="n"/>
      <c r="B104" s="41" t="n"/>
      <c r="C104" s="41" t="n"/>
      <c r="D104" s="41" t="n"/>
      <c r="E104" s="41" t="n"/>
      <c r="F104" s="41" t="n"/>
      <c r="G104" s="41" t="n"/>
    </row>
    <row r="105" ht="15.75" customHeight="1" s="60">
      <c r="A105" s="41" t="n"/>
      <c r="B105" s="41" t="n"/>
      <c r="C105" s="41" t="n"/>
      <c r="D105" s="41" t="n"/>
      <c r="E105" s="41" t="n"/>
      <c r="F105" s="41" t="n"/>
      <c r="G105" s="41" t="n"/>
    </row>
    <row r="106" ht="15.75" customHeight="1" s="60">
      <c r="A106" s="41" t="n"/>
      <c r="B106" s="41" t="n"/>
      <c r="C106" s="41" t="n"/>
      <c r="D106" s="41" t="n"/>
      <c r="E106" s="41" t="n"/>
      <c r="F106" s="41" t="n"/>
      <c r="G106" s="41" t="n"/>
    </row>
    <row r="107" ht="15.75" customHeight="1" s="60">
      <c r="A107" s="41" t="n"/>
      <c r="B107" s="41" t="n"/>
      <c r="C107" s="41" t="n"/>
      <c r="D107" s="41" t="n"/>
      <c r="E107" s="41" t="n"/>
      <c r="F107" s="41" t="n"/>
      <c r="G107" s="41" t="n"/>
    </row>
    <row r="108" ht="15.75" customHeight="1" s="60">
      <c r="A108" s="41" t="n"/>
      <c r="B108" s="41" t="n"/>
      <c r="C108" s="41" t="n"/>
      <c r="D108" s="41" t="n"/>
      <c r="E108" s="41" t="n"/>
      <c r="F108" s="41" t="n"/>
      <c r="G108" s="41" t="n"/>
    </row>
    <row r="109" ht="15.75" customHeight="1" s="60">
      <c r="A109" s="41" t="n"/>
      <c r="B109" s="41" t="n"/>
      <c r="C109" s="41" t="n"/>
      <c r="D109" s="41" t="n"/>
      <c r="E109" s="41" t="n"/>
      <c r="F109" s="41" t="n"/>
      <c r="G109" s="41" t="n"/>
    </row>
    <row r="110" ht="15.75" customHeight="1" s="60">
      <c r="A110" s="41" t="n"/>
      <c r="B110" s="41" t="n"/>
      <c r="C110" s="41" t="n"/>
      <c r="D110" s="41" t="n"/>
      <c r="E110" s="41" t="n"/>
      <c r="F110" s="41" t="n"/>
      <c r="G110" s="41" t="n"/>
    </row>
    <row r="111" ht="15.75" customHeight="1" s="60">
      <c r="A111" s="41" t="n"/>
      <c r="B111" s="41" t="n"/>
      <c r="C111" s="41" t="n"/>
      <c r="D111" s="41" t="n"/>
      <c r="E111" s="41" t="n"/>
      <c r="F111" s="41" t="n"/>
      <c r="G111" s="41" t="n"/>
    </row>
    <row r="112" ht="15.75" customHeight="1" s="60">
      <c r="A112" s="41" t="n"/>
      <c r="B112" s="41" t="n"/>
      <c r="C112" s="41" t="n"/>
      <c r="D112" s="41" t="n"/>
      <c r="E112" s="41" t="n"/>
      <c r="F112" s="41" t="n"/>
      <c r="G112" s="41" t="n"/>
    </row>
    <row r="113" ht="15.75" customHeight="1" s="60">
      <c r="A113" s="41" t="n"/>
      <c r="B113" s="41" t="n"/>
      <c r="C113" s="41" t="n"/>
      <c r="D113" s="41" t="n"/>
      <c r="E113" s="41" t="n"/>
      <c r="F113" s="41" t="n"/>
      <c r="G113" s="41" t="n"/>
    </row>
    <row r="114" ht="15.75" customHeight="1" s="60">
      <c r="A114" s="41" t="n"/>
      <c r="B114" s="41" t="n"/>
      <c r="C114" s="41" t="n"/>
      <c r="D114" s="41" t="n"/>
      <c r="E114" s="41" t="n"/>
      <c r="F114" s="41" t="n"/>
      <c r="G114" s="41" t="n"/>
    </row>
    <row r="115" ht="15.75" customHeight="1" s="60">
      <c r="A115" s="41" t="n"/>
      <c r="B115" s="41" t="n"/>
      <c r="C115" s="41" t="n"/>
      <c r="D115" s="41" t="n"/>
      <c r="E115" s="41" t="n"/>
      <c r="F115" s="41" t="n"/>
      <c r="G115" s="41" t="n"/>
    </row>
    <row r="116" ht="15.75" customHeight="1" s="60">
      <c r="A116" s="41" t="n"/>
      <c r="B116" s="41" t="n"/>
      <c r="C116" s="41" t="n"/>
      <c r="D116" s="41" t="n"/>
      <c r="E116" s="41" t="n"/>
      <c r="F116" s="41" t="n"/>
      <c r="G116" s="41" t="n"/>
    </row>
    <row r="117" ht="15.75" customHeight="1" s="60">
      <c r="A117" s="41" t="n"/>
      <c r="B117" s="41" t="n"/>
      <c r="C117" s="41" t="n"/>
      <c r="D117" s="41" t="n"/>
      <c r="E117" s="41" t="n"/>
      <c r="F117" s="41" t="n"/>
      <c r="G117" s="41" t="n"/>
    </row>
    <row r="118" ht="15.75" customHeight="1" s="60">
      <c r="A118" s="41" t="n"/>
      <c r="B118" s="41" t="n"/>
      <c r="C118" s="41" t="n"/>
      <c r="D118" s="41" t="n"/>
      <c r="E118" s="41" t="n"/>
      <c r="F118" s="41" t="n"/>
      <c r="G118" s="41" t="n"/>
    </row>
    <row r="119" ht="15.75" customHeight="1" s="60">
      <c r="A119" s="41" t="n"/>
      <c r="B119" s="41" t="n"/>
      <c r="C119" s="41" t="n"/>
      <c r="D119" s="41" t="n"/>
      <c r="E119" s="41" t="n"/>
      <c r="F119" s="41" t="n"/>
      <c r="G119" s="41" t="n"/>
    </row>
    <row r="120" ht="15.75" customHeight="1" s="60">
      <c r="A120" s="41" t="n"/>
      <c r="B120" s="41" t="n"/>
      <c r="C120" s="41" t="n"/>
      <c r="D120" s="41" t="n"/>
      <c r="E120" s="41" t="n"/>
      <c r="F120" s="41" t="n"/>
      <c r="G120" s="41" t="n"/>
    </row>
    <row r="121" ht="15.75" customHeight="1" s="60">
      <c r="A121" s="41" t="n"/>
      <c r="B121" s="41" t="n"/>
      <c r="C121" s="41" t="n"/>
      <c r="D121" s="41" t="n"/>
      <c r="E121" s="41" t="n"/>
      <c r="F121" s="41" t="n"/>
      <c r="G121" s="41" t="n"/>
    </row>
    <row r="122" ht="15.75" customHeight="1" s="60">
      <c r="A122" s="41" t="n"/>
      <c r="B122" s="41" t="n"/>
      <c r="C122" s="41" t="n"/>
      <c r="D122" s="41" t="n"/>
      <c r="E122" s="41" t="n"/>
      <c r="F122" s="41" t="n"/>
      <c r="G122" s="41" t="n"/>
    </row>
    <row r="123" ht="15.75" customHeight="1" s="60">
      <c r="A123" s="41" t="n"/>
      <c r="B123" s="41" t="n"/>
      <c r="C123" s="41" t="n"/>
      <c r="D123" s="41" t="n"/>
      <c r="E123" s="41" t="n"/>
      <c r="F123" s="41" t="n"/>
      <c r="G123" s="41" t="n"/>
    </row>
    <row r="124" ht="15.75" customHeight="1" s="60">
      <c r="A124" s="41" t="n"/>
      <c r="B124" s="41" t="n"/>
      <c r="C124" s="41" t="n"/>
      <c r="D124" s="41" t="n"/>
      <c r="E124" s="41" t="n"/>
      <c r="F124" s="41" t="n"/>
      <c r="G124" s="41" t="n"/>
    </row>
    <row r="125" ht="15.75" customHeight="1" s="60">
      <c r="A125" s="41" t="n"/>
      <c r="B125" s="41" t="n"/>
      <c r="C125" s="41" t="n"/>
      <c r="D125" s="41" t="n"/>
      <c r="E125" s="41" t="n"/>
      <c r="F125" s="41" t="n"/>
      <c r="G125" s="41" t="n"/>
    </row>
    <row r="126" ht="15.75" customHeight="1" s="60">
      <c r="A126" s="41" t="n"/>
      <c r="B126" s="41" t="n"/>
      <c r="C126" s="41" t="n"/>
      <c r="D126" s="41" t="n"/>
      <c r="E126" s="41" t="n"/>
      <c r="F126" s="41" t="n"/>
      <c r="G126" s="41" t="n"/>
    </row>
    <row r="127" ht="15.75" customHeight="1" s="60">
      <c r="A127" s="41" t="n"/>
      <c r="B127" s="41" t="n"/>
      <c r="C127" s="41" t="n"/>
      <c r="D127" s="41" t="n"/>
      <c r="E127" s="41" t="n"/>
      <c r="F127" s="41" t="n"/>
      <c r="G127" s="41" t="n"/>
    </row>
    <row r="128" ht="15.75" customHeight="1" s="60">
      <c r="A128" s="41" t="n"/>
      <c r="B128" s="41" t="n"/>
      <c r="C128" s="41" t="n"/>
      <c r="D128" s="41" t="n"/>
      <c r="E128" s="41" t="n"/>
      <c r="F128" s="41" t="n"/>
      <c r="G128" s="41" t="n"/>
    </row>
    <row r="129" ht="15.75" customHeight="1" s="60">
      <c r="A129" s="41" t="n"/>
      <c r="B129" s="41" t="n"/>
      <c r="C129" s="41" t="n"/>
      <c r="D129" s="41" t="n"/>
      <c r="E129" s="41" t="n"/>
      <c r="F129" s="41" t="n"/>
      <c r="G129" s="41" t="n"/>
    </row>
    <row r="130" ht="15.75" customHeight="1" s="60">
      <c r="A130" s="41" t="n"/>
      <c r="B130" s="41" t="n"/>
      <c r="C130" s="41" t="n"/>
      <c r="D130" s="41" t="n"/>
      <c r="E130" s="41" t="n"/>
      <c r="F130" s="41" t="n"/>
      <c r="G130" s="41" t="n"/>
    </row>
    <row r="131" ht="15.75" customHeight="1" s="60">
      <c r="A131" s="41" t="n"/>
      <c r="B131" s="41" t="n"/>
      <c r="C131" s="41" t="n"/>
      <c r="D131" s="41" t="n"/>
      <c r="E131" s="41" t="n"/>
      <c r="F131" s="41" t="n"/>
      <c r="G131" s="41" t="n"/>
    </row>
    <row r="132" ht="15.75" customHeight="1" s="60">
      <c r="A132" s="41" t="n"/>
      <c r="B132" s="41" t="n"/>
      <c r="C132" s="41" t="n"/>
      <c r="D132" s="41" t="n"/>
      <c r="E132" s="41" t="n"/>
      <c r="F132" s="41" t="n"/>
      <c r="G132" s="41" t="n"/>
    </row>
    <row r="133" ht="15.75" customHeight="1" s="60">
      <c r="A133" s="41" t="n"/>
      <c r="B133" s="41" t="n"/>
      <c r="C133" s="41" t="n"/>
      <c r="D133" s="41" t="n"/>
      <c r="E133" s="41" t="n"/>
      <c r="F133" s="41" t="n"/>
      <c r="G133" s="41" t="n"/>
    </row>
    <row r="134" ht="15.75" customHeight="1" s="60">
      <c r="A134" s="41" t="n"/>
      <c r="B134" s="41" t="n"/>
      <c r="C134" s="41" t="n"/>
      <c r="D134" s="41" t="n"/>
      <c r="E134" s="41" t="n"/>
      <c r="F134" s="41" t="n"/>
      <c r="G134" s="41" t="n"/>
    </row>
    <row r="135" ht="15.75" customHeight="1" s="60">
      <c r="A135" s="41" t="n"/>
      <c r="B135" s="41" t="n"/>
      <c r="C135" s="41" t="n"/>
      <c r="D135" s="41" t="n"/>
      <c r="E135" s="41" t="n"/>
      <c r="F135" s="41" t="n"/>
      <c r="G135" s="41" t="n"/>
    </row>
    <row r="136" ht="15.75" customHeight="1" s="60">
      <c r="A136" s="41" t="n"/>
      <c r="B136" s="41" t="n"/>
      <c r="C136" s="41" t="n"/>
      <c r="D136" s="41" t="n"/>
      <c r="E136" s="41" t="n"/>
      <c r="F136" s="41" t="n"/>
      <c r="G136" s="41" t="n"/>
    </row>
    <row r="137" ht="15.75" customHeight="1" s="60">
      <c r="A137" s="41" t="n"/>
      <c r="B137" s="41" t="n"/>
      <c r="C137" s="41" t="n"/>
      <c r="D137" s="41" t="n"/>
      <c r="E137" s="41" t="n"/>
      <c r="F137" s="41" t="n"/>
      <c r="G137" s="41" t="n"/>
    </row>
    <row r="138" ht="15.75" customHeight="1" s="60">
      <c r="A138" s="41" t="n"/>
      <c r="B138" s="41" t="n"/>
      <c r="C138" s="41" t="n"/>
      <c r="D138" s="41" t="n"/>
      <c r="E138" s="41" t="n"/>
      <c r="F138" s="41" t="n"/>
      <c r="G138" s="41" t="n"/>
    </row>
    <row r="139" ht="15.75" customHeight="1" s="60">
      <c r="A139" s="41" t="n"/>
      <c r="B139" s="41" t="n"/>
      <c r="C139" s="41" t="n"/>
      <c r="D139" s="41" t="n"/>
      <c r="E139" s="41" t="n"/>
      <c r="F139" s="41" t="n"/>
      <c r="G139" s="41" t="n"/>
    </row>
    <row r="140" ht="15.75" customHeight="1" s="60">
      <c r="A140" s="41" t="n"/>
      <c r="B140" s="41" t="n"/>
      <c r="C140" s="41" t="n"/>
      <c r="D140" s="41" t="n"/>
      <c r="E140" s="41" t="n"/>
      <c r="F140" s="41" t="n"/>
      <c r="G140" s="41" t="n"/>
    </row>
    <row r="141" ht="15.75" customHeight="1" s="60">
      <c r="A141" s="41" t="n"/>
      <c r="B141" s="41" t="n"/>
      <c r="C141" s="41" t="n"/>
      <c r="D141" s="41" t="n"/>
      <c r="E141" s="41" t="n"/>
      <c r="F141" s="41" t="n"/>
      <c r="G141" s="41" t="n"/>
    </row>
    <row r="142" ht="15.75" customHeight="1" s="60">
      <c r="A142" s="41" t="n"/>
      <c r="B142" s="41" t="n"/>
      <c r="C142" s="41" t="n"/>
      <c r="D142" s="41" t="n"/>
      <c r="E142" s="41" t="n"/>
      <c r="F142" s="41" t="n"/>
      <c r="G142" s="41" t="n"/>
    </row>
    <row r="143" ht="15.75" customHeight="1" s="60">
      <c r="A143" s="41" t="n"/>
      <c r="B143" s="41" t="n"/>
      <c r="C143" s="41" t="n"/>
      <c r="D143" s="41" t="n"/>
      <c r="E143" s="41" t="n"/>
      <c r="F143" s="41" t="n"/>
      <c r="G143" s="41" t="n"/>
    </row>
    <row r="144" ht="15.75" customHeight="1" s="60">
      <c r="A144" s="41" t="n"/>
      <c r="B144" s="41" t="n"/>
      <c r="C144" s="41" t="n"/>
      <c r="D144" s="41" t="n"/>
      <c r="E144" s="41" t="n"/>
      <c r="F144" s="41" t="n"/>
      <c r="G144" s="41" t="n"/>
    </row>
    <row r="145" ht="15.75" customHeight="1" s="60">
      <c r="A145" s="41" t="n"/>
      <c r="B145" s="41" t="n"/>
      <c r="C145" s="41" t="n"/>
      <c r="D145" s="41" t="n"/>
      <c r="E145" s="41" t="n"/>
      <c r="F145" s="41" t="n"/>
      <c r="G145" s="41" t="n"/>
    </row>
    <row r="146" ht="15.75" customHeight="1" s="60">
      <c r="A146" s="41" t="n"/>
      <c r="B146" s="41" t="n"/>
      <c r="C146" s="41" t="n"/>
      <c r="D146" s="41" t="n"/>
      <c r="E146" s="41" t="n"/>
      <c r="F146" s="41" t="n"/>
      <c r="G146" s="41" t="n"/>
    </row>
    <row r="147" ht="15.75" customHeight="1" s="60">
      <c r="A147" s="41" t="n"/>
      <c r="B147" s="41" t="n"/>
      <c r="C147" s="41" t="n"/>
      <c r="D147" s="41" t="n"/>
      <c r="E147" s="41" t="n"/>
      <c r="F147" s="41" t="n"/>
      <c r="G147" s="41" t="n"/>
    </row>
    <row r="148" ht="15.75" customHeight="1" s="60">
      <c r="A148" s="41" t="n"/>
      <c r="B148" s="41" t="n"/>
      <c r="C148" s="41" t="n"/>
      <c r="D148" s="41" t="n"/>
      <c r="E148" s="41" t="n"/>
      <c r="F148" s="41" t="n"/>
      <c r="G148" s="41" t="n"/>
    </row>
    <row r="149" ht="15.75" customHeight="1" s="60">
      <c r="A149" s="41" t="n"/>
      <c r="B149" s="41" t="n"/>
      <c r="C149" s="41" t="n"/>
      <c r="D149" s="41" t="n"/>
      <c r="E149" s="41" t="n"/>
      <c r="F149" s="41" t="n"/>
      <c r="G149" s="41" t="n"/>
    </row>
    <row r="150" ht="15.75" customHeight="1" s="60">
      <c r="A150" s="41" t="n"/>
      <c r="B150" s="41" t="n"/>
      <c r="C150" s="41" t="n"/>
      <c r="D150" s="41" t="n"/>
      <c r="E150" s="41" t="n"/>
      <c r="F150" s="41" t="n"/>
      <c r="G150" s="41" t="n"/>
    </row>
    <row r="151" ht="15.75" customHeight="1" s="60">
      <c r="A151" s="41" t="n"/>
      <c r="B151" s="41" t="n"/>
      <c r="C151" s="41" t="n"/>
      <c r="D151" s="41" t="n"/>
      <c r="E151" s="41" t="n"/>
      <c r="F151" s="41" t="n"/>
      <c r="G151" s="41" t="n"/>
    </row>
    <row r="152" ht="15.75" customHeight="1" s="60">
      <c r="A152" s="41" t="n"/>
      <c r="B152" s="41" t="n"/>
      <c r="C152" s="41" t="n"/>
      <c r="D152" s="41" t="n"/>
      <c r="E152" s="41" t="n"/>
      <c r="F152" s="41" t="n"/>
      <c r="G152" s="41" t="n"/>
    </row>
    <row r="153" ht="15.75" customHeight="1" s="60">
      <c r="A153" s="41" t="n"/>
      <c r="B153" s="41" t="n"/>
      <c r="C153" s="41" t="n"/>
      <c r="D153" s="41" t="n"/>
      <c r="E153" s="41" t="n"/>
      <c r="F153" s="41" t="n"/>
      <c r="G153" s="41" t="n"/>
    </row>
    <row r="154" ht="15.75" customHeight="1" s="60">
      <c r="A154" s="41" t="n"/>
      <c r="B154" s="41" t="n"/>
      <c r="C154" s="41" t="n"/>
      <c r="D154" s="41" t="n"/>
      <c r="E154" s="41" t="n"/>
      <c r="F154" s="41" t="n"/>
      <c r="G154" s="41" t="n"/>
    </row>
    <row r="155" ht="15.75" customHeight="1" s="60">
      <c r="A155" s="41" t="n"/>
      <c r="B155" s="41" t="n"/>
      <c r="C155" s="41" t="n"/>
      <c r="D155" s="41" t="n"/>
      <c r="E155" s="41" t="n"/>
      <c r="F155" s="41" t="n"/>
      <c r="G155" s="41" t="n"/>
    </row>
    <row r="156" ht="15.75" customHeight="1" s="60">
      <c r="A156" s="41" t="n"/>
      <c r="B156" s="41" t="n"/>
      <c r="C156" s="41" t="n"/>
      <c r="D156" s="41" t="n"/>
      <c r="E156" s="41" t="n"/>
      <c r="F156" s="41" t="n"/>
      <c r="G156" s="41" t="n"/>
    </row>
    <row r="157" ht="15.75" customHeight="1" s="60">
      <c r="A157" s="41" t="n"/>
      <c r="B157" s="41" t="n"/>
      <c r="C157" s="41" t="n"/>
      <c r="D157" s="41" t="n"/>
      <c r="E157" s="41" t="n"/>
      <c r="F157" s="41" t="n"/>
      <c r="G157" s="41" t="n"/>
    </row>
    <row r="158" ht="15.75" customHeight="1" s="60">
      <c r="A158" s="41" t="n"/>
      <c r="B158" s="41" t="n"/>
      <c r="C158" s="41" t="n"/>
      <c r="D158" s="41" t="n"/>
      <c r="E158" s="41" t="n"/>
      <c r="F158" s="41" t="n"/>
      <c r="G158" s="41" t="n"/>
    </row>
    <row r="159" ht="15.75" customHeight="1" s="60">
      <c r="A159" s="41" t="n"/>
      <c r="B159" s="41" t="n"/>
      <c r="C159" s="41" t="n"/>
      <c r="D159" s="41" t="n"/>
      <c r="E159" s="41" t="n"/>
      <c r="F159" s="41" t="n"/>
      <c r="G159" s="41" t="n"/>
    </row>
    <row r="160" ht="15.75" customHeight="1" s="60">
      <c r="A160" s="41" t="n"/>
      <c r="B160" s="41" t="n"/>
      <c r="C160" s="41" t="n"/>
      <c r="D160" s="41" t="n"/>
      <c r="E160" s="41" t="n"/>
      <c r="F160" s="41" t="n"/>
      <c r="G160" s="41" t="n"/>
    </row>
    <row r="161" ht="15.75" customHeight="1" s="60">
      <c r="A161" s="41" t="n"/>
      <c r="B161" s="41" t="n"/>
      <c r="C161" s="41" t="n"/>
      <c r="D161" s="41" t="n"/>
      <c r="E161" s="41" t="n"/>
      <c r="F161" s="41" t="n"/>
      <c r="G161" s="41" t="n"/>
    </row>
    <row r="162" ht="15.75" customHeight="1" s="60">
      <c r="A162" s="41" t="n"/>
      <c r="B162" s="41" t="n"/>
      <c r="C162" s="41" t="n"/>
      <c r="D162" s="41" t="n"/>
      <c r="E162" s="41" t="n"/>
      <c r="F162" s="41" t="n"/>
      <c r="G162" s="41" t="n"/>
    </row>
    <row r="163" ht="15.75" customHeight="1" s="60">
      <c r="A163" s="41" t="n"/>
      <c r="B163" s="41" t="n"/>
      <c r="C163" s="41" t="n"/>
      <c r="D163" s="41" t="n"/>
      <c r="E163" s="41" t="n"/>
      <c r="F163" s="41" t="n"/>
      <c r="G163" s="41" t="n"/>
    </row>
    <row r="164" ht="15.75" customHeight="1" s="60">
      <c r="A164" s="41" t="n"/>
      <c r="B164" s="41" t="n"/>
      <c r="C164" s="41" t="n"/>
      <c r="D164" s="41" t="n"/>
      <c r="E164" s="41" t="n"/>
      <c r="F164" s="41" t="n"/>
      <c r="G164" s="41" t="n"/>
    </row>
    <row r="165" ht="15.75" customHeight="1" s="60">
      <c r="A165" s="41" t="n"/>
      <c r="B165" s="41" t="n"/>
      <c r="C165" s="41" t="n"/>
      <c r="D165" s="41" t="n"/>
      <c r="E165" s="41" t="n"/>
      <c r="F165" s="41" t="n"/>
      <c r="G165" s="41" t="n"/>
    </row>
    <row r="166" ht="15.75" customHeight="1" s="60">
      <c r="A166" s="41" t="n"/>
      <c r="B166" s="41" t="n"/>
      <c r="C166" s="41" t="n"/>
      <c r="D166" s="41" t="n"/>
      <c r="E166" s="41" t="n"/>
      <c r="F166" s="41" t="n"/>
      <c r="G166" s="41" t="n"/>
    </row>
    <row r="167" ht="15.75" customHeight="1" s="60">
      <c r="A167" s="41" t="n"/>
      <c r="B167" s="41" t="n"/>
      <c r="C167" s="41" t="n"/>
      <c r="D167" s="41" t="n"/>
      <c r="E167" s="41" t="n"/>
      <c r="F167" s="41" t="n"/>
      <c r="G167" s="41" t="n"/>
    </row>
    <row r="168" ht="15.75" customHeight="1" s="60">
      <c r="A168" s="41" t="n"/>
      <c r="B168" s="41" t="n"/>
      <c r="C168" s="41" t="n"/>
      <c r="D168" s="41" t="n"/>
      <c r="E168" s="41" t="n"/>
      <c r="F168" s="41" t="n"/>
      <c r="G168" s="41" t="n"/>
    </row>
    <row r="169" ht="15.75" customHeight="1" s="60">
      <c r="A169" s="41" t="n"/>
      <c r="B169" s="41" t="n"/>
      <c r="C169" s="41" t="n"/>
      <c r="D169" s="41" t="n"/>
      <c r="E169" s="41" t="n"/>
      <c r="F169" s="41" t="n"/>
      <c r="G169" s="41" t="n"/>
    </row>
    <row r="170" ht="15.75" customHeight="1" s="60">
      <c r="A170" s="41" t="n"/>
      <c r="B170" s="41" t="n"/>
      <c r="C170" s="41" t="n"/>
      <c r="D170" s="41" t="n"/>
      <c r="E170" s="41" t="n"/>
      <c r="F170" s="41" t="n"/>
      <c r="G170" s="41" t="n"/>
    </row>
    <row r="171" ht="15.75" customHeight="1" s="60">
      <c r="A171" s="41" t="n"/>
      <c r="B171" s="41" t="n"/>
      <c r="C171" s="41" t="n"/>
      <c r="D171" s="41" t="n"/>
      <c r="E171" s="41" t="n"/>
      <c r="F171" s="41" t="n"/>
      <c r="G171" s="41" t="n"/>
    </row>
    <row r="172" ht="15.75" customHeight="1" s="60">
      <c r="A172" s="41" t="n"/>
      <c r="B172" s="41" t="n"/>
      <c r="C172" s="41" t="n"/>
      <c r="D172" s="41" t="n"/>
      <c r="E172" s="41" t="n"/>
      <c r="F172" s="41" t="n"/>
      <c r="G172" s="41" t="n"/>
    </row>
    <row r="173" ht="15.75" customHeight="1" s="60">
      <c r="A173" s="41" t="n"/>
      <c r="B173" s="41" t="n"/>
      <c r="C173" s="41" t="n"/>
      <c r="D173" s="41" t="n"/>
      <c r="E173" s="41" t="n"/>
      <c r="F173" s="41" t="n"/>
      <c r="G173" s="41" t="n"/>
    </row>
    <row r="174" ht="15.75" customHeight="1" s="60">
      <c r="A174" s="41" t="n"/>
      <c r="B174" s="41" t="n"/>
      <c r="C174" s="41" t="n"/>
      <c r="D174" s="41" t="n"/>
      <c r="E174" s="41" t="n"/>
      <c r="F174" s="41" t="n"/>
      <c r="G174" s="41" t="n"/>
    </row>
    <row r="175" ht="15.75" customHeight="1" s="60">
      <c r="A175" s="41" t="n"/>
      <c r="B175" s="41" t="n"/>
      <c r="C175" s="41" t="n"/>
      <c r="D175" s="41" t="n"/>
      <c r="E175" s="41" t="n"/>
      <c r="F175" s="41" t="n"/>
      <c r="G175" s="41" t="n"/>
    </row>
    <row r="176" ht="15.75" customHeight="1" s="60">
      <c r="A176" s="41" t="n"/>
      <c r="B176" s="41" t="n"/>
      <c r="C176" s="41" t="n"/>
      <c r="D176" s="41" t="n"/>
      <c r="E176" s="41" t="n"/>
      <c r="F176" s="41" t="n"/>
      <c r="G176" s="41" t="n"/>
    </row>
    <row r="177" ht="15.75" customHeight="1" s="60">
      <c r="A177" s="41" t="n"/>
      <c r="B177" s="41" t="n"/>
      <c r="C177" s="41" t="n"/>
      <c r="D177" s="41" t="n"/>
      <c r="E177" s="41" t="n"/>
      <c r="F177" s="41" t="n"/>
      <c r="G177" s="41" t="n"/>
    </row>
    <row r="178" ht="15.75" customHeight="1" s="60">
      <c r="A178" s="41" t="n"/>
      <c r="B178" s="41" t="n"/>
      <c r="C178" s="41" t="n"/>
      <c r="D178" s="41" t="n"/>
      <c r="E178" s="41" t="n"/>
      <c r="F178" s="41" t="n"/>
      <c r="G178" s="41" t="n"/>
    </row>
    <row r="179" ht="15.75" customHeight="1" s="60">
      <c r="A179" s="41" t="n"/>
      <c r="B179" s="41" t="n"/>
      <c r="C179" s="41" t="n"/>
      <c r="D179" s="41" t="n"/>
      <c r="E179" s="41" t="n"/>
      <c r="F179" s="41" t="n"/>
      <c r="G179" s="41" t="n"/>
    </row>
    <row r="180" ht="15.75" customHeight="1" s="60">
      <c r="A180" s="41" t="n"/>
      <c r="B180" s="41" t="n"/>
      <c r="C180" s="41" t="n"/>
      <c r="D180" s="41" t="n"/>
      <c r="E180" s="41" t="n"/>
      <c r="F180" s="41" t="n"/>
      <c r="G180" s="41" t="n"/>
    </row>
    <row r="181" ht="15.75" customHeight="1" s="60">
      <c r="A181" s="41" t="n"/>
      <c r="B181" s="41" t="n"/>
      <c r="C181" s="41" t="n"/>
      <c r="D181" s="41" t="n"/>
      <c r="E181" s="41" t="n"/>
      <c r="F181" s="41" t="n"/>
      <c r="G181" s="41" t="n"/>
    </row>
    <row r="182" ht="15.75" customHeight="1" s="60">
      <c r="A182" s="41" t="n"/>
      <c r="B182" s="41" t="n"/>
      <c r="C182" s="41" t="n"/>
      <c r="D182" s="41" t="n"/>
      <c r="E182" s="41" t="n"/>
      <c r="F182" s="41" t="n"/>
      <c r="G182" s="41" t="n"/>
    </row>
    <row r="183" ht="15.75" customHeight="1" s="60">
      <c r="A183" s="41" t="n"/>
      <c r="B183" s="41" t="n"/>
      <c r="C183" s="41" t="n"/>
      <c r="D183" s="41" t="n"/>
      <c r="E183" s="41" t="n"/>
      <c r="F183" s="41" t="n"/>
      <c r="G183" s="41" t="n"/>
    </row>
    <row r="184" ht="15.75" customHeight="1" s="60">
      <c r="A184" s="41" t="n"/>
      <c r="B184" s="41" t="n"/>
      <c r="C184" s="41" t="n"/>
      <c r="D184" s="41" t="n"/>
      <c r="E184" s="41" t="n"/>
      <c r="F184" s="41" t="n"/>
      <c r="G184" s="41" t="n"/>
    </row>
    <row r="185" ht="15.75" customHeight="1" s="60">
      <c r="A185" s="41" t="n"/>
      <c r="B185" s="41" t="n"/>
      <c r="C185" s="41" t="n"/>
      <c r="D185" s="41" t="n"/>
      <c r="E185" s="41" t="n"/>
      <c r="F185" s="41" t="n"/>
      <c r="G185" s="41" t="n"/>
    </row>
    <row r="186" ht="15.75" customHeight="1" s="60">
      <c r="A186" s="41" t="n"/>
      <c r="B186" s="41" t="n"/>
      <c r="C186" s="41" t="n"/>
      <c r="D186" s="41" t="n"/>
      <c r="E186" s="41" t="n"/>
      <c r="F186" s="41" t="n"/>
      <c r="G186" s="41" t="n"/>
    </row>
    <row r="187" ht="15.75" customHeight="1" s="60">
      <c r="A187" s="41" t="n"/>
      <c r="B187" s="41" t="n"/>
      <c r="C187" s="41" t="n"/>
      <c r="D187" s="41" t="n"/>
      <c r="E187" s="41" t="n"/>
      <c r="F187" s="41" t="n"/>
      <c r="G187" s="41" t="n"/>
    </row>
    <row r="188" ht="15.75" customHeight="1" s="60">
      <c r="A188" s="41" t="n"/>
      <c r="B188" s="41" t="n"/>
      <c r="C188" s="41" t="n"/>
      <c r="D188" s="41" t="n"/>
      <c r="E188" s="41" t="n"/>
      <c r="F188" s="41" t="n"/>
      <c r="G188" s="41" t="n"/>
    </row>
    <row r="189" ht="15.75" customHeight="1" s="60">
      <c r="A189" s="41" t="n"/>
      <c r="B189" s="41" t="n"/>
      <c r="C189" s="41" t="n"/>
      <c r="D189" s="41" t="n"/>
      <c r="E189" s="41" t="n"/>
      <c r="F189" s="41" t="n"/>
      <c r="G189" s="41" t="n"/>
    </row>
    <row r="190" ht="15.75" customHeight="1" s="60">
      <c r="A190" s="41" t="n"/>
      <c r="B190" s="41" t="n"/>
      <c r="C190" s="41" t="n"/>
      <c r="D190" s="41" t="n"/>
      <c r="E190" s="41" t="n"/>
      <c r="F190" s="41" t="n"/>
      <c r="G190" s="41" t="n"/>
    </row>
    <row r="191" ht="15.75" customHeight="1" s="60">
      <c r="A191" s="41" t="n"/>
      <c r="B191" s="41" t="n"/>
      <c r="C191" s="41" t="n"/>
      <c r="D191" s="41" t="n"/>
      <c r="E191" s="41" t="n"/>
      <c r="F191" s="41" t="n"/>
      <c r="G191" s="41" t="n"/>
    </row>
    <row r="192" ht="15.75" customHeight="1" s="60">
      <c r="A192" s="41" t="n"/>
      <c r="B192" s="41" t="n"/>
      <c r="C192" s="41" t="n"/>
      <c r="D192" s="41" t="n"/>
      <c r="E192" s="41" t="n"/>
      <c r="F192" s="41" t="n"/>
      <c r="G192" s="41" t="n"/>
    </row>
    <row r="193" ht="15.75" customHeight="1" s="60">
      <c r="A193" s="41" t="n"/>
      <c r="B193" s="41" t="n"/>
      <c r="C193" s="41" t="n"/>
      <c r="D193" s="41" t="n"/>
      <c r="E193" s="41" t="n"/>
      <c r="F193" s="41" t="n"/>
      <c r="G193" s="41" t="n"/>
    </row>
    <row r="194" ht="15.75" customHeight="1" s="60">
      <c r="A194" s="41" t="n"/>
      <c r="B194" s="41" t="n"/>
      <c r="C194" s="41" t="n"/>
      <c r="D194" s="41" t="n"/>
      <c r="E194" s="41" t="n"/>
      <c r="F194" s="41" t="n"/>
      <c r="G194" s="41" t="n"/>
    </row>
    <row r="195" ht="15.75" customHeight="1" s="60">
      <c r="A195" s="41" t="n"/>
      <c r="B195" s="41" t="n"/>
      <c r="C195" s="41" t="n"/>
      <c r="D195" s="41" t="n"/>
      <c r="E195" s="41" t="n"/>
      <c r="F195" s="41" t="n"/>
      <c r="G195" s="41" t="n"/>
    </row>
    <row r="196" ht="15.75" customHeight="1" s="60">
      <c r="A196" s="41" t="n"/>
      <c r="B196" s="41" t="n"/>
      <c r="C196" s="41" t="n"/>
      <c r="D196" s="41" t="n"/>
      <c r="E196" s="41" t="n"/>
      <c r="F196" s="41" t="n"/>
      <c r="G196" s="41" t="n"/>
    </row>
    <row r="197" ht="15.75" customHeight="1" s="60">
      <c r="A197" s="41" t="n"/>
      <c r="B197" s="41" t="n"/>
      <c r="C197" s="41" t="n"/>
      <c r="D197" s="41" t="n"/>
      <c r="E197" s="41" t="n"/>
      <c r="F197" s="41" t="n"/>
      <c r="G197" s="41" t="n"/>
    </row>
    <row r="198" ht="15.75" customHeight="1" s="60">
      <c r="A198" s="41" t="n"/>
      <c r="B198" s="41" t="n"/>
      <c r="C198" s="41" t="n"/>
      <c r="D198" s="41" t="n"/>
      <c r="E198" s="41" t="n"/>
      <c r="F198" s="41" t="n"/>
      <c r="G198" s="41" t="n"/>
    </row>
    <row r="199" ht="15.75" customHeight="1" s="60">
      <c r="A199" s="41" t="n"/>
      <c r="B199" s="41" t="n"/>
      <c r="C199" s="41" t="n"/>
      <c r="D199" s="41" t="n"/>
      <c r="E199" s="41" t="n"/>
      <c r="F199" s="41" t="n"/>
      <c r="G199" s="41" t="n"/>
    </row>
    <row r="200" ht="15.75" customHeight="1" s="60">
      <c r="A200" s="41" t="n"/>
      <c r="B200" s="41" t="n"/>
      <c r="C200" s="41" t="n"/>
      <c r="D200" s="41" t="n"/>
      <c r="E200" s="41" t="n"/>
      <c r="F200" s="41" t="n"/>
      <c r="G200" s="41" t="n"/>
    </row>
    <row r="201" ht="15.75" customHeight="1" s="60">
      <c r="A201" s="41" t="n"/>
      <c r="B201" s="41" t="n"/>
      <c r="C201" s="41" t="n"/>
      <c r="D201" s="41" t="n"/>
      <c r="E201" s="41" t="n"/>
      <c r="F201" s="41" t="n"/>
      <c r="G201" s="41" t="n"/>
    </row>
    <row r="202" ht="15.75" customHeight="1" s="60">
      <c r="A202" s="41" t="n"/>
      <c r="B202" s="41" t="n"/>
      <c r="C202" s="41" t="n"/>
      <c r="D202" s="41" t="n"/>
      <c r="E202" s="41" t="n"/>
      <c r="F202" s="41" t="n"/>
      <c r="G202" s="41" t="n"/>
    </row>
    <row r="203" ht="15.75" customHeight="1" s="60">
      <c r="A203" s="41" t="n"/>
      <c r="B203" s="41" t="n"/>
      <c r="C203" s="41" t="n"/>
      <c r="D203" s="41" t="n"/>
      <c r="E203" s="41" t="n"/>
      <c r="F203" s="41" t="n"/>
      <c r="G203" s="41" t="n"/>
    </row>
    <row r="204" ht="15.75" customHeight="1" s="60">
      <c r="A204" s="41" t="n"/>
      <c r="B204" s="41" t="n"/>
      <c r="C204" s="41" t="n"/>
      <c r="D204" s="41" t="n"/>
      <c r="E204" s="41" t="n"/>
      <c r="F204" s="41" t="n"/>
      <c r="G204" s="41" t="n"/>
    </row>
    <row r="205" ht="15.75" customHeight="1" s="60">
      <c r="A205" s="41" t="n"/>
      <c r="B205" s="41" t="n"/>
      <c r="C205" s="41" t="n"/>
      <c r="D205" s="41" t="n"/>
      <c r="E205" s="41" t="n"/>
      <c r="F205" s="41" t="n"/>
      <c r="G205" s="41" t="n"/>
    </row>
    <row r="206" ht="15.75" customHeight="1" s="60">
      <c r="A206" s="41" t="n"/>
      <c r="B206" s="41" t="n"/>
      <c r="C206" s="41" t="n"/>
      <c r="D206" s="41" t="n"/>
      <c r="E206" s="41" t="n"/>
      <c r="F206" s="41" t="n"/>
      <c r="G206" s="41" t="n"/>
    </row>
    <row r="207" ht="15.75" customHeight="1" s="60">
      <c r="A207" s="41" t="n"/>
      <c r="B207" s="41" t="n"/>
      <c r="C207" s="41" t="n"/>
      <c r="D207" s="41" t="n"/>
      <c r="E207" s="41" t="n"/>
      <c r="F207" s="41" t="n"/>
      <c r="G207" s="41" t="n"/>
    </row>
    <row r="208" ht="15.75" customHeight="1" s="60">
      <c r="A208" s="41" t="n"/>
      <c r="B208" s="41" t="n"/>
      <c r="C208" s="41" t="n"/>
      <c r="D208" s="41" t="n"/>
      <c r="E208" s="41" t="n"/>
      <c r="F208" s="41" t="n"/>
      <c r="G208" s="41" t="n"/>
    </row>
    <row r="209" ht="15.75" customHeight="1" s="60">
      <c r="A209" s="41" t="n"/>
      <c r="B209" s="41" t="n"/>
      <c r="C209" s="41" t="n"/>
      <c r="D209" s="41" t="n"/>
      <c r="E209" s="41" t="n"/>
      <c r="F209" s="41" t="n"/>
      <c r="G209" s="41" t="n"/>
    </row>
    <row r="210" ht="15.75" customHeight="1" s="60">
      <c r="A210" s="41" t="n"/>
      <c r="B210" s="41" t="n"/>
      <c r="C210" s="41" t="n"/>
      <c r="D210" s="41" t="n"/>
      <c r="E210" s="41" t="n"/>
      <c r="F210" s="41" t="n"/>
      <c r="G210" s="41" t="n"/>
    </row>
    <row r="211" ht="15.75" customHeight="1" s="60">
      <c r="A211" s="41" t="n"/>
      <c r="B211" s="41" t="n"/>
      <c r="C211" s="41" t="n"/>
      <c r="D211" s="41" t="n"/>
      <c r="E211" s="41" t="n"/>
      <c r="F211" s="41" t="n"/>
      <c r="G211" s="41" t="n"/>
    </row>
    <row r="212" ht="15.75" customHeight="1" s="60">
      <c r="A212" s="41" t="n"/>
      <c r="B212" s="41" t="n"/>
      <c r="C212" s="41" t="n"/>
      <c r="D212" s="41" t="n"/>
      <c r="E212" s="41" t="n"/>
      <c r="F212" s="41" t="n"/>
      <c r="G212" s="41" t="n"/>
    </row>
    <row r="213" ht="15.75" customHeight="1" s="60">
      <c r="A213" s="41" t="n"/>
      <c r="B213" s="41" t="n"/>
      <c r="C213" s="41" t="n"/>
      <c r="D213" s="41" t="n"/>
      <c r="E213" s="41" t="n"/>
      <c r="F213" s="41" t="n"/>
      <c r="G213" s="41" t="n"/>
    </row>
    <row r="214" ht="15.75" customHeight="1" s="60">
      <c r="A214" s="41" t="n"/>
      <c r="B214" s="41" t="n"/>
      <c r="C214" s="41" t="n"/>
      <c r="D214" s="41" t="n"/>
      <c r="E214" s="41" t="n"/>
      <c r="F214" s="41" t="n"/>
      <c r="G214" s="41" t="n"/>
    </row>
    <row r="215" ht="15.75" customHeight="1" s="60">
      <c r="A215" s="41" t="n"/>
      <c r="B215" s="41" t="n"/>
      <c r="C215" s="41" t="n"/>
      <c r="D215" s="41" t="n"/>
      <c r="E215" s="41" t="n"/>
      <c r="F215" s="41" t="n"/>
      <c r="G215" s="41" t="n"/>
    </row>
    <row r="216" ht="15.75" customHeight="1" s="60">
      <c r="A216" s="41" t="n"/>
      <c r="B216" s="41" t="n"/>
      <c r="C216" s="41" t="n"/>
      <c r="D216" s="41" t="n"/>
      <c r="E216" s="41" t="n"/>
      <c r="F216" s="41" t="n"/>
      <c r="G216" s="41" t="n"/>
    </row>
    <row r="217" ht="15.75" customHeight="1" s="60">
      <c r="A217" s="41" t="n"/>
      <c r="B217" s="41" t="n"/>
      <c r="C217" s="41" t="n"/>
      <c r="D217" s="41" t="n"/>
      <c r="E217" s="41" t="n"/>
      <c r="F217" s="41" t="n"/>
      <c r="G217" s="41" t="n"/>
    </row>
    <row r="218" ht="15.75" customHeight="1" s="60">
      <c r="A218" s="41" t="n"/>
      <c r="B218" s="41" t="n"/>
      <c r="C218" s="41" t="n"/>
      <c r="D218" s="41" t="n"/>
      <c r="E218" s="41" t="n"/>
      <c r="F218" s="41" t="n"/>
      <c r="G218" s="41" t="n"/>
    </row>
    <row r="219" ht="15.75" customHeight="1" s="60">
      <c r="A219" s="41" t="n"/>
      <c r="B219" s="41" t="n"/>
      <c r="C219" s="41" t="n"/>
      <c r="D219" s="41" t="n"/>
      <c r="E219" s="41" t="n"/>
      <c r="F219" s="41" t="n"/>
      <c r="G219" s="41" t="n"/>
    </row>
    <row r="220" ht="15.75" customHeight="1" s="60">
      <c r="A220" s="41" t="n"/>
      <c r="B220" s="41" t="n"/>
      <c r="C220" s="41" t="n"/>
      <c r="D220" s="41" t="n"/>
      <c r="E220" s="41" t="n"/>
      <c r="F220" s="41" t="n"/>
      <c r="G220" s="41" t="n"/>
    </row>
    <row r="221" ht="15.75" customHeight="1" s="60">
      <c r="A221" s="41" t="n"/>
      <c r="B221" s="41" t="n"/>
      <c r="C221" s="41" t="n"/>
      <c r="D221" s="41" t="n"/>
      <c r="E221" s="41" t="n"/>
      <c r="F221" s="41" t="n"/>
      <c r="G221" s="41" t="n"/>
    </row>
    <row r="222" ht="15.75" customHeight="1" s="60">
      <c r="A222" s="41" t="n"/>
      <c r="B222" s="41" t="n"/>
      <c r="C222" s="41" t="n"/>
      <c r="D222" s="41" t="n"/>
      <c r="E222" s="41" t="n"/>
      <c r="F222" s="41" t="n"/>
      <c r="G222" s="41" t="n"/>
    </row>
    <row r="223" ht="15.75" customHeight="1" s="60">
      <c r="A223" s="41" t="n"/>
      <c r="B223" s="41" t="n"/>
      <c r="C223" s="41" t="n"/>
      <c r="D223" s="41" t="n"/>
      <c r="E223" s="41" t="n"/>
      <c r="F223" s="41" t="n"/>
      <c r="G223" s="41" t="n"/>
    </row>
    <row r="224" ht="15.75" customHeight="1" s="60">
      <c r="A224" s="41" t="n"/>
      <c r="B224" s="41" t="n"/>
      <c r="C224" s="41" t="n"/>
      <c r="D224" s="41" t="n"/>
      <c r="E224" s="41" t="n"/>
      <c r="F224" s="41" t="n"/>
      <c r="G224" s="41" t="n"/>
    </row>
    <row r="225" ht="15.75" customHeight="1" s="60">
      <c r="A225" s="41" t="n"/>
      <c r="B225" s="41" t="n"/>
      <c r="C225" s="41" t="n"/>
      <c r="D225" s="41" t="n"/>
      <c r="E225" s="41" t="n"/>
      <c r="F225" s="41" t="n"/>
      <c r="G225" s="41" t="n"/>
    </row>
    <row r="226" ht="15.75" customHeight="1" s="60">
      <c r="A226" s="41" t="n"/>
      <c r="B226" s="41" t="n"/>
      <c r="C226" s="41" t="n"/>
      <c r="D226" s="41" t="n"/>
      <c r="E226" s="41" t="n"/>
      <c r="F226" s="41" t="n"/>
      <c r="G226" s="41" t="n"/>
    </row>
    <row r="227" ht="15.75" customHeight="1" s="60">
      <c r="A227" s="41" t="n"/>
      <c r="B227" s="41" t="n"/>
      <c r="C227" s="41" t="n"/>
      <c r="D227" s="41" t="n"/>
      <c r="E227" s="41" t="n"/>
      <c r="F227" s="41" t="n"/>
      <c r="G227" s="41" t="n"/>
    </row>
    <row r="228" ht="15.75" customHeight="1" s="60">
      <c r="A228" s="41" t="n"/>
      <c r="B228" s="41" t="n"/>
      <c r="C228" s="41" t="n"/>
      <c r="D228" s="41" t="n"/>
      <c r="E228" s="41" t="n"/>
      <c r="F228" s="41" t="n"/>
      <c r="G228" s="41" t="n"/>
    </row>
    <row r="229" ht="15.75" customHeight="1" s="60">
      <c r="A229" s="41" t="n"/>
      <c r="B229" s="41" t="n"/>
      <c r="C229" s="41" t="n"/>
      <c r="D229" s="41" t="n"/>
      <c r="E229" s="41" t="n"/>
      <c r="F229" s="41" t="n"/>
      <c r="G229" s="41" t="n"/>
    </row>
    <row r="230" ht="15.75" customHeight="1" s="60">
      <c r="A230" s="41" t="n"/>
      <c r="B230" s="41" t="n"/>
      <c r="C230" s="41" t="n"/>
      <c r="D230" s="41" t="n"/>
      <c r="E230" s="41" t="n"/>
      <c r="F230" s="41" t="n"/>
      <c r="G230" s="41" t="n"/>
    </row>
    <row r="231" ht="15.75" customHeight="1" s="60">
      <c r="A231" s="41" t="n"/>
      <c r="B231" s="41" t="n"/>
      <c r="C231" s="41" t="n"/>
      <c r="D231" s="41" t="n"/>
      <c r="E231" s="41" t="n"/>
      <c r="F231" s="41" t="n"/>
      <c r="G231" s="41" t="n"/>
    </row>
    <row r="232" ht="15.75" customHeight="1" s="60">
      <c r="A232" s="41" t="n"/>
      <c r="B232" s="41" t="n"/>
      <c r="C232" s="41" t="n"/>
      <c r="D232" s="41" t="n"/>
      <c r="E232" s="41" t="n"/>
      <c r="F232" s="41" t="n"/>
      <c r="G232" s="41" t="n"/>
    </row>
    <row r="233" ht="15.75" customHeight="1" s="60">
      <c r="A233" s="41" t="n"/>
      <c r="B233" s="41" t="n"/>
      <c r="C233" s="41" t="n"/>
      <c r="D233" s="41" t="n"/>
      <c r="E233" s="41" t="n"/>
      <c r="F233" s="41" t="n"/>
      <c r="G233" s="41" t="n"/>
    </row>
    <row r="234" ht="15.75" customHeight="1" s="60">
      <c r="A234" s="41" t="n"/>
      <c r="B234" s="41" t="n"/>
      <c r="C234" s="41" t="n"/>
      <c r="D234" s="41" t="n"/>
      <c r="E234" s="41" t="n"/>
      <c r="F234" s="41" t="n"/>
      <c r="G234" s="41" t="n"/>
    </row>
    <row r="235" ht="15.75" customHeight="1" s="60">
      <c r="A235" s="41" t="n"/>
      <c r="B235" s="41" t="n"/>
      <c r="C235" s="41" t="n"/>
      <c r="D235" s="41" t="n"/>
      <c r="E235" s="41" t="n"/>
      <c r="F235" s="41" t="n"/>
      <c r="G235" s="41" t="n"/>
    </row>
    <row r="236" ht="15.75" customHeight="1" s="60">
      <c r="A236" s="41" t="n"/>
      <c r="B236" s="41" t="n"/>
      <c r="C236" s="41" t="n"/>
      <c r="D236" s="41" t="n"/>
      <c r="E236" s="41" t="n"/>
      <c r="F236" s="41" t="n"/>
      <c r="G236" s="41" t="n"/>
    </row>
    <row r="237" ht="15.75" customHeight="1" s="60">
      <c r="A237" s="41" t="n"/>
      <c r="B237" s="41" t="n"/>
      <c r="C237" s="41" t="n"/>
      <c r="D237" s="41" t="n"/>
      <c r="E237" s="41" t="n"/>
      <c r="F237" s="41" t="n"/>
      <c r="G237" s="41" t="n"/>
    </row>
    <row r="238" ht="15.75" customHeight="1" s="60">
      <c r="A238" s="41" t="n"/>
      <c r="B238" s="41" t="n"/>
      <c r="C238" s="41" t="n"/>
      <c r="D238" s="41" t="n"/>
      <c r="E238" s="41" t="n"/>
      <c r="F238" s="41" t="n"/>
      <c r="G238" s="41" t="n"/>
    </row>
    <row r="239" ht="15.75" customHeight="1" s="60">
      <c r="A239" s="41" t="n"/>
      <c r="B239" s="41" t="n"/>
      <c r="C239" s="41" t="n"/>
      <c r="D239" s="41" t="n"/>
      <c r="E239" s="41" t="n"/>
      <c r="F239" s="41" t="n"/>
      <c r="G239" s="41" t="n"/>
    </row>
    <row r="240" ht="15.75" customHeight="1" s="60">
      <c r="A240" s="41" t="n"/>
      <c r="B240" s="41" t="n"/>
      <c r="C240" s="41" t="n"/>
      <c r="D240" s="41" t="n"/>
      <c r="E240" s="41" t="n"/>
      <c r="F240" s="41" t="n"/>
      <c r="G240" s="41" t="n"/>
    </row>
    <row r="241" ht="15.75" customHeight="1" s="60">
      <c r="A241" s="41" t="n"/>
      <c r="B241" s="41" t="n"/>
      <c r="C241" s="41" t="n"/>
      <c r="D241" s="41" t="n"/>
      <c r="E241" s="41" t="n"/>
      <c r="F241" s="41" t="n"/>
      <c r="G241" s="41" t="n"/>
    </row>
    <row r="242" ht="15.75" customHeight="1" s="60">
      <c r="A242" s="41" t="n"/>
      <c r="B242" s="41" t="n"/>
      <c r="C242" s="41" t="n"/>
      <c r="D242" s="41" t="n"/>
      <c r="E242" s="41" t="n"/>
      <c r="F242" s="41" t="n"/>
      <c r="G242" s="41" t="n"/>
    </row>
    <row r="243" ht="15.75" customHeight="1" s="60">
      <c r="A243" s="41" t="n"/>
      <c r="B243" s="41" t="n"/>
      <c r="C243" s="41" t="n"/>
      <c r="D243" s="41" t="n"/>
      <c r="E243" s="41" t="n"/>
      <c r="F243" s="41" t="n"/>
      <c r="G243" s="41" t="n"/>
    </row>
    <row r="244" ht="15.75" customHeight="1" s="60">
      <c r="A244" s="41" t="n"/>
      <c r="B244" s="41" t="n"/>
      <c r="C244" s="41" t="n"/>
      <c r="D244" s="41" t="n"/>
      <c r="E244" s="41" t="n"/>
      <c r="F244" s="41" t="n"/>
      <c r="G244" s="41" t="n"/>
    </row>
    <row r="245" ht="15.75" customHeight="1" s="60">
      <c r="A245" s="41" t="n"/>
      <c r="B245" s="41" t="n"/>
      <c r="C245" s="41" t="n"/>
      <c r="D245" s="41" t="n"/>
      <c r="E245" s="41" t="n"/>
      <c r="F245" s="41" t="n"/>
      <c r="G245" s="41" t="n"/>
    </row>
    <row r="246" ht="15.75" customHeight="1" s="60">
      <c r="A246" s="41" t="n"/>
      <c r="B246" s="41" t="n"/>
      <c r="C246" s="41" t="n"/>
      <c r="D246" s="41" t="n"/>
      <c r="E246" s="41" t="n"/>
      <c r="F246" s="41" t="n"/>
      <c r="G246" s="41" t="n"/>
    </row>
    <row r="247" ht="15.75" customHeight="1" s="60">
      <c r="A247" s="41" t="n"/>
      <c r="B247" s="41" t="n"/>
      <c r="C247" s="41" t="n"/>
      <c r="D247" s="41" t="n"/>
      <c r="E247" s="41" t="n"/>
      <c r="F247" s="41" t="n"/>
      <c r="G247" s="41" t="n"/>
    </row>
    <row r="248" ht="15.75" customHeight="1" s="60">
      <c r="A248" s="41" t="n"/>
      <c r="B248" s="41" t="n"/>
      <c r="C248" s="41" t="n"/>
      <c r="D248" s="41" t="n"/>
      <c r="E248" s="41" t="n"/>
      <c r="F248" s="41" t="n"/>
      <c r="G248" s="41" t="n"/>
    </row>
    <row r="249" ht="15.75" customHeight="1" s="60">
      <c r="A249" s="41" t="n"/>
      <c r="B249" s="41" t="n"/>
      <c r="C249" s="41" t="n"/>
      <c r="D249" s="41" t="n"/>
      <c r="E249" s="41" t="n"/>
      <c r="F249" s="41" t="n"/>
      <c r="G249" s="41" t="n"/>
    </row>
    <row r="250" ht="15.75" customHeight="1" s="60">
      <c r="A250" s="41" t="n"/>
      <c r="B250" s="41" t="n"/>
      <c r="C250" s="41" t="n"/>
      <c r="D250" s="41" t="n"/>
      <c r="E250" s="41" t="n"/>
      <c r="F250" s="41" t="n"/>
      <c r="G250" s="41" t="n"/>
    </row>
    <row r="251" ht="15.75" customHeight="1" s="60">
      <c r="A251" s="41" t="n"/>
      <c r="B251" s="41" t="n"/>
      <c r="C251" s="41" t="n"/>
      <c r="D251" s="41" t="n"/>
      <c r="E251" s="41" t="n"/>
      <c r="F251" s="41" t="n"/>
      <c r="G251" s="41" t="n"/>
    </row>
    <row r="252" ht="15.75" customHeight="1" s="60">
      <c r="A252" s="41" t="n"/>
      <c r="B252" s="41" t="n"/>
      <c r="C252" s="41" t="n"/>
      <c r="D252" s="41" t="n"/>
      <c r="E252" s="41" t="n"/>
      <c r="F252" s="41" t="n"/>
      <c r="G252" s="41" t="n"/>
    </row>
    <row r="253" ht="15.75" customHeight="1" s="60">
      <c r="A253" s="41" t="n"/>
      <c r="B253" s="41" t="n"/>
      <c r="C253" s="41" t="n"/>
      <c r="D253" s="41" t="n"/>
      <c r="E253" s="41" t="n"/>
      <c r="F253" s="41" t="n"/>
      <c r="G253" s="41" t="n"/>
    </row>
    <row r="254" ht="15.75" customHeight="1" s="60">
      <c r="A254" s="41" t="n"/>
      <c r="B254" s="41" t="n"/>
      <c r="C254" s="41" t="n"/>
      <c r="D254" s="41" t="n"/>
      <c r="E254" s="41" t="n"/>
      <c r="F254" s="41" t="n"/>
      <c r="G254" s="41" t="n"/>
    </row>
    <row r="255" ht="15.75" customHeight="1" s="60">
      <c r="A255" s="41" t="n"/>
      <c r="B255" s="41" t="n"/>
      <c r="C255" s="41" t="n"/>
      <c r="D255" s="41" t="n"/>
      <c r="E255" s="41" t="n"/>
      <c r="F255" s="41" t="n"/>
      <c r="G255" s="41" t="n"/>
    </row>
    <row r="256" ht="15.75" customHeight="1" s="60">
      <c r="A256" s="41" t="n"/>
      <c r="B256" s="41" t="n"/>
      <c r="C256" s="41" t="n"/>
      <c r="D256" s="41" t="n"/>
      <c r="E256" s="41" t="n"/>
      <c r="F256" s="41" t="n"/>
      <c r="G256" s="41" t="n"/>
    </row>
    <row r="257" ht="15.75" customHeight="1" s="60">
      <c r="A257" s="41" t="n"/>
      <c r="B257" s="41" t="n"/>
      <c r="C257" s="41" t="n"/>
      <c r="D257" s="41" t="n"/>
      <c r="E257" s="41" t="n"/>
      <c r="F257" s="41" t="n"/>
      <c r="G257" s="41" t="n"/>
    </row>
    <row r="258" ht="15.75" customHeight="1" s="60">
      <c r="A258" s="41" t="n"/>
      <c r="B258" s="41" t="n"/>
      <c r="C258" s="41" t="n"/>
      <c r="D258" s="41" t="n"/>
      <c r="E258" s="41" t="n"/>
      <c r="F258" s="41" t="n"/>
      <c r="G258" s="41" t="n"/>
    </row>
    <row r="259" ht="15.75" customHeight="1" s="60">
      <c r="A259" s="41" t="n"/>
      <c r="B259" s="41" t="n"/>
      <c r="C259" s="41" t="n"/>
      <c r="D259" s="41" t="n"/>
      <c r="E259" s="41" t="n"/>
      <c r="F259" s="41" t="n"/>
      <c r="G259" s="41" t="n"/>
    </row>
    <row r="260" ht="15.75" customHeight="1" s="60">
      <c r="A260" s="41" t="n"/>
      <c r="B260" s="41" t="n"/>
      <c r="C260" s="41" t="n"/>
      <c r="D260" s="41" t="n"/>
      <c r="E260" s="41" t="n"/>
      <c r="F260" s="41" t="n"/>
      <c r="G260" s="41" t="n"/>
    </row>
    <row r="261" ht="15.75" customHeight="1" s="60">
      <c r="A261" s="41" t="n"/>
      <c r="B261" s="41" t="n"/>
      <c r="C261" s="41" t="n"/>
      <c r="D261" s="41" t="n"/>
      <c r="E261" s="41" t="n"/>
      <c r="F261" s="41" t="n"/>
      <c r="G261" s="41" t="n"/>
    </row>
    <row r="262" ht="15.75" customHeight="1" s="60">
      <c r="A262" s="41" t="n"/>
      <c r="B262" s="41" t="n"/>
      <c r="C262" s="41" t="n"/>
      <c r="D262" s="41" t="n"/>
      <c r="E262" s="41" t="n"/>
      <c r="F262" s="41" t="n"/>
      <c r="G262" s="41" t="n"/>
    </row>
    <row r="263" ht="15.75" customHeight="1" s="60">
      <c r="A263" s="41" t="n"/>
      <c r="B263" s="41" t="n"/>
      <c r="C263" s="41" t="n"/>
      <c r="D263" s="41" t="n"/>
      <c r="E263" s="41" t="n"/>
      <c r="F263" s="41" t="n"/>
      <c r="G263" s="41" t="n"/>
    </row>
    <row r="264" ht="15.75" customHeight="1" s="60">
      <c r="A264" s="41" t="n"/>
      <c r="B264" s="41" t="n"/>
      <c r="C264" s="41" t="n"/>
      <c r="D264" s="41" t="n"/>
      <c r="E264" s="41" t="n"/>
      <c r="F264" s="41" t="n"/>
      <c r="G264" s="41" t="n"/>
    </row>
    <row r="265" ht="15.75" customHeight="1" s="60">
      <c r="A265" s="41" t="n"/>
      <c r="B265" s="41" t="n"/>
      <c r="C265" s="41" t="n"/>
      <c r="D265" s="41" t="n"/>
      <c r="E265" s="41" t="n"/>
      <c r="F265" s="41" t="n"/>
      <c r="G265" s="41" t="n"/>
    </row>
    <row r="266" ht="15.75" customHeight="1" s="60">
      <c r="A266" s="41" t="n"/>
      <c r="B266" s="41" t="n"/>
      <c r="C266" s="41" t="n"/>
      <c r="D266" s="41" t="n"/>
      <c r="E266" s="41" t="n"/>
      <c r="F266" s="41" t="n"/>
      <c r="G266" s="41" t="n"/>
    </row>
    <row r="267" ht="15.75" customHeight="1" s="60">
      <c r="A267" s="41" t="n"/>
      <c r="B267" s="41" t="n"/>
      <c r="C267" s="41" t="n"/>
      <c r="D267" s="41" t="n"/>
      <c r="E267" s="41" t="n"/>
      <c r="F267" s="41" t="n"/>
      <c r="G267" s="41" t="n"/>
    </row>
    <row r="268" ht="15.75" customHeight="1" s="60">
      <c r="A268" s="41" t="n"/>
      <c r="B268" s="41" t="n"/>
      <c r="C268" s="41" t="n"/>
      <c r="D268" s="41" t="n"/>
      <c r="E268" s="41" t="n"/>
      <c r="F268" s="41" t="n"/>
      <c r="G268" s="41" t="n"/>
    </row>
    <row r="269" ht="15.75" customHeight="1" s="60">
      <c r="A269" s="41" t="n"/>
      <c r="B269" s="41" t="n"/>
      <c r="C269" s="41" t="n"/>
      <c r="D269" s="41" t="n"/>
      <c r="E269" s="41" t="n"/>
      <c r="F269" s="41" t="n"/>
      <c r="G269" s="41" t="n"/>
    </row>
    <row r="270" ht="15.75" customHeight="1" s="60">
      <c r="A270" s="41" t="n"/>
      <c r="B270" s="41" t="n"/>
      <c r="C270" s="41" t="n"/>
      <c r="D270" s="41" t="n"/>
      <c r="E270" s="41" t="n"/>
      <c r="F270" s="41" t="n"/>
      <c r="G270" s="41" t="n"/>
    </row>
    <row r="271" ht="15.75" customHeight="1" s="60">
      <c r="A271" s="41" t="n"/>
      <c r="B271" s="41" t="n"/>
      <c r="C271" s="41" t="n"/>
      <c r="D271" s="41" t="n"/>
      <c r="E271" s="41" t="n"/>
      <c r="F271" s="41" t="n"/>
      <c r="G271" s="41" t="n"/>
    </row>
    <row r="272" ht="15.75" customHeight="1" s="60">
      <c r="A272" s="41" t="n"/>
      <c r="B272" s="41" t="n"/>
      <c r="C272" s="41" t="n"/>
      <c r="D272" s="41" t="n"/>
      <c r="E272" s="41" t="n"/>
      <c r="F272" s="41" t="n"/>
      <c r="G272" s="41" t="n"/>
    </row>
    <row r="273" ht="15.75" customHeight="1" s="60">
      <c r="A273" s="41" t="n"/>
      <c r="B273" s="41" t="n"/>
      <c r="C273" s="41" t="n"/>
      <c r="D273" s="41" t="n"/>
      <c r="E273" s="41" t="n"/>
      <c r="F273" s="41" t="n"/>
      <c r="G273" s="41" t="n"/>
    </row>
    <row r="274" ht="15.75" customHeight="1" s="60">
      <c r="A274" s="41" t="n"/>
      <c r="B274" s="41" t="n"/>
      <c r="C274" s="41" t="n"/>
      <c r="D274" s="41" t="n"/>
      <c r="E274" s="41" t="n"/>
      <c r="F274" s="41" t="n"/>
      <c r="G274" s="41" t="n"/>
    </row>
    <row r="275" ht="15.75" customHeight="1" s="60">
      <c r="A275" s="41" t="n"/>
      <c r="B275" s="41" t="n"/>
      <c r="C275" s="41" t="n"/>
      <c r="D275" s="41" t="n"/>
      <c r="E275" s="41" t="n"/>
      <c r="F275" s="41" t="n"/>
      <c r="G275" s="41" t="n"/>
    </row>
    <row r="276" ht="15.75" customHeight="1" s="60">
      <c r="A276" s="41" t="n"/>
      <c r="B276" s="41" t="n"/>
      <c r="C276" s="41" t="n"/>
      <c r="D276" s="41" t="n"/>
      <c r="E276" s="41" t="n"/>
      <c r="F276" s="41" t="n"/>
      <c r="G276" s="41" t="n"/>
    </row>
    <row r="277" ht="15.75" customHeight="1" s="60">
      <c r="A277" s="41" t="n"/>
      <c r="B277" s="41" t="n"/>
      <c r="C277" s="41" t="n"/>
      <c r="D277" s="41" t="n"/>
      <c r="E277" s="41" t="n"/>
      <c r="F277" s="41" t="n"/>
      <c r="G277" s="41" t="n"/>
    </row>
    <row r="278" ht="15.75" customHeight="1" s="60">
      <c r="A278" s="41" t="n"/>
      <c r="B278" s="41" t="n"/>
      <c r="C278" s="41" t="n"/>
      <c r="D278" s="41" t="n"/>
      <c r="E278" s="41" t="n"/>
      <c r="F278" s="41" t="n"/>
      <c r="G278" s="41" t="n"/>
    </row>
    <row r="279" ht="15.75" customHeight="1" s="60">
      <c r="A279" s="41" t="n"/>
      <c r="B279" s="41" t="n"/>
      <c r="C279" s="41" t="n"/>
      <c r="D279" s="41" t="n"/>
      <c r="E279" s="41" t="n"/>
      <c r="F279" s="41" t="n"/>
      <c r="G279" s="41" t="n"/>
    </row>
    <row r="280" ht="15.75" customHeight="1" s="60">
      <c r="A280" s="41" t="n"/>
      <c r="B280" s="41" t="n"/>
      <c r="C280" s="41" t="n"/>
      <c r="D280" s="41" t="n"/>
      <c r="E280" s="41" t="n"/>
      <c r="F280" s="41" t="n"/>
      <c r="G280" s="41" t="n"/>
    </row>
    <row r="281" ht="15.75" customHeight="1" s="60">
      <c r="A281" s="41" t="n"/>
      <c r="B281" s="41" t="n"/>
      <c r="C281" s="41" t="n"/>
      <c r="D281" s="41" t="n"/>
      <c r="E281" s="41" t="n"/>
      <c r="F281" s="41" t="n"/>
      <c r="G281" s="41" t="n"/>
    </row>
    <row r="282" ht="15.75" customHeight="1" s="60">
      <c r="A282" s="41" t="n"/>
      <c r="B282" s="41" t="n"/>
      <c r="C282" s="41" t="n"/>
      <c r="D282" s="41" t="n"/>
      <c r="E282" s="41" t="n"/>
      <c r="F282" s="41" t="n"/>
      <c r="G282" s="41" t="n"/>
    </row>
    <row r="283" ht="15.75" customHeight="1" s="60">
      <c r="A283" s="41" t="n"/>
      <c r="B283" s="41" t="n"/>
      <c r="C283" s="41" t="n"/>
      <c r="D283" s="41" t="n"/>
      <c r="E283" s="41" t="n"/>
      <c r="F283" s="41" t="n"/>
      <c r="G283" s="41" t="n"/>
    </row>
    <row r="284" ht="15.75" customHeight="1" s="60">
      <c r="A284" s="41" t="n"/>
      <c r="B284" s="41" t="n"/>
      <c r="C284" s="41" t="n"/>
      <c r="D284" s="41" t="n"/>
      <c r="E284" s="41" t="n"/>
      <c r="F284" s="41" t="n"/>
      <c r="G284" s="41" t="n"/>
    </row>
    <row r="285" ht="15.75" customHeight="1" s="60">
      <c r="A285" s="41" t="n"/>
      <c r="B285" s="41" t="n"/>
      <c r="C285" s="41" t="n"/>
      <c r="D285" s="41" t="n"/>
      <c r="E285" s="41" t="n"/>
      <c r="F285" s="41" t="n"/>
      <c r="G285" s="41" t="n"/>
    </row>
    <row r="286" ht="15.75" customHeight="1" s="60">
      <c r="A286" s="41" t="n"/>
      <c r="B286" s="41" t="n"/>
      <c r="C286" s="41" t="n"/>
      <c r="D286" s="41" t="n"/>
      <c r="E286" s="41" t="n"/>
      <c r="F286" s="41" t="n"/>
      <c r="G286" s="41" t="n"/>
    </row>
    <row r="287" ht="15.75" customHeight="1" s="60">
      <c r="A287" s="41" t="n"/>
      <c r="B287" s="41" t="n"/>
      <c r="C287" s="41" t="n"/>
      <c r="D287" s="41" t="n"/>
      <c r="E287" s="41" t="n"/>
      <c r="F287" s="41" t="n"/>
      <c r="G287" s="41" t="n"/>
    </row>
    <row r="288" ht="15.75" customHeight="1" s="60">
      <c r="A288" s="41" t="n"/>
      <c r="B288" s="41" t="n"/>
      <c r="C288" s="41" t="n"/>
      <c r="D288" s="41" t="n"/>
      <c r="E288" s="41" t="n"/>
      <c r="F288" s="41" t="n"/>
      <c r="G288" s="41" t="n"/>
    </row>
    <row r="289" ht="15.75" customHeight="1" s="60">
      <c r="A289" s="41" t="n"/>
      <c r="B289" s="41" t="n"/>
      <c r="C289" s="41" t="n"/>
      <c r="D289" s="41" t="n"/>
      <c r="E289" s="41" t="n"/>
      <c r="F289" s="41" t="n"/>
      <c r="G289" s="41" t="n"/>
    </row>
    <row r="290" ht="15.75" customHeight="1" s="60">
      <c r="A290" s="41" t="n"/>
      <c r="B290" s="41" t="n"/>
      <c r="C290" s="41" t="n"/>
      <c r="D290" s="41" t="n"/>
      <c r="E290" s="41" t="n"/>
      <c r="F290" s="41" t="n"/>
      <c r="G290" s="41" t="n"/>
    </row>
    <row r="291" ht="15.75" customHeight="1" s="60">
      <c r="A291" s="41" t="n"/>
      <c r="B291" s="41" t="n"/>
      <c r="C291" s="41" t="n"/>
      <c r="D291" s="41" t="n"/>
      <c r="E291" s="41" t="n"/>
      <c r="F291" s="41" t="n"/>
      <c r="G291" s="41" t="n"/>
    </row>
    <row r="292" ht="15.75" customHeight="1" s="60">
      <c r="A292" s="41" t="n"/>
      <c r="B292" s="41" t="n"/>
      <c r="C292" s="41" t="n"/>
      <c r="D292" s="41" t="n"/>
      <c r="E292" s="41" t="n"/>
      <c r="F292" s="41" t="n"/>
      <c r="G292" s="41" t="n"/>
    </row>
    <row r="293" ht="15.75" customHeight="1" s="60">
      <c r="A293" s="41" t="n"/>
      <c r="B293" s="41" t="n"/>
      <c r="C293" s="41" t="n"/>
      <c r="D293" s="41" t="n"/>
      <c r="E293" s="41" t="n"/>
      <c r="F293" s="41" t="n"/>
      <c r="G293" s="41" t="n"/>
    </row>
    <row r="294" ht="15.75" customHeight="1" s="60">
      <c r="A294" s="41" t="n"/>
      <c r="B294" s="41" t="n"/>
      <c r="C294" s="41" t="n"/>
      <c r="D294" s="41" t="n"/>
      <c r="E294" s="41" t="n"/>
      <c r="F294" s="41" t="n"/>
      <c r="G294" s="41" t="n"/>
    </row>
    <row r="295" ht="15.75" customHeight="1" s="60">
      <c r="A295" s="41" t="n"/>
      <c r="B295" s="41" t="n"/>
      <c r="C295" s="41" t="n"/>
      <c r="D295" s="41" t="n"/>
      <c r="E295" s="41" t="n"/>
      <c r="F295" s="41" t="n"/>
      <c r="G295" s="41" t="n"/>
    </row>
    <row r="296" ht="15.75" customHeight="1" s="60">
      <c r="A296" s="41" t="n"/>
      <c r="B296" s="41" t="n"/>
      <c r="C296" s="41" t="n"/>
      <c r="D296" s="41" t="n"/>
      <c r="E296" s="41" t="n"/>
      <c r="F296" s="41" t="n"/>
      <c r="G296" s="41" t="n"/>
    </row>
    <row r="297" ht="15.75" customHeight="1" s="60">
      <c r="A297" s="41" t="n"/>
      <c r="B297" s="41" t="n"/>
      <c r="C297" s="41" t="n"/>
      <c r="D297" s="41" t="n"/>
      <c r="E297" s="41" t="n"/>
      <c r="F297" s="41" t="n"/>
      <c r="G297" s="41" t="n"/>
    </row>
    <row r="298" ht="15.75" customHeight="1" s="60">
      <c r="A298" s="41" t="n"/>
      <c r="B298" s="41" t="n"/>
      <c r="C298" s="41" t="n"/>
      <c r="D298" s="41" t="n"/>
      <c r="E298" s="41" t="n"/>
      <c r="F298" s="41" t="n"/>
      <c r="G298" s="41" t="n"/>
    </row>
    <row r="299" ht="15.75" customHeight="1" s="60">
      <c r="A299" s="41" t="n"/>
      <c r="B299" s="41" t="n"/>
      <c r="C299" s="41" t="n"/>
      <c r="D299" s="41" t="n"/>
      <c r="E299" s="41" t="n"/>
      <c r="F299" s="41" t="n"/>
      <c r="G299" s="41" t="n"/>
    </row>
    <row r="300" ht="15.75" customHeight="1" s="60">
      <c r="A300" s="41" t="n"/>
      <c r="B300" s="41" t="n"/>
      <c r="C300" s="41" t="n"/>
      <c r="D300" s="41" t="n"/>
      <c r="E300" s="41" t="n"/>
      <c r="F300" s="41" t="n"/>
      <c r="G300" s="41" t="n"/>
    </row>
    <row r="301" ht="15.75" customHeight="1" s="60">
      <c r="A301" s="41" t="n"/>
      <c r="B301" s="41" t="n"/>
      <c r="C301" s="41" t="n"/>
      <c r="D301" s="41" t="n"/>
      <c r="E301" s="41" t="n"/>
      <c r="F301" s="41" t="n"/>
      <c r="G301" s="41" t="n"/>
    </row>
    <row r="302" ht="15.75" customHeight="1" s="60">
      <c r="A302" s="41" t="n"/>
      <c r="B302" s="41" t="n"/>
      <c r="C302" s="41" t="n"/>
      <c r="D302" s="41" t="n"/>
      <c r="E302" s="41" t="n"/>
      <c r="F302" s="41" t="n"/>
      <c r="G302" s="41" t="n"/>
    </row>
    <row r="303" ht="15.75" customHeight="1" s="60">
      <c r="A303" s="41" t="n"/>
      <c r="B303" s="41" t="n"/>
      <c r="C303" s="41" t="n"/>
      <c r="D303" s="41" t="n"/>
      <c r="E303" s="41" t="n"/>
      <c r="F303" s="41" t="n"/>
      <c r="G303" s="41" t="n"/>
    </row>
    <row r="304" ht="15.75" customHeight="1" s="60">
      <c r="A304" s="41" t="n"/>
      <c r="B304" s="41" t="n"/>
      <c r="C304" s="41" t="n"/>
      <c r="D304" s="41" t="n"/>
      <c r="E304" s="41" t="n"/>
      <c r="F304" s="41" t="n"/>
      <c r="G304" s="41" t="n"/>
    </row>
    <row r="305" ht="15.75" customHeight="1" s="60">
      <c r="A305" s="41" t="n"/>
      <c r="B305" s="41" t="n"/>
      <c r="C305" s="41" t="n"/>
      <c r="D305" s="41" t="n"/>
      <c r="E305" s="41" t="n"/>
      <c r="F305" s="41" t="n"/>
      <c r="G305" s="41" t="n"/>
    </row>
    <row r="306" ht="15.75" customHeight="1" s="60">
      <c r="A306" s="41" t="n"/>
      <c r="B306" s="41" t="n"/>
      <c r="C306" s="41" t="n"/>
      <c r="D306" s="41" t="n"/>
      <c r="E306" s="41" t="n"/>
      <c r="F306" s="41" t="n"/>
      <c r="G306" s="41" t="n"/>
    </row>
    <row r="307" ht="15.75" customHeight="1" s="60">
      <c r="A307" s="41" t="n"/>
      <c r="B307" s="41" t="n"/>
      <c r="C307" s="41" t="n"/>
      <c r="D307" s="41" t="n"/>
      <c r="E307" s="41" t="n"/>
      <c r="F307" s="41" t="n"/>
      <c r="G307" s="41" t="n"/>
    </row>
    <row r="308" ht="15.75" customHeight="1" s="60">
      <c r="A308" s="41" t="n"/>
      <c r="B308" s="41" t="n"/>
      <c r="C308" s="41" t="n"/>
      <c r="D308" s="41" t="n"/>
      <c r="E308" s="41" t="n"/>
      <c r="F308" s="41" t="n"/>
      <c r="G308" s="41" t="n"/>
    </row>
    <row r="309" ht="15.75" customHeight="1" s="60">
      <c r="A309" s="41" t="n"/>
      <c r="B309" s="41" t="n"/>
      <c r="C309" s="41" t="n"/>
      <c r="D309" s="41" t="n"/>
      <c r="E309" s="41" t="n"/>
      <c r="F309" s="41" t="n"/>
      <c r="G309" s="41" t="n"/>
    </row>
    <row r="310" ht="15.75" customHeight="1" s="60">
      <c r="A310" s="41" t="n"/>
      <c r="B310" s="41" t="n"/>
      <c r="C310" s="41" t="n"/>
      <c r="D310" s="41" t="n"/>
      <c r="E310" s="41" t="n"/>
      <c r="F310" s="41" t="n"/>
      <c r="G310" s="41" t="n"/>
    </row>
    <row r="311" ht="15.75" customHeight="1" s="60">
      <c r="A311" s="41" t="n"/>
      <c r="B311" s="41" t="n"/>
      <c r="C311" s="41" t="n"/>
      <c r="D311" s="41" t="n"/>
      <c r="E311" s="41" t="n"/>
      <c r="F311" s="41" t="n"/>
      <c r="G311" s="41" t="n"/>
    </row>
    <row r="312" ht="15.75" customHeight="1" s="60">
      <c r="A312" s="41" t="n"/>
      <c r="B312" s="41" t="n"/>
      <c r="C312" s="41" t="n"/>
      <c r="D312" s="41" t="n"/>
      <c r="E312" s="41" t="n"/>
      <c r="F312" s="41" t="n"/>
      <c r="G312" s="41" t="n"/>
    </row>
    <row r="313" ht="15.75" customHeight="1" s="60">
      <c r="A313" s="41" t="n"/>
      <c r="B313" s="41" t="n"/>
      <c r="C313" s="41" t="n"/>
      <c r="D313" s="41" t="n"/>
      <c r="E313" s="41" t="n"/>
      <c r="F313" s="41" t="n"/>
      <c r="G313" s="41" t="n"/>
    </row>
    <row r="314" ht="15.75" customHeight="1" s="60">
      <c r="A314" s="41" t="n"/>
      <c r="B314" s="41" t="n"/>
      <c r="C314" s="41" t="n"/>
      <c r="D314" s="41" t="n"/>
      <c r="E314" s="41" t="n"/>
      <c r="F314" s="41" t="n"/>
      <c r="G314" s="41" t="n"/>
    </row>
    <row r="315" ht="15.75" customHeight="1" s="60">
      <c r="A315" s="41" t="n"/>
      <c r="B315" s="41" t="n"/>
      <c r="C315" s="41" t="n"/>
      <c r="D315" s="41" t="n"/>
      <c r="E315" s="41" t="n"/>
      <c r="F315" s="41" t="n"/>
      <c r="G315" s="41" t="n"/>
    </row>
    <row r="316" ht="15.75" customHeight="1" s="60">
      <c r="A316" s="41" t="n"/>
      <c r="B316" s="41" t="n"/>
      <c r="C316" s="41" t="n"/>
      <c r="D316" s="41" t="n"/>
      <c r="E316" s="41" t="n"/>
      <c r="F316" s="41" t="n"/>
      <c r="G316" s="41" t="n"/>
    </row>
    <row r="317" ht="15.75" customHeight="1" s="60">
      <c r="A317" s="41" t="n"/>
      <c r="B317" s="41" t="n"/>
      <c r="C317" s="41" t="n"/>
      <c r="D317" s="41" t="n"/>
      <c r="E317" s="41" t="n"/>
      <c r="F317" s="41" t="n"/>
      <c r="G317" s="41" t="n"/>
    </row>
    <row r="318" ht="15.75" customHeight="1" s="60">
      <c r="A318" s="41" t="n"/>
      <c r="B318" s="41" t="n"/>
      <c r="C318" s="41" t="n"/>
      <c r="D318" s="41" t="n"/>
      <c r="E318" s="41" t="n"/>
      <c r="F318" s="41" t="n"/>
      <c r="G318" s="41" t="n"/>
    </row>
    <row r="319" ht="15.75" customHeight="1" s="60">
      <c r="A319" s="41" t="n"/>
      <c r="B319" s="41" t="n"/>
      <c r="C319" s="41" t="n"/>
      <c r="D319" s="41" t="n"/>
      <c r="E319" s="41" t="n"/>
      <c r="F319" s="41" t="n"/>
      <c r="G319" s="41" t="n"/>
    </row>
    <row r="320" ht="15.75" customHeight="1" s="60">
      <c r="A320" s="41" t="n"/>
      <c r="B320" s="41" t="n"/>
      <c r="C320" s="41" t="n"/>
      <c r="D320" s="41" t="n"/>
      <c r="E320" s="41" t="n"/>
      <c r="F320" s="41" t="n"/>
      <c r="G320" s="41" t="n"/>
    </row>
    <row r="321" ht="15.75" customHeight="1" s="60">
      <c r="A321" s="41" t="n"/>
      <c r="B321" s="41" t="n"/>
      <c r="C321" s="41" t="n"/>
      <c r="D321" s="41" t="n"/>
      <c r="E321" s="41" t="n"/>
      <c r="F321" s="41" t="n"/>
      <c r="G321" s="41" t="n"/>
    </row>
    <row r="322" ht="15.75" customHeight="1" s="60">
      <c r="A322" s="41" t="n"/>
      <c r="B322" s="41" t="n"/>
      <c r="C322" s="41" t="n"/>
      <c r="D322" s="41" t="n"/>
      <c r="E322" s="41" t="n"/>
      <c r="F322" s="41" t="n"/>
      <c r="G322" s="41" t="n"/>
    </row>
    <row r="323" ht="15.75" customHeight="1" s="60">
      <c r="A323" s="41" t="n"/>
      <c r="B323" s="41" t="n"/>
      <c r="C323" s="41" t="n"/>
      <c r="D323" s="41" t="n"/>
      <c r="E323" s="41" t="n"/>
      <c r="F323" s="41" t="n"/>
      <c r="G323" s="41" t="n"/>
    </row>
    <row r="324" ht="15.75" customHeight="1" s="60">
      <c r="A324" s="41" t="n"/>
      <c r="B324" s="41" t="n"/>
      <c r="C324" s="41" t="n"/>
      <c r="D324" s="41" t="n"/>
      <c r="E324" s="41" t="n"/>
      <c r="F324" s="41" t="n"/>
      <c r="G324" s="41" t="n"/>
    </row>
    <row r="325" ht="15.75" customHeight="1" s="60">
      <c r="A325" s="41" t="n"/>
      <c r="B325" s="41" t="n"/>
      <c r="C325" s="41" t="n"/>
      <c r="D325" s="41" t="n"/>
      <c r="E325" s="41" t="n"/>
      <c r="F325" s="41" t="n"/>
      <c r="G325" s="41" t="n"/>
    </row>
    <row r="326" ht="15.75" customHeight="1" s="60">
      <c r="A326" s="41" t="n"/>
      <c r="B326" s="41" t="n"/>
      <c r="C326" s="41" t="n"/>
      <c r="D326" s="41" t="n"/>
      <c r="E326" s="41" t="n"/>
      <c r="F326" s="41" t="n"/>
      <c r="G326" s="41" t="n"/>
    </row>
    <row r="327" ht="15.75" customHeight="1" s="60">
      <c r="A327" s="41" t="n"/>
      <c r="B327" s="41" t="n"/>
      <c r="C327" s="41" t="n"/>
      <c r="D327" s="41" t="n"/>
      <c r="E327" s="41" t="n"/>
      <c r="F327" s="41" t="n"/>
      <c r="G327" s="41" t="n"/>
    </row>
    <row r="328" ht="15.75" customHeight="1" s="60">
      <c r="A328" s="41" t="n"/>
      <c r="B328" s="41" t="n"/>
      <c r="C328" s="41" t="n"/>
      <c r="D328" s="41" t="n"/>
      <c r="E328" s="41" t="n"/>
      <c r="F328" s="41" t="n"/>
      <c r="G328" s="41" t="n"/>
    </row>
    <row r="329" ht="15.75" customHeight="1" s="60">
      <c r="A329" s="41" t="n"/>
      <c r="B329" s="41" t="n"/>
      <c r="C329" s="41" t="n"/>
      <c r="D329" s="41" t="n"/>
      <c r="E329" s="41" t="n"/>
      <c r="F329" s="41" t="n"/>
      <c r="G329" s="41" t="n"/>
    </row>
    <row r="330" ht="15.75" customHeight="1" s="60">
      <c r="A330" s="41" t="n"/>
      <c r="B330" s="41" t="n"/>
      <c r="C330" s="41" t="n"/>
      <c r="D330" s="41" t="n"/>
      <c r="E330" s="41" t="n"/>
      <c r="F330" s="41" t="n"/>
      <c r="G330" s="41" t="n"/>
    </row>
    <row r="331" ht="15.75" customHeight="1" s="60">
      <c r="A331" s="41" t="n"/>
      <c r="B331" s="41" t="n"/>
      <c r="C331" s="41" t="n"/>
      <c r="D331" s="41" t="n"/>
      <c r="E331" s="41" t="n"/>
      <c r="F331" s="41" t="n"/>
      <c r="G331" s="41" t="n"/>
    </row>
    <row r="332" ht="15.75" customHeight="1" s="60">
      <c r="A332" s="41" t="n"/>
      <c r="B332" s="41" t="n"/>
      <c r="C332" s="41" t="n"/>
      <c r="D332" s="41" t="n"/>
      <c r="E332" s="41" t="n"/>
      <c r="F332" s="41" t="n"/>
      <c r="G332" s="41" t="n"/>
    </row>
    <row r="333" ht="15.75" customHeight="1" s="60">
      <c r="A333" s="41" t="n"/>
      <c r="B333" s="41" t="n"/>
      <c r="C333" s="41" t="n"/>
      <c r="D333" s="41" t="n"/>
      <c r="E333" s="41" t="n"/>
      <c r="F333" s="41" t="n"/>
      <c r="G333" s="41" t="n"/>
    </row>
    <row r="334" ht="15.75" customHeight="1" s="60">
      <c r="A334" s="41" t="n"/>
      <c r="B334" s="41" t="n"/>
      <c r="C334" s="41" t="n"/>
      <c r="D334" s="41" t="n"/>
      <c r="E334" s="41" t="n"/>
      <c r="F334" s="41" t="n"/>
      <c r="G334" s="41" t="n"/>
    </row>
    <row r="335" ht="15.75" customHeight="1" s="60">
      <c r="A335" s="41" t="n"/>
      <c r="B335" s="41" t="n"/>
      <c r="C335" s="41" t="n"/>
      <c r="D335" s="41" t="n"/>
      <c r="E335" s="41" t="n"/>
      <c r="F335" s="41" t="n"/>
      <c r="G335" s="41" t="n"/>
    </row>
    <row r="336" ht="15.75" customHeight="1" s="60">
      <c r="A336" s="41" t="n"/>
      <c r="B336" s="41" t="n"/>
      <c r="C336" s="41" t="n"/>
      <c r="D336" s="41" t="n"/>
      <c r="E336" s="41" t="n"/>
      <c r="F336" s="41" t="n"/>
      <c r="G336" s="41" t="n"/>
    </row>
    <row r="337" ht="15.75" customHeight="1" s="60">
      <c r="A337" s="41" t="n"/>
      <c r="B337" s="41" t="n"/>
      <c r="C337" s="41" t="n"/>
      <c r="D337" s="41" t="n"/>
      <c r="E337" s="41" t="n"/>
      <c r="F337" s="41" t="n"/>
      <c r="G337" s="41" t="n"/>
    </row>
    <row r="338" ht="15.75" customHeight="1" s="60">
      <c r="A338" s="41" t="n"/>
      <c r="B338" s="41" t="n"/>
      <c r="C338" s="41" t="n"/>
      <c r="D338" s="41" t="n"/>
      <c r="E338" s="41" t="n"/>
      <c r="F338" s="41" t="n"/>
      <c r="G338" s="41" t="n"/>
    </row>
    <row r="339" ht="15.75" customHeight="1" s="60">
      <c r="A339" s="41" t="n"/>
      <c r="B339" s="41" t="n"/>
      <c r="C339" s="41" t="n"/>
      <c r="D339" s="41" t="n"/>
      <c r="E339" s="41" t="n"/>
      <c r="F339" s="41" t="n"/>
      <c r="G339" s="41" t="n"/>
    </row>
    <row r="340" ht="15.75" customHeight="1" s="60">
      <c r="A340" s="41" t="n"/>
      <c r="B340" s="41" t="n"/>
      <c r="C340" s="41" t="n"/>
      <c r="D340" s="41" t="n"/>
      <c r="E340" s="41" t="n"/>
      <c r="F340" s="41" t="n"/>
      <c r="G340" s="41" t="n"/>
    </row>
    <row r="341" ht="15.75" customHeight="1" s="60">
      <c r="A341" s="41" t="n"/>
      <c r="B341" s="41" t="n"/>
      <c r="C341" s="41" t="n"/>
      <c r="D341" s="41" t="n"/>
      <c r="E341" s="41" t="n"/>
      <c r="F341" s="41" t="n"/>
      <c r="G341" s="41" t="n"/>
    </row>
    <row r="342" ht="15.75" customHeight="1" s="60">
      <c r="A342" s="41" t="n"/>
      <c r="B342" s="41" t="n"/>
      <c r="C342" s="41" t="n"/>
      <c r="D342" s="41" t="n"/>
      <c r="E342" s="41" t="n"/>
      <c r="F342" s="41" t="n"/>
      <c r="G342" s="41" t="n"/>
    </row>
    <row r="343" ht="15.75" customHeight="1" s="60">
      <c r="A343" s="41" t="n"/>
      <c r="B343" s="41" t="n"/>
      <c r="C343" s="41" t="n"/>
      <c r="D343" s="41" t="n"/>
      <c r="E343" s="41" t="n"/>
      <c r="F343" s="41" t="n"/>
      <c r="G343" s="41" t="n"/>
    </row>
    <row r="344" ht="15.75" customHeight="1" s="60">
      <c r="A344" s="41" t="n"/>
      <c r="B344" s="41" t="n"/>
      <c r="C344" s="41" t="n"/>
      <c r="D344" s="41" t="n"/>
      <c r="E344" s="41" t="n"/>
      <c r="F344" s="41" t="n"/>
      <c r="G344" s="41" t="n"/>
    </row>
    <row r="345" ht="15.75" customHeight="1" s="60">
      <c r="A345" s="41" t="n"/>
      <c r="B345" s="41" t="n"/>
      <c r="C345" s="41" t="n"/>
      <c r="D345" s="41" t="n"/>
      <c r="E345" s="41" t="n"/>
      <c r="F345" s="41" t="n"/>
      <c r="G345" s="41" t="n"/>
    </row>
    <row r="346" ht="15.75" customHeight="1" s="60">
      <c r="A346" s="41" t="n"/>
      <c r="B346" s="41" t="n"/>
      <c r="C346" s="41" t="n"/>
      <c r="D346" s="41" t="n"/>
      <c r="E346" s="41" t="n"/>
      <c r="F346" s="41" t="n"/>
      <c r="G346" s="41" t="n"/>
    </row>
    <row r="347" ht="15.75" customHeight="1" s="60">
      <c r="A347" s="41" t="n"/>
      <c r="B347" s="41" t="n"/>
      <c r="C347" s="41" t="n"/>
      <c r="D347" s="41" t="n"/>
      <c r="E347" s="41" t="n"/>
      <c r="F347" s="41" t="n"/>
      <c r="G347" s="41" t="n"/>
    </row>
    <row r="348" ht="15.75" customHeight="1" s="60">
      <c r="A348" s="41" t="n"/>
      <c r="B348" s="41" t="n"/>
      <c r="C348" s="41" t="n"/>
      <c r="D348" s="41" t="n"/>
      <c r="E348" s="41" t="n"/>
      <c r="F348" s="41" t="n"/>
      <c r="G348" s="41" t="n"/>
    </row>
    <row r="349" ht="15.75" customHeight="1" s="60">
      <c r="A349" s="41" t="n"/>
      <c r="B349" s="41" t="n"/>
      <c r="C349" s="41" t="n"/>
      <c r="D349" s="41" t="n"/>
      <c r="E349" s="41" t="n"/>
      <c r="F349" s="41" t="n"/>
      <c r="G349" s="41" t="n"/>
    </row>
    <row r="350" ht="15.75" customHeight="1" s="60">
      <c r="A350" s="41" t="n"/>
      <c r="B350" s="41" t="n"/>
      <c r="C350" s="41" t="n"/>
      <c r="D350" s="41" t="n"/>
      <c r="E350" s="41" t="n"/>
      <c r="F350" s="41" t="n"/>
      <c r="G350" s="41" t="n"/>
    </row>
    <row r="351" ht="15.75" customHeight="1" s="60">
      <c r="A351" s="41" t="n"/>
      <c r="B351" s="41" t="n"/>
      <c r="C351" s="41" t="n"/>
      <c r="D351" s="41" t="n"/>
      <c r="E351" s="41" t="n"/>
      <c r="F351" s="41" t="n"/>
      <c r="G351" s="41" t="n"/>
    </row>
    <row r="352" ht="15.75" customHeight="1" s="60">
      <c r="A352" s="41" t="n"/>
      <c r="B352" s="41" t="n"/>
      <c r="C352" s="41" t="n"/>
      <c r="D352" s="41" t="n"/>
      <c r="E352" s="41" t="n"/>
      <c r="F352" s="41" t="n"/>
      <c r="G352" s="41" t="n"/>
    </row>
    <row r="353" ht="15.75" customHeight="1" s="60">
      <c r="A353" s="41" t="n"/>
      <c r="B353" s="41" t="n"/>
      <c r="C353" s="41" t="n"/>
      <c r="D353" s="41" t="n"/>
      <c r="E353" s="41" t="n"/>
      <c r="F353" s="41" t="n"/>
      <c r="G353" s="41" t="n"/>
    </row>
    <row r="354" ht="15.75" customHeight="1" s="60">
      <c r="A354" s="41" t="n"/>
      <c r="B354" s="41" t="n"/>
      <c r="C354" s="41" t="n"/>
      <c r="D354" s="41" t="n"/>
      <c r="E354" s="41" t="n"/>
      <c r="F354" s="41" t="n"/>
      <c r="G354" s="41" t="n"/>
    </row>
    <row r="355" ht="15.75" customHeight="1" s="60">
      <c r="A355" s="41" t="n"/>
      <c r="B355" s="41" t="n"/>
      <c r="C355" s="41" t="n"/>
      <c r="D355" s="41" t="n"/>
      <c r="E355" s="41" t="n"/>
      <c r="F355" s="41" t="n"/>
      <c r="G355" s="41" t="n"/>
    </row>
    <row r="356" ht="15.75" customHeight="1" s="60">
      <c r="A356" s="41" t="n"/>
      <c r="B356" s="41" t="n"/>
      <c r="C356" s="41" t="n"/>
      <c r="D356" s="41" t="n"/>
      <c r="E356" s="41" t="n"/>
      <c r="F356" s="41" t="n"/>
      <c r="G356" s="41" t="n"/>
    </row>
    <row r="357" ht="15.75" customHeight="1" s="60">
      <c r="A357" s="41" t="n"/>
      <c r="B357" s="41" t="n"/>
      <c r="C357" s="41" t="n"/>
      <c r="D357" s="41" t="n"/>
      <c r="E357" s="41" t="n"/>
      <c r="F357" s="41" t="n"/>
      <c r="G357" s="41" t="n"/>
    </row>
    <row r="358" ht="15.75" customHeight="1" s="60">
      <c r="A358" s="41" t="n"/>
      <c r="B358" s="41" t="n"/>
      <c r="C358" s="41" t="n"/>
      <c r="D358" s="41" t="n"/>
      <c r="E358" s="41" t="n"/>
      <c r="F358" s="41" t="n"/>
      <c r="G358" s="41" t="n"/>
    </row>
    <row r="359" ht="15.75" customHeight="1" s="60">
      <c r="A359" s="41" t="n"/>
      <c r="B359" s="41" t="n"/>
      <c r="C359" s="41" t="n"/>
      <c r="D359" s="41" t="n"/>
      <c r="E359" s="41" t="n"/>
      <c r="F359" s="41" t="n"/>
      <c r="G359" s="41" t="n"/>
    </row>
    <row r="360" ht="15.75" customHeight="1" s="60">
      <c r="A360" s="41" t="n"/>
      <c r="B360" s="41" t="n"/>
      <c r="C360" s="41" t="n"/>
      <c r="D360" s="41" t="n"/>
      <c r="E360" s="41" t="n"/>
      <c r="F360" s="41" t="n"/>
      <c r="G360" s="41" t="n"/>
    </row>
    <row r="361" ht="15.75" customHeight="1" s="60">
      <c r="A361" s="41" t="n"/>
      <c r="B361" s="41" t="n"/>
      <c r="C361" s="41" t="n"/>
      <c r="D361" s="41" t="n"/>
      <c r="E361" s="41" t="n"/>
      <c r="F361" s="41" t="n"/>
      <c r="G361" s="41" t="n"/>
    </row>
    <row r="362" ht="15.75" customHeight="1" s="60">
      <c r="A362" s="41" t="n"/>
      <c r="B362" s="41" t="n"/>
      <c r="C362" s="41" t="n"/>
      <c r="D362" s="41" t="n"/>
      <c r="E362" s="41" t="n"/>
      <c r="F362" s="41" t="n"/>
      <c r="G362" s="41" t="n"/>
    </row>
    <row r="363" ht="15.75" customHeight="1" s="60">
      <c r="A363" s="41" t="n"/>
      <c r="B363" s="41" t="n"/>
      <c r="C363" s="41" t="n"/>
      <c r="D363" s="41" t="n"/>
      <c r="E363" s="41" t="n"/>
      <c r="F363" s="41" t="n"/>
      <c r="G363" s="41" t="n"/>
    </row>
    <row r="364" ht="15.75" customHeight="1" s="60">
      <c r="A364" s="41" t="n"/>
      <c r="B364" s="41" t="n"/>
      <c r="C364" s="41" t="n"/>
      <c r="D364" s="41" t="n"/>
      <c r="E364" s="41" t="n"/>
      <c r="F364" s="41" t="n"/>
      <c r="G364" s="41" t="n"/>
    </row>
    <row r="365" ht="15.75" customHeight="1" s="60">
      <c r="A365" s="41" t="n"/>
      <c r="B365" s="41" t="n"/>
      <c r="C365" s="41" t="n"/>
      <c r="D365" s="41" t="n"/>
      <c r="E365" s="41" t="n"/>
      <c r="F365" s="41" t="n"/>
      <c r="G365" s="41" t="n"/>
    </row>
    <row r="366" ht="15.75" customHeight="1" s="60">
      <c r="A366" s="41" t="n"/>
      <c r="B366" s="41" t="n"/>
      <c r="C366" s="41" t="n"/>
      <c r="D366" s="41" t="n"/>
      <c r="E366" s="41" t="n"/>
      <c r="F366" s="41" t="n"/>
      <c r="G366" s="41" t="n"/>
    </row>
    <row r="367" ht="15.75" customHeight="1" s="60">
      <c r="A367" s="41" t="n"/>
      <c r="B367" s="41" t="n"/>
      <c r="C367" s="41" t="n"/>
      <c r="D367" s="41" t="n"/>
      <c r="E367" s="41" t="n"/>
      <c r="F367" s="41" t="n"/>
      <c r="G367" s="41" t="n"/>
    </row>
    <row r="368" ht="15.75" customHeight="1" s="60">
      <c r="A368" s="41" t="n"/>
      <c r="B368" s="41" t="n"/>
      <c r="C368" s="41" t="n"/>
      <c r="D368" s="41" t="n"/>
      <c r="E368" s="41" t="n"/>
      <c r="F368" s="41" t="n"/>
      <c r="G368" s="41" t="n"/>
    </row>
    <row r="369" ht="15.75" customHeight="1" s="60">
      <c r="A369" s="41" t="n"/>
      <c r="B369" s="41" t="n"/>
      <c r="C369" s="41" t="n"/>
      <c r="D369" s="41" t="n"/>
      <c r="E369" s="41" t="n"/>
      <c r="F369" s="41" t="n"/>
      <c r="G369" s="41" t="n"/>
    </row>
    <row r="370" ht="15.75" customHeight="1" s="60">
      <c r="A370" s="41" t="n"/>
      <c r="B370" s="41" t="n"/>
      <c r="C370" s="41" t="n"/>
      <c r="D370" s="41" t="n"/>
      <c r="E370" s="41" t="n"/>
      <c r="F370" s="41" t="n"/>
      <c r="G370" s="41" t="n"/>
    </row>
    <row r="371" ht="15.75" customHeight="1" s="60">
      <c r="A371" s="41" t="n"/>
      <c r="B371" s="41" t="n"/>
      <c r="C371" s="41" t="n"/>
      <c r="D371" s="41" t="n"/>
      <c r="E371" s="41" t="n"/>
      <c r="F371" s="41" t="n"/>
      <c r="G371" s="41" t="n"/>
    </row>
    <row r="372" ht="15.75" customHeight="1" s="60">
      <c r="A372" s="41" t="n"/>
      <c r="B372" s="41" t="n"/>
      <c r="C372" s="41" t="n"/>
      <c r="D372" s="41" t="n"/>
      <c r="E372" s="41" t="n"/>
      <c r="F372" s="41" t="n"/>
      <c r="G372" s="41" t="n"/>
    </row>
    <row r="373" ht="15.75" customHeight="1" s="60">
      <c r="A373" s="41" t="n"/>
      <c r="B373" s="41" t="n"/>
      <c r="C373" s="41" t="n"/>
      <c r="D373" s="41" t="n"/>
      <c r="E373" s="41" t="n"/>
      <c r="F373" s="41" t="n"/>
      <c r="G373" s="41" t="n"/>
    </row>
    <row r="374" ht="15.75" customHeight="1" s="60">
      <c r="A374" s="41" t="n"/>
      <c r="B374" s="41" t="n"/>
      <c r="C374" s="41" t="n"/>
      <c r="D374" s="41" t="n"/>
      <c r="E374" s="41" t="n"/>
      <c r="F374" s="41" t="n"/>
      <c r="G374" s="41" t="n"/>
    </row>
    <row r="375" ht="15.75" customHeight="1" s="60">
      <c r="A375" s="41" t="n"/>
      <c r="B375" s="41" t="n"/>
      <c r="C375" s="41" t="n"/>
      <c r="D375" s="41" t="n"/>
      <c r="E375" s="41" t="n"/>
      <c r="F375" s="41" t="n"/>
      <c r="G375" s="41" t="n"/>
    </row>
    <row r="376" ht="15.75" customHeight="1" s="60">
      <c r="A376" s="41" t="n"/>
      <c r="B376" s="41" t="n"/>
      <c r="C376" s="41" t="n"/>
      <c r="D376" s="41" t="n"/>
      <c r="E376" s="41" t="n"/>
      <c r="F376" s="41" t="n"/>
      <c r="G376" s="41" t="n"/>
    </row>
    <row r="377" ht="15.75" customHeight="1" s="60">
      <c r="A377" s="41" t="n"/>
      <c r="B377" s="41" t="n"/>
      <c r="C377" s="41" t="n"/>
      <c r="D377" s="41" t="n"/>
      <c r="E377" s="41" t="n"/>
      <c r="F377" s="41" t="n"/>
      <c r="G377" s="41" t="n"/>
    </row>
    <row r="378" ht="15.75" customHeight="1" s="60">
      <c r="A378" s="41" t="n"/>
      <c r="B378" s="41" t="n"/>
      <c r="C378" s="41" t="n"/>
      <c r="D378" s="41" t="n"/>
      <c r="E378" s="41" t="n"/>
      <c r="F378" s="41" t="n"/>
      <c r="G378" s="41" t="n"/>
    </row>
    <row r="379" ht="15.75" customHeight="1" s="60">
      <c r="A379" s="41" t="n"/>
      <c r="B379" s="41" t="n"/>
      <c r="C379" s="41" t="n"/>
      <c r="D379" s="41" t="n"/>
      <c r="E379" s="41" t="n"/>
      <c r="F379" s="41" t="n"/>
      <c r="G379" s="41" t="n"/>
    </row>
    <row r="380" ht="15.75" customHeight="1" s="60">
      <c r="A380" s="41" t="n"/>
      <c r="B380" s="41" t="n"/>
      <c r="C380" s="41" t="n"/>
      <c r="D380" s="41" t="n"/>
      <c r="E380" s="41" t="n"/>
      <c r="F380" s="41" t="n"/>
      <c r="G380" s="41" t="n"/>
    </row>
    <row r="381" ht="15.75" customHeight="1" s="60">
      <c r="A381" s="41" t="n"/>
      <c r="B381" s="41" t="n"/>
      <c r="C381" s="41" t="n"/>
      <c r="D381" s="41" t="n"/>
      <c r="E381" s="41" t="n"/>
      <c r="F381" s="41" t="n"/>
      <c r="G381" s="41" t="n"/>
    </row>
    <row r="382" ht="15.75" customHeight="1" s="60">
      <c r="A382" s="41" t="n"/>
      <c r="B382" s="41" t="n"/>
      <c r="C382" s="41" t="n"/>
      <c r="D382" s="41" t="n"/>
      <c r="E382" s="41" t="n"/>
      <c r="F382" s="41" t="n"/>
      <c r="G382" s="41" t="n"/>
    </row>
    <row r="383" ht="15.75" customHeight="1" s="60">
      <c r="A383" s="41" t="n"/>
      <c r="B383" s="41" t="n"/>
      <c r="C383" s="41" t="n"/>
      <c r="D383" s="41" t="n"/>
      <c r="E383" s="41" t="n"/>
      <c r="F383" s="41" t="n"/>
      <c r="G383" s="41" t="n"/>
    </row>
    <row r="384" ht="15.75" customHeight="1" s="60">
      <c r="A384" s="41" t="n"/>
      <c r="B384" s="41" t="n"/>
      <c r="C384" s="41" t="n"/>
      <c r="D384" s="41" t="n"/>
      <c r="E384" s="41" t="n"/>
      <c r="F384" s="41" t="n"/>
      <c r="G384" s="41" t="n"/>
    </row>
    <row r="385" ht="15.75" customHeight="1" s="60">
      <c r="A385" s="41" t="n"/>
      <c r="B385" s="41" t="n"/>
      <c r="C385" s="41" t="n"/>
      <c r="D385" s="41" t="n"/>
      <c r="E385" s="41" t="n"/>
      <c r="F385" s="41" t="n"/>
      <c r="G385" s="41" t="n"/>
    </row>
    <row r="386" ht="15.75" customHeight="1" s="60">
      <c r="A386" s="41" t="n"/>
      <c r="B386" s="41" t="n"/>
      <c r="C386" s="41" t="n"/>
      <c r="D386" s="41" t="n"/>
      <c r="E386" s="41" t="n"/>
      <c r="F386" s="41" t="n"/>
      <c r="G386" s="41" t="n"/>
    </row>
    <row r="387" ht="15.75" customHeight="1" s="60">
      <c r="A387" s="41" t="n"/>
      <c r="B387" s="41" t="n"/>
      <c r="C387" s="41" t="n"/>
      <c r="D387" s="41" t="n"/>
      <c r="E387" s="41" t="n"/>
      <c r="F387" s="41" t="n"/>
      <c r="G387" s="41" t="n"/>
    </row>
    <row r="388" ht="15.75" customHeight="1" s="60">
      <c r="A388" s="41" t="n"/>
      <c r="B388" s="41" t="n"/>
      <c r="C388" s="41" t="n"/>
      <c r="D388" s="41" t="n"/>
      <c r="E388" s="41" t="n"/>
      <c r="F388" s="41" t="n"/>
      <c r="G388" s="41" t="n"/>
    </row>
    <row r="389" ht="15.75" customHeight="1" s="60">
      <c r="A389" s="41" t="n"/>
      <c r="B389" s="41" t="n"/>
      <c r="C389" s="41" t="n"/>
      <c r="D389" s="41" t="n"/>
      <c r="E389" s="41" t="n"/>
      <c r="F389" s="41" t="n"/>
      <c r="G389" s="41" t="n"/>
    </row>
    <row r="390" ht="15.75" customHeight="1" s="60">
      <c r="A390" s="41" t="n"/>
      <c r="B390" s="41" t="n"/>
      <c r="C390" s="41" t="n"/>
      <c r="D390" s="41" t="n"/>
      <c r="E390" s="41" t="n"/>
      <c r="F390" s="41" t="n"/>
      <c r="G390" s="41" t="n"/>
    </row>
    <row r="391" ht="15.75" customHeight="1" s="60">
      <c r="A391" s="41" t="n"/>
      <c r="B391" s="41" t="n"/>
      <c r="C391" s="41" t="n"/>
      <c r="D391" s="41" t="n"/>
      <c r="E391" s="41" t="n"/>
      <c r="F391" s="41" t="n"/>
      <c r="G391" s="41" t="n"/>
    </row>
    <row r="392" ht="15.75" customHeight="1" s="60">
      <c r="A392" s="41" t="n"/>
      <c r="B392" s="41" t="n"/>
      <c r="C392" s="41" t="n"/>
      <c r="D392" s="41" t="n"/>
      <c r="E392" s="41" t="n"/>
      <c r="F392" s="41" t="n"/>
      <c r="G392" s="41" t="n"/>
    </row>
    <row r="393" ht="15.75" customHeight="1" s="60">
      <c r="A393" s="41" t="n"/>
      <c r="B393" s="41" t="n"/>
      <c r="C393" s="41" t="n"/>
      <c r="D393" s="41" t="n"/>
      <c r="E393" s="41" t="n"/>
      <c r="F393" s="41" t="n"/>
      <c r="G393" s="41" t="n"/>
    </row>
    <row r="394" ht="15.75" customHeight="1" s="60">
      <c r="A394" s="41" t="n"/>
      <c r="B394" s="41" t="n"/>
      <c r="C394" s="41" t="n"/>
      <c r="D394" s="41" t="n"/>
      <c r="E394" s="41" t="n"/>
      <c r="F394" s="41" t="n"/>
      <c r="G394" s="41" t="n"/>
    </row>
    <row r="395" ht="15.75" customHeight="1" s="60">
      <c r="A395" s="41" t="n"/>
      <c r="B395" s="41" t="n"/>
      <c r="C395" s="41" t="n"/>
      <c r="D395" s="41" t="n"/>
      <c r="E395" s="41" t="n"/>
      <c r="F395" s="41" t="n"/>
      <c r="G395" s="41" t="n"/>
    </row>
    <row r="396" ht="15.75" customHeight="1" s="60">
      <c r="A396" s="41" t="n"/>
      <c r="B396" s="41" t="n"/>
      <c r="C396" s="41" t="n"/>
      <c r="D396" s="41" t="n"/>
      <c r="E396" s="41" t="n"/>
      <c r="F396" s="41" t="n"/>
      <c r="G396" s="41" t="n"/>
    </row>
    <row r="397" ht="15.75" customHeight="1" s="60">
      <c r="A397" s="41" t="n"/>
      <c r="B397" s="41" t="n"/>
      <c r="C397" s="41" t="n"/>
      <c r="D397" s="41" t="n"/>
      <c r="E397" s="41" t="n"/>
      <c r="F397" s="41" t="n"/>
      <c r="G397" s="41" t="n"/>
    </row>
    <row r="398" ht="15.75" customHeight="1" s="60">
      <c r="A398" s="41" t="n"/>
      <c r="B398" s="41" t="n"/>
      <c r="C398" s="41" t="n"/>
      <c r="D398" s="41" t="n"/>
      <c r="E398" s="41" t="n"/>
      <c r="F398" s="41" t="n"/>
      <c r="G398" s="41" t="n"/>
    </row>
    <row r="399" ht="15.75" customHeight="1" s="60">
      <c r="A399" s="41" t="n"/>
      <c r="B399" s="41" t="n"/>
      <c r="C399" s="41" t="n"/>
      <c r="D399" s="41" t="n"/>
      <c r="E399" s="41" t="n"/>
      <c r="F399" s="41" t="n"/>
      <c r="G399" s="41" t="n"/>
    </row>
    <row r="400" ht="15.75" customHeight="1" s="60">
      <c r="A400" s="41" t="n"/>
      <c r="B400" s="41" t="n"/>
      <c r="C400" s="41" t="n"/>
      <c r="D400" s="41" t="n"/>
      <c r="E400" s="41" t="n"/>
      <c r="F400" s="41" t="n"/>
      <c r="G400" s="41" t="n"/>
    </row>
    <row r="401" ht="15.75" customHeight="1" s="60">
      <c r="A401" s="41" t="n"/>
      <c r="B401" s="41" t="n"/>
      <c r="C401" s="41" t="n"/>
      <c r="D401" s="41" t="n"/>
      <c r="E401" s="41" t="n"/>
      <c r="F401" s="41" t="n"/>
      <c r="G401" s="41" t="n"/>
    </row>
    <row r="402" ht="15.75" customHeight="1" s="60">
      <c r="A402" s="41" t="n"/>
      <c r="B402" s="41" t="n"/>
      <c r="C402" s="41" t="n"/>
      <c r="D402" s="41" t="n"/>
      <c r="E402" s="41" t="n"/>
      <c r="F402" s="41" t="n"/>
      <c r="G402" s="41" t="n"/>
    </row>
    <row r="403" ht="15.75" customHeight="1" s="60">
      <c r="A403" s="41" t="n"/>
      <c r="B403" s="41" t="n"/>
      <c r="C403" s="41" t="n"/>
      <c r="D403" s="41" t="n"/>
      <c r="E403" s="41" t="n"/>
      <c r="F403" s="41" t="n"/>
      <c r="G403" s="41" t="n"/>
    </row>
    <row r="404" ht="15.75" customHeight="1" s="60">
      <c r="A404" s="41" t="n"/>
      <c r="B404" s="41" t="n"/>
      <c r="C404" s="41" t="n"/>
      <c r="D404" s="41" t="n"/>
      <c r="E404" s="41" t="n"/>
      <c r="F404" s="41" t="n"/>
      <c r="G404" s="41" t="n"/>
    </row>
    <row r="405" ht="15.75" customHeight="1" s="60">
      <c r="A405" s="41" t="n"/>
      <c r="B405" s="41" t="n"/>
      <c r="C405" s="41" t="n"/>
      <c r="D405" s="41" t="n"/>
      <c r="E405" s="41" t="n"/>
      <c r="F405" s="41" t="n"/>
      <c r="G405" s="41" t="n"/>
    </row>
    <row r="406" ht="15.75" customHeight="1" s="60">
      <c r="A406" s="41" t="n"/>
      <c r="B406" s="41" t="n"/>
      <c r="C406" s="41" t="n"/>
      <c r="D406" s="41" t="n"/>
      <c r="E406" s="41" t="n"/>
      <c r="F406" s="41" t="n"/>
      <c r="G406" s="41" t="n"/>
    </row>
    <row r="407" ht="15.75" customHeight="1" s="60">
      <c r="A407" s="41" t="n"/>
      <c r="B407" s="41" t="n"/>
      <c r="C407" s="41" t="n"/>
      <c r="D407" s="41" t="n"/>
      <c r="E407" s="41" t="n"/>
      <c r="F407" s="41" t="n"/>
      <c r="G407" s="41" t="n"/>
    </row>
    <row r="408" ht="15.75" customHeight="1" s="60">
      <c r="A408" s="41" t="n"/>
      <c r="B408" s="41" t="n"/>
      <c r="C408" s="41" t="n"/>
      <c r="D408" s="41" t="n"/>
      <c r="E408" s="41" t="n"/>
      <c r="F408" s="41" t="n"/>
      <c r="G408" s="41" t="n"/>
    </row>
    <row r="409" ht="15.75" customHeight="1" s="60">
      <c r="A409" s="41" t="n"/>
      <c r="B409" s="41" t="n"/>
      <c r="C409" s="41" t="n"/>
      <c r="D409" s="41" t="n"/>
      <c r="E409" s="41" t="n"/>
      <c r="F409" s="41" t="n"/>
      <c r="G409" s="41" t="n"/>
    </row>
    <row r="410" ht="15.75" customHeight="1" s="60">
      <c r="A410" s="41" t="n"/>
      <c r="B410" s="41" t="n"/>
      <c r="C410" s="41" t="n"/>
      <c r="D410" s="41" t="n"/>
      <c r="E410" s="41" t="n"/>
      <c r="F410" s="41" t="n"/>
      <c r="G410" s="41" t="n"/>
    </row>
    <row r="411" ht="15.75" customHeight="1" s="60">
      <c r="A411" s="41" t="n"/>
      <c r="B411" s="41" t="n"/>
      <c r="C411" s="41" t="n"/>
      <c r="D411" s="41" t="n"/>
      <c r="E411" s="41" t="n"/>
      <c r="F411" s="41" t="n"/>
      <c r="G411" s="41" t="n"/>
    </row>
    <row r="412" ht="15.75" customHeight="1" s="60">
      <c r="A412" s="41" t="n"/>
      <c r="B412" s="41" t="n"/>
      <c r="C412" s="41" t="n"/>
      <c r="D412" s="41" t="n"/>
      <c r="E412" s="41" t="n"/>
      <c r="F412" s="41" t="n"/>
      <c r="G412" s="41" t="n"/>
    </row>
    <row r="413" ht="15.75" customHeight="1" s="60">
      <c r="A413" s="41" t="n"/>
      <c r="B413" s="41" t="n"/>
      <c r="C413" s="41" t="n"/>
      <c r="D413" s="41" t="n"/>
      <c r="E413" s="41" t="n"/>
      <c r="F413" s="41" t="n"/>
      <c r="G413" s="41" t="n"/>
    </row>
    <row r="414" ht="15.75" customHeight="1" s="60">
      <c r="A414" s="41" t="n"/>
      <c r="B414" s="41" t="n"/>
      <c r="C414" s="41" t="n"/>
      <c r="D414" s="41" t="n"/>
      <c r="E414" s="41" t="n"/>
      <c r="F414" s="41" t="n"/>
      <c r="G414" s="41" t="n"/>
    </row>
    <row r="415" ht="15.75" customHeight="1" s="60">
      <c r="A415" s="41" t="n"/>
      <c r="B415" s="41" t="n"/>
      <c r="C415" s="41" t="n"/>
      <c r="D415" s="41" t="n"/>
      <c r="E415" s="41" t="n"/>
      <c r="F415" s="41" t="n"/>
      <c r="G415" s="41" t="n"/>
    </row>
    <row r="416" ht="15.75" customHeight="1" s="60">
      <c r="A416" s="41" t="n"/>
      <c r="B416" s="41" t="n"/>
      <c r="C416" s="41" t="n"/>
      <c r="D416" s="41" t="n"/>
      <c r="E416" s="41" t="n"/>
      <c r="F416" s="41" t="n"/>
      <c r="G416" s="41" t="n"/>
    </row>
    <row r="417" ht="15.75" customHeight="1" s="60">
      <c r="A417" s="41" t="n"/>
      <c r="B417" s="41" t="n"/>
      <c r="C417" s="41" t="n"/>
      <c r="D417" s="41" t="n"/>
      <c r="E417" s="41" t="n"/>
      <c r="F417" s="41" t="n"/>
      <c r="G417" s="41" t="n"/>
    </row>
    <row r="418" ht="15.75" customHeight="1" s="60">
      <c r="A418" s="41" t="n"/>
      <c r="B418" s="41" t="n"/>
      <c r="C418" s="41" t="n"/>
      <c r="D418" s="41" t="n"/>
      <c r="E418" s="41" t="n"/>
      <c r="F418" s="41" t="n"/>
      <c r="G418" s="41" t="n"/>
    </row>
    <row r="419" ht="15.75" customHeight="1" s="60">
      <c r="A419" s="41" t="n"/>
      <c r="B419" s="41" t="n"/>
      <c r="C419" s="41" t="n"/>
      <c r="D419" s="41" t="n"/>
      <c r="E419" s="41" t="n"/>
      <c r="F419" s="41" t="n"/>
      <c r="G419" s="41" t="n"/>
    </row>
    <row r="420" ht="15.75" customHeight="1" s="60">
      <c r="A420" s="41" t="n"/>
      <c r="B420" s="41" t="n"/>
      <c r="C420" s="41" t="n"/>
      <c r="D420" s="41" t="n"/>
      <c r="E420" s="41" t="n"/>
      <c r="F420" s="41" t="n"/>
      <c r="G420" s="41" t="n"/>
    </row>
    <row r="421" ht="15.75" customHeight="1" s="60">
      <c r="A421" s="41" t="n"/>
      <c r="B421" s="41" t="n"/>
      <c r="C421" s="41" t="n"/>
      <c r="D421" s="41" t="n"/>
      <c r="E421" s="41" t="n"/>
      <c r="F421" s="41" t="n"/>
      <c r="G421" s="41" t="n"/>
    </row>
    <row r="422" ht="15.75" customHeight="1" s="60">
      <c r="A422" s="41" t="n"/>
      <c r="B422" s="41" t="n"/>
      <c r="C422" s="41" t="n"/>
      <c r="D422" s="41" t="n"/>
      <c r="E422" s="41" t="n"/>
      <c r="F422" s="41" t="n"/>
      <c r="G422" s="41" t="n"/>
    </row>
    <row r="423" ht="15.75" customHeight="1" s="60">
      <c r="A423" s="41" t="n"/>
      <c r="B423" s="41" t="n"/>
      <c r="C423" s="41" t="n"/>
      <c r="D423" s="41" t="n"/>
      <c r="E423" s="41" t="n"/>
      <c r="F423" s="41" t="n"/>
      <c r="G423" s="41" t="n"/>
    </row>
    <row r="424" ht="15.75" customHeight="1" s="60">
      <c r="A424" s="41" t="n"/>
      <c r="B424" s="41" t="n"/>
      <c r="C424" s="41" t="n"/>
      <c r="D424" s="41" t="n"/>
      <c r="E424" s="41" t="n"/>
      <c r="F424" s="41" t="n"/>
      <c r="G424" s="41" t="n"/>
    </row>
    <row r="425" ht="15.75" customHeight="1" s="60">
      <c r="A425" s="41" t="n"/>
      <c r="B425" s="41" t="n"/>
      <c r="C425" s="41" t="n"/>
      <c r="D425" s="41" t="n"/>
      <c r="E425" s="41" t="n"/>
      <c r="F425" s="41" t="n"/>
      <c r="G425" s="41" t="n"/>
    </row>
    <row r="426" ht="15.75" customHeight="1" s="60">
      <c r="A426" s="41" t="n"/>
      <c r="B426" s="41" t="n"/>
      <c r="C426" s="41" t="n"/>
      <c r="D426" s="41" t="n"/>
      <c r="E426" s="41" t="n"/>
      <c r="F426" s="41" t="n"/>
      <c r="G426" s="41" t="n"/>
    </row>
    <row r="427" ht="15.75" customHeight="1" s="60">
      <c r="A427" s="41" t="n"/>
      <c r="B427" s="41" t="n"/>
      <c r="C427" s="41" t="n"/>
      <c r="D427" s="41" t="n"/>
      <c r="E427" s="41" t="n"/>
      <c r="F427" s="41" t="n"/>
      <c r="G427" s="41" t="n"/>
    </row>
    <row r="428" ht="15.75" customHeight="1" s="60">
      <c r="A428" s="41" t="n"/>
      <c r="B428" s="41" t="n"/>
      <c r="C428" s="41" t="n"/>
      <c r="D428" s="41" t="n"/>
      <c r="E428" s="41" t="n"/>
      <c r="F428" s="41" t="n"/>
      <c r="G428" s="41" t="n"/>
    </row>
    <row r="429" ht="15.75" customHeight="1" s="60">
      <c r="A429" s="41" t="n"/>
      <c r="B429" s="41" t="n"/>
      <c r="C429" s="41" t="n"/>
      <c r="D429" s="41" t="n"/>
      <c r="E429" s="41" t="n"/>
      <c r="F429" s="41" t="n"/>
      <c r="G429" s="41" t="n"/>
    </row>
    <row r="430" ht="15.75" customHeight="1" s="60">
      <c r="A430" s="41" t="n"/>
      <c r="B430" s="41" t="n"/>
      <c r="C430" s="41" t="n"/>
      <c r="D430" s="41" t="n"/>
      <c r="E430" s="41" t="n"/>
      <c r="F430" s="41" t="n"/>
      <c r="G430" s="41" t="n"/>
    </row>
    <row r="431" ht="15.75" customHeight="1" s="60">
      <c r="A431" s="41" t="n"/>
      <c r="B431" s="41" t="n"/>
      <c r="C431" s="41" t="n"/>
      <c r="D431" s="41" t="n"/>
      <c r="E431" s="41" t="n"/>
      <c r="F431" s="41" t="n"/>
      <c r="G431" s="41" t="n"/>
    </row>
    <row r="432" ht="15.75" customHeight="1" s="60">
      <c r="A432" s="41" t="n"/>
      <c r="B432" s="41" t="n"/>
      <c r="C432" s="41" t="n"/>
      <c r="D432" s="41" t="n"/>
      <c r="E432" s="41" t="n"/>
      <c r="F432" s="41" t="n"/>
      <c r="G432" s="41" t="n"/>
    </row>
    <row r="433" ht="15.75" customHeight="1" s="60">
      <c r="A433" s="41" t="n"/>
      <c r="B433" s="41" t="n"/>
      <c r="C433" s="41" t="n"/>
      <c r="D433" s="41" t="n"/>
      <c r="E433" s="41" t="n"/>
      <c r="F433" s="41" t="n"/>
      <c r="G433" s="41" t="n"/>
    </row>
    <row r="434" ht="15.75" customHeight="1" s="60">
      <c r="A434" s="41" t="n"/>
      <c r="B434" s="41" t="n"/>
      <c r="C434" s="41" t="n"/>
      <c r="D434" s="41" t="n"/>
      <c r="E434" s="41" t="n"/>
      <c r="F434" s="41" t="n"/>
      <c r="G434" s="41" t="n"/>
    </row>
    <row r="435" ht="15.75" customHeight="1" s="60">
      <c r="A435" s="41" t="n"/>
      <c r="B435" s="41" t="n"/>
      <c r="C435" s="41" t="n"/>
      <c r="D435" s="41" t="n"/>
      <c r="E435" s="41" t="n"/>
      <c r="F435" s="41" t="n"/>
      <c r="G435" s="41" t="n"/>
    </row>
    <row r="436" ht="15.75" customHeight="1" s="60">
      <c r="A436" s="41" t="n"/>
      <c r="B436" s="41" t="n"/>
      <c r="C436" s="41" t="n"/>
      <c r="D436" s="41" t="n"/>
      <c r="E436" s="41" t="n"/>
      <c r="F436" s="41" t="n"/>
      <c r="G436" s="41" t="n"/>
    </row>
    <row r="437" ht="15.75" customHeight="1" s="60">
      <c r="A437" s="41" t="n"/>
      <c r="B437" s="41" t="n"/>
      <c r="C437" s="41" t="n"/>
      <c r="D437" s="41" t="n"/>
      <c r="E437" s="41" t="n"/>
      <c r="F437" s="41" t="n"/>
      <c r="G437" s="41" t="n"/>
    </row>
    <row r="438" ht="15.75" customHeight="1" s="60">
      <c r="A438" s="41" t="n"/>
      <c r="B438" s="41" t="n"/>
      <c r="C438" s="41" t="n"/>
      <c r="D438" s="41" t="n"/>
      <c r="E438" s="41" t="n"/>
      <c r="F438" s="41" t="n"/>
      <c r="G438" s="41" t="n"/>
    </row>
    <row r="439" ht="15.75" customHeight="1" s="60">
      <c r="A439" s="41" t="n"/>
      <c r="B439" s="41" t="n"/>
      <c r="C439" s="41" t="n"/>
      <c r="D439" s="41" t="n"/>
      <c r="E439" s="41" t="n"/>
      <c r="F439" s="41" t="n"/>
      <c r="G439" s="41" t="n"/>
    </row>
    <row r="440" ht="15.75" customHeight="1" s="60">
      <c r="A440" s="41" t="n"/>
      <c r="B440" s="41" t="n"/>
      <c r="C440" s="41" t="n"/>
      <c r="D440" s="41" t="n"/>
      <c r="E440" s="41" t="n"/>
      <c r="F440" s="41" t="n"/>
      <c r="G440" s="41" t="n"/>
    </row>
    <row r="441" ht="15.75" customHeight="1" s="60">
      <c r="A441" s="41" t="n"/>
      <c r="B441" s="41" t="n"/>
      <c r="C441" s="41" t="n"/>
      <c r="D441" s="41" t="n"/>
      <c r="E441" s="41" t="n"/>
      <c r="F441" s="41" t="n"/>
      <c r="G441" s="41" t="n"/>
    </row>
    <row r="442" ht="15.75" customHeight="1" s="60">
      <c r="A442" s="41" t="n"/>
      <c r="B442" s="41" t="n"/>
      <c r="C442" s="41" t="n"/>
      <c r="D442" s="41" t="n"/>
      <c r="E442" s="41" t="n"/>
      <c r="F442" s="41" t="n"/>
      <c r="G442" s="41" t="n"/>
    </row>
    <row r="443" ht="15.75" customHeight="1" s="60">
      <c r="A443" s="41" t="n"/>
      <c r="B443" s="41" t="n"/>
      <c r="C443" s="41" t="n"/>
      <c r="D443" s="41" t="n"/>
      <c r="E443" s="41" t="n"/>
      <c r="F443" s="41" t="n"/>
      <c r="G443" s="41" t="n"/>
    </row>
    <row r="444" ht="15.75" customHeight="1" s="60">
      <c r="A444" s="41" t="n"/>
      <c r="B444" s="41" t="n"/>
      <c r="C444" s="41" t="n"/>
      <c r="D444" s="41" t="n"/>
      <c r="E444" s="41" t="n"/>
      <c r="F444" s="41" t="n"/>
      <c r="G444" s="41" t="n"/>
    </row>
    <row r="445" ht="15.75" customHeight="1" s="60">
      <c r="A445" s="41" t="n"/>
      <c r="B445" s="41" t="n"/>
      <c r="C445" s="41" t="n"/>
      <c r="D445" s="41" t="n"/>
      <c r="E445" s="41" t="n"/>
      <c r="F445" s="41" t="n"/>
      <c r="G445" s="41" t="n"/>
    </row>
    <row r="446" ht="15.75" customHeight="1" s="60">
      <c r="A446" s="41" t="n"/>
      <c r="B446" s="41" t="n"/>
      <c r="C446" s="41" t="n"/>
      <c r="D446" s="41" t="n"/>
      <c r="E446" s="41" t="n"/>
      <c r="F446" s="41" t="n"/>
      <c r="G446" s="41" t="n"/>
    </row>
    <row r="447" ht="15.75" customHeight="1" s="60">
      <c r="A447" s="41" t="n"/>
      <c r="B447" s="41" t="n"/>
      <c r="C447" s="41" t="n"/>
      <c r="D447" s="41" t="n"/>
      <c r="E447" s="41" t="n"/>
      <c r="F447" s="41" t="n"/>
      <c r="G447" s="41" t="n"/>
    </row>
    <row r="448" ht="15.75" customHeight="1" s="60">
      <c r="A448" s="41" t="n"/>
      <c r="B448" s="41" t="n"/>
      <c r="C448" s="41" t="n"/>
      <c r="D448" s="41" t="n"/>
      <c r="E448" s="41" t="n"/>
      <c r="F448" s="41" t="n"/>
      <c r="G448" s="41" t="n"/>
    </row>
    <row r="449" ht="15.75" customHeight="1" s="60">
      <c r="A449" s="41" t="n"/>
      <c r="B449" s="41" t="n"/>
      <c r="C449" s="41" t="n"/>
      <c r="D449" s="41" t="n"/>
      <c r="E449" s="41" t="n"/>
      <c r="F449" s="41" t="n"/>
      <c r="G449" s="41" t="n"/>
    </row>
    <row r="450" ht="15.75" customHeight="1" s="60">
      <c r="A450" s="41" t="n"/>
      <c r="B450" s="41" t="n"/>
      <c r="C450" s="41" t="n"/>
      <c r="D450" s="41" t="n"/>
      <c r="E450" s="41" t="n"/>
      <c r="F450" s="41" t="n"/>
      <c r="G450" s="41" t="n"/>
    </row>
    <row r="451" ht="15.75" customHeight="1" s="60">
      <c r="A451" s="41" t="n"/>
      <c r="B451" s="41" t="n"/>
      <c r="C451" s="41" t="n"/>
      <c r="D451" s="41" t="n"/>
      <c r="E451" s="41" t="n"/>
      <c r="F451" s="41" t="n"/>
      <c r="G451" s="41" t="n"/>
    </row>
    <row r="452" ht="15.75" customHeight="1" s="60">
      <c r="A452" s="41" t="n"/>
      <c r="B452" s="41" t="n"/>
      <c r="C452" s="41" t="n"/>
      <c r="D452" s="41" t="n"/>
      <c r="E452" s="41" t="n"/>
      <c r="F452" s="41" t="n"/>
      <c r="G452" s="41" t="n"/>
    </row>
    <row r="453" ht="15.75" customHeight="1" s="60">
      <c r="A453" s="41" t="n"/>
      <c r="B453" s="41" t="n"/>
      <c r="C453" s="41" t="n"/>
      <c r="D453" s="41" t="n"/>
      <c r="E453" s="41" t="n"/>
      <c r="F453" s="41" t="n"/>
      <c r="G453" s="41" t="n"/>
    </row>
    <row r="454" ht="15.75" customHeight="1" s="60">
      <c r="A454" s="41" t="n"/>
      <c r="B454" s="41" t="n"/>
      <c r="C454" s="41" t="n"/>
      <c r="D454" s="41" t="n"/>
      <c r="E454" s="41" t="n"/>
      <c r="F454" s="41" t="n"/>
      <c r="G454" s="41" t="n"/>
    </row>
    <row r="455" ht="15.75" customHeight="1" s="60">
      <c r="A455" s="41" t="n"/>
      <c r="B455" s="41" t="n"/>
      <c r="C455" s="41" t="n"/>
      <c r="D455" s="41" t="n"/>
      <c r="E455" s="41" t="n"/>
      <c r="F455" s="41" t="n"/>
      <c r="G455" s="41" t="n"/>
    </row>
    <row r="456" ht="15.75" customHeight="1" s="60">
      <c r="A456" s="41" t="n"/>
      <c r="B456" s="41" t="n"/>
      <c r="C456" s="41" t="n"/>
      <c r="D456" s="41" t="n"/>
      <c r="E456" s="41" t="n"/>
      <c r="F456" s="41" t="n"/>
      <c r="G456" s="41" t="n"/>
    </row>
    <row r="457" ht="15.75" customHeight="1" s="60">
      <c r="A457" s="41" t="n"/>
      <c r="B457" s="41" t="n"/>
      <c r="C457" s="41" t="n"/>
      <c r="D457" s="41" t="n"/>
      <c r="E457" s="41" t="n"/>
      <c r="F457" s="41" t="n"/>
      <c r="G457" s="41" t="n"/>
    </row>
    <row r="458" ht="15.75" customHeight="1" s="60">
      <c r="A458" s="41" t="n"/>
      <c r="B458" s="41" t="n"/>
      <c r="C458" s="41" t="n"/>
      <c r="D458" s="41" t="n"/>
      <c r="E458" s="41" t="n"/>
      <c r="F458" s="41" t="n"/>
      <c r="G458" s="41" t="n"/>
    </row>
    <row r="459" ht="15.75" customHeight="1" s="60">
      <c r="A459" s="41" t="n"/>
      <c r="B459" s="41" t="n"/>
      <c r="C459" s="41" t="n"/>
      <c r="D459" s="41" t="n"/>
      <c r="E459" s="41" t="n"/>
      <c r="F459" s="41" t="n"/>
      <c r="G459" s="41" t="n"/>
    </row>
    <row r="460" ht="15.75" customHeight="1" s="60">
      <c r="A460" s="41" t="n"/>
      <c r="B460" s="41" t="n"/>
      <c r="C460" s="41" t="n"/>
      <c r="D460" s="41" t="n"/>
      <c r="E460" s="41" t="n"/>
      <c r="F460" s="41" t="n"/>
      <c r="G460" s="41" t="n"/>
    </row>
    <row r="461" ht="15.75" customHeight="1" s="60">
      <c r="A461" s="41" t="n"/>
      <c r="B461" s="41" t="n"/>
      <c r="C461" s="41" t="n"/>
      <c r="D461" s="41" t="n"/>
      <c r="E461" s="41" t="n"/>
      <c r="F461" s="41" t="n"/>
      <c r="G461" s="41" t="n"/>
    </row>
    <row r="462" ht="15.75" customHeight="1" s="60">
      <c r="A462" s="41" t="n"/>
      <c r="B462" s="41" t="n"/>
      <c r="C462" s="41" t="n"/>
      <c r="D462" s="41" t="n"/>
      <c r="E462" s="41" t="n"/>
      <c r="F462" s="41" t="n"/>
      <c r="G462" s="41" t="n"/>
    </row>
    <row r="463" ht="15.75" customHeight="1" s="60">
      <c r="A463" s="41" t="n"/>
      <c r="B463" s="41" t="n"/>
      <c r="C463" s="41" t="n"/>
      <c r="D463" s="41" t="n"/>
      <c r="E463" s="41" t="n"/>
      <c r="F463" s="41" t="n"/>
      <c r="G463" s="41" t="n"/>
    </row>
    <row r="464" ht="15.75" customHeight="1" s="60">
      <c r="A464" s="41" t="n"/>
      <c r="B464" s="41" t="n"/>
      <c r="C464" s="41" t="n"/>
      <c r="D464" s="41" t="n"/>
      <c r="E464" s="41" t="n"/>
      <c r="F464" s="41" t="n"/>
      <c r="G464" s="41" t="n"/>
    </row>
    <row r="465" ht="15.75" customHeight="1" s="60">
      <c r="A465" s="41" t="n"/>
      <c r="B465" s="41" t="n"/>
      <c r="C465" s="41" t="n"/>
      <c r="D465" s="41" t="n"/>
      <c r="E465" s="41" t="n"/>
      <c r="F465" s="41" t="n"/>
      <c r="G465" s="41" t="n"/>
    </row>
    <row r="466" ht="15.75" customHeight="1" s="60">
      <c r="A466" s="41" t="n"/>
      <c r="B466" s="41" t="n"/>
      <c r="C466" s="41" t="n"/>
      <c r="D466" s="41" t="n"/>
      <c r="E466" s="41" t="n"/>
      <c r="F466" s="41" t="n"/>
      <c r="G466" s="41" t="n"/>
    </row>
    <row r="467" ht="15.75" customHeight="1" s="60">
      <c r="A467" s="41" t="n"/>
      <c r="B467" s="41" t="n"/>
      <c r="C467" s="41" t="n"/>
      <c r="D467" s="41" t="n"/>
      <c r="E467" s="41" t="n"/>
      <c r="F467" s="41" t="n"/>
      <c r="G467" s="41" t="n"/>
    </row>
    <row r="468" ht="15.75" customHeight="1" s="60">
      <c r="A468" s="41" t="n"/>
      <c r="B468" s="41" t="n"/>
      <c r="C468" s="41" t="n"/>
      <c r="D468" s="41" t="n"/>
      <c r="E468" s="41" t="n"/>
      <c r="F468" s="41" t="n"/>
      <c r="G468" s="41" t="n"/>
    </row>
    <row r="469" ht="15.75" customHeight="1" s="60">
      <c r="A469" s="41" t="n"/>
      <c r="B469" s="41" t="n"/>
      <c r="C469" s="41" t="n"/>
      <c r="D469" s="41" t="n"/>
      <c r="E469" s="41" t="n"/>
      <c r="F469" s="41" t="n"/>
      <c r="G469" s="41" t="n"/>
    </row>
    <row r="470" ht="15.75" customHeight="1" s="60">
      <c r="A470" s="41" t="n"/>
      <c r="B470" s="41" t="n"/>
      <c r="C470" s="41" t="n"/>
      <c r="D470" s="41" t="n"/>
      <c r="E470" s="41" t="n"/>
      <c r="F470" s="41" t="n"/>
      <c r="G470" s="41" t="n"/>
    </row>
    <row r="471" ht="15.75" customHeight="1" s="60">
      <c r="A471" s="41" t="n"/>
      <c r="B471" s="41" t="n"/>
      <c r="C471" s="41" t="n"/>
      <c r="D471" s="41" t="n"/>
      <c r="E471" s="41" t="n"/>
      <c r="F471" s="41" t="n"/>
      <c r="G471" s="41" t="n"/>
    </row>
    <row r="472" ht="15.75" customHeight="1" s="60">
      <c r="A472" s="41" t="n"/>
      <c r="B472" s="41" t="n"/>
      <c r="C472" s="41" t="n"/>
      <c r="D472" s="41" t="n"/>
      <c r="E472" s="41" t="n"/>
      <c r="F472" s="41" t="n"/>
      <c r="G472" s="41" t="n"/>
    </row>
    <row r="473" ht="15.75" customHeight="1" s="60">
      <c r="A473" s="41" t="n"/>
      <c r="B473" s="41" t="n"/>
      <c r="C473" s="41" t="n"/>
      <c r="D473" s="41" t="n"/>
      <c r="E473" s="41" t="n"/>
      <c r="F473" s="41" t="n"/>
      <c r="G473" s="41" t="n"/>
    </row>
    <row r="474" ht="15.75" customHeight="1" s="60">
      <c r="A474" s="41" t="n"/>
      <c r="B474" s="41" t="n"/>
      <c r="C474" s="41" t="n"/>
      <c r="D474" s="41" t="n"/>
      <c r="E474" s="41" t="n"/>
      <c r="F474" s="41" t="n"/>
      <c r="G474" s="41" t="n"/>
    </row>
    <row r="475" ht="15.75" customHeight="1" s="60">
      <c r="A475" s="41" t="n"/>
      <c r="B475" s="41" t="n"/>
      <c r="C475" s="41" t="n"/>
      <c r="D475" s="41" t="n"/>
      <c r="E475" s="41" t="n"/>
      <c r="F475" s="41" t="n"/>
      <c r="G475" s="41" t="n"/>
    </row>
    <row r="476" ht="15.75" customHeight="1" s="60">
      <c r="A476" s="41" t="n"/>
      <c r="B476" s="41" t="n"/>
      <c r="C476" s="41" t="n"/>
      <c r="D476" s="41" t="n"/>
      <c r="E476" s="41" t="n"/>
      <c r="F476" s="41" t="n"/>
      <c r="G476" s="41" t="n"/>
    </row>
    <row r="477" ht="15.75" customHeight="1" s="60">
      <c r="A477" s="41" t="n"/>
      <c r="B477" s="41" t="n"/>
      <c r="C477" s="41" t="n"/>
      <c r="D477" s="41" t="n"/>
      <c r="E477" s="41" t="n"/>
      <c r="F477" s="41" t="n"/>
      <c r="G477" s="41" t="n"/>
    </row>
    <row r="478" ht="15.75" customHeight="1" s="60">
      <c r="A478" s="41" t="n"/>
      <c r="B478" s="41" t="n"/>
      <c r="C478" s="41" t="n"/>
      <c r="D478" s="41" t="n"/>
      <c r="E478" s="41" t="n"/>
      <c r="F478" s="41" t="n"/>
      <c r="G478" s="41" t="n"/>
    </row>
    <row r="479" ht="15.75" customHeight="1" s="60">
      <c r="A479" s="41" t="n"/>
      <c r="B479" s="41" t="n"/>
      <c r="C479" s="41" t="n"/>
      <c r="D479" s="41" t="n"/>
      <c r="E479" s="41" t="n"/>
      <c r="F479" s="41" t="n"/>
      <c r="G479" s="41" t="n"/>
    </row>
    <row r="480" ht="15.75" customHeight="1" s="60">
      <c r="A480" s="41" t="n"/>
      <c r="B480" s="41" t="n"/>
      <c r="C480" s="41" t="n"/>
      <c r="D480" s="41" t="n"/>
      <c r="E480" s="41" t="n"/>
      <c r="F480" s="41" t="n"/>
      <c r="G480" s="41" t="n"/>
    </row>
    <row r="481" ht="15.75" customHeight="1" s="60">
      <c r="A481" s="41" t="n"/>
      <c r="B481" s="41" t="n"/>
      <c r="C481" s="41" t="n"/>
      <c r="D481" s="41" t="n"/>
      <c r="E481" s="41" t="n"/>
      <c r="F481" s="41" t="n"/>
      <c r="G481" s="41" t="n"/>
    </row>
    <row r="482" ht="15.75" customHeight="1" s="60">
      <c r="A482" s="41" t="n"/>
      <c r="B482" s="41" t="n"/>
      <c r="C482" s="41" t="n"/>
      <c r="D482" s="41" t="n"/>
      <c r="E482" s="41" t="n"/>
      <c r="F482" s="41" t="n"/>
      <c r="G482" s="41" t="n"/>
    </row>
    <row r="483" ht="15.75" customHeight="1" s="60">
      <c r="A483" s="41" t="n"/>
      <c r="B483" s="41" t="n"/>
      <c r="C483" s="41" t="n"/>
      <c r="D483" s="41" t="n"/>
      <c r="E483" s="41" t="n"/>
      <c r="F483" s="41" t="n"/>
      <c r="G483" s="41" t="n"/>
    </row>
    <row r="484" ht="15.75" customHeight="1" s="60">
      <c r="A484" s="41" t="n"/>
      <c r="B484" s="41" t="n"/>
      <c r="C484" s="41" t="n"/>
      <c r="D484" s="41" t="n"/>
      <c r="E484" s="41" t="n"/>
      <c r="F484" s="41" t="n"/>
      <c r="G484" s="41" t="n"/>
    </row>
    <row r="485" ht="15.75" customHeight="1" s="60">
      <c r="A485" s="41" t="n"/>
      <c r="B485" s="41" t="n"/>
      <c r="C485" s="41" t="n"/>
      <c r="D485" s="41" t="n"/>
      <c r="E485" s="41" t="n"/>
      <c r="F485" s="41" t="n"/>
      <c r="G485" s="41" t="n"/>
    </row>
    <row r="486" ht="15.75" customHeight="1" s="60">
      <c r="A486" s="41" t="n"/>
      <c r="B486" s="41" t="n"/>
      <c r="C486" s="41" t="n"/>
      <c r="D486" s="41" t="n"/>
      <c r="E486" s="41" t="n"/>
      <c r="F486" s="41" t="n"/>
      <c r="G486" s="41" t="n"/>
    </row>
    <row r="487" ht="15.75" customHeight="1" s="60">
      <c r="A487" s="41" t="n"/>
      <c r="B487" s="41" t="n"/>
      <c r="C487" s="41" t="n"/>
      <c r="D487" s="41" t="n"/>
      <c r="E487" s="41" t="n"/>
      <c r="F487" s="41" t="n"/>
      <c r="G487" s="41" t="n"/>
    </row>
    <row r="488" ht="15.75" customHeight="1" s="60">
      <c r="A488" s="41" t="n"/>
      <c r="B488" s="41" t="n"/>
      <c r="C488" s="41" t="n"/>
      <c r="D488" s="41" t="n"/>
      <c r="E488" s="41" t="n"/>
      <c r="F488" s="41" t="n"/>
      <c r="G488" s="41" t="n"/>
    </row>
    <row r="489" ht="15.75" customHeight="1" s="60">
      <c r="A489" s="41" t="n"/>
      <c r="B489" s="41" t="n"/>
      <c r="C489" s="41" t="n"/>
      <c r="D489" s="41" t="n"/>
      <c r="E489" s="41" t="n"/>
      <c r="F489" s="41" t="n"/>
      <c r="G489" s="41" t="n"/>
    </row>
    <row r="490" ht="15.75" customHeight="1" s="60">
      <c r="A490" s="41" t="n"/>
      <c r="B490" s="41" t="n"/>
      <c r="C490" s="41" t="n"/>
      <c r="D490" s="41" t="n"/>
      <c r="E490" s="41" t="n"/>
      <c r="F490" s="41" t="n"/>
      <c r="G490" s="41" t="n"/>
    </row>
    <row r="491" ht="15.75" customHeight="1" s="60">
      <c r="A491" s="41" t="n"/>
      <c r="B491" s="41" t="n"/>
      <c r="C491" s="41" t="n"/>
      <c r="D491" s="41" t="n"/>
      <c r="E491" s="41" t="n"/>
      <c r="F491" s="41" t="n"/>
      <c r="G491" s="41" t="n"/>
    </row>
    <row r="492" ht="15.75" customHeight="1" s="60">
      <c r="A492" s="41" t="n"/>
      <c r="B492" s="41" t="n"/>
      <c r="C492" s="41" t="n"/>
      <c r="D492" s="41" t="n"/>
      <c r="E492" s="41" t="n"/>
      <c r="F492" s="41" t="n"/>
      <c r="G492" s="41" t="n"/>
    </row>
    <row r="493" ht="15.75" customHeight="1" s="60">
      <c r="A493" s="41" t="n"/>
      <c r="B493" s="41" t="n"/>
      <c r="C493" s="41" t="n"/>
      <c r="D493" s="41" t="n"/>
      <c r="E493" s="41" t="n"/>
      <c r="F493" s="41" t="n"/>
      <c r="G493" s="41" t="n"/>
    </row>
    <row r="494" ht="15.75" customHeight="1" s="60">
      <c r="A494" s="41" t="n"/>
      <c r="B494" s="41" t="n"/>
      <c r="C494" s="41" t="n"/>
      <c r="D494" s="41" t="n"/>
      <c r="E494" s="41" t="n"/>
      <c r="F494" s="41" t="n"/>
      <c r="G494" s="41" t="n"/>
    </row>
    <row r="495" ht="15.75" customHeight="1" s="60">
      <c r="A495" s="41" t="n"/>
      <c r="B495" s="41" t="n"/>
      <c r="C495" s="41" t="n"/>
      <c r="D495" s="41" t="n"/>
      <c r="E495" s="41" t="n"/>
      <c r="F495" s="41" t="n"/>
      <c r="G495" s="41" t="n"/>
    </row>
    <row r="496" ht="15.75" customHeight="1" s="60">
      <c r="A496" s="41" t="n"/>
      <c r="B496" s="41" t="n"/>
      <c r="C496" s="41" t="n"/>
      <c r="D496" s="41" t="n"/>
      <c r="E496" s="41" t="n"/>
      <c r="F496" s="41" t="n"/>
      <c r="G496" s="41" t="n"/>
    </row>
    <row r="497" ht="15.75" customHeight="1" s="60">
      <c r="A497" s="41" t="n"/>
      <c r="B497" s="41" t="n"/>
      <c r="C497" s="41" t="n"/>
      <c r="D497" s="41" t="n"/>
      <c r="E497" s="41" t="n"/>
      <c r="F497" s="41" t="n"/>
      <c r="G497" s="41" t="n"/>
    </row>
    <row r="498" ht="15.75" customHeight="1" s="60">
      <c r="A498" s="41" t="n"/>
      <c r="B498" s="41" t="n"/>
      <c r="C498" s="41" t="n"/>
      <c r="D498" s="41" t="n"/>
      <c r="E498" s="41" t="n"/>
      <c r="F498" s="41" t="n"/>
      <c r="G498" s="41" t="n"/>
    </row>
    <row r="499" ht="15.75" customHeight="1" s="60">
      <c r="A499" s="41" t="n"/>
      <c r="B499" s="41" t="n"/>
      <c r="C499" s="41" t="n"/>
      <c r="D499" s="41" t="n"/>
      <c r="E499" s="41" t="n"/>
      <c r="F499" s="41" t="n"/>
      <c r="G499" s="41" t="n"/>
    </row>
    <row r="500" ht="15.75" customHeight="1" s="60">
      <c r="A500" s="41" t="n"/>
      <c r="B500" s="41" t="n"/>
      <c r="C500" s="41" t="n"/>
      <c r="D500" s="41" t="n"/>
      <c r="E500" s="41" t="n"/>
      <c r="F500" s="41" t="n"/>
      <c r="G500" s="41" t="n"/>
    </row>
    <row r="501" ht="15.75" customHeight="1" s="60">
      <c r="A501" s="41" t="n"/>
      <c r="B501" s="41" t="n"/>
      <c r="C501" s="41" t="n"/>
      <c r="D501" s="41" t="n"/>
      <c r="E501" s="41" t="n"/>
      <c r="F501" s="41" t="n"/>
      <c r="G501" s="41" t="n"/>
    </row>
    <row r="502" ht="15.75" customHeight="1" s="60">
      <c r="A502" s="41" t="n"/>
      <c r="B502" s="41" t="n"/>
      <c r="C502" s="41" t="n"/>
      <c r="D502" s="41" t="n"/>
      <c r="E502" s="41" t="n"/>
      <c r="F502" s="41" t="n"/>
      <c r="G502" s="41" t="n"/>
    </row>
    <row r="503" ht="15.75" customHeight="1" s="60">
      <c r="A503" s="41" t="n"/>
      <c r="B503" s="41" t="n"/>
      <c r="C503" s="41" t="n"/>
      <c r="D503" s="41" t="n"/>
      <c r="E503" s="41" t="n"/>
      <c r="F503" s="41" t="n"/>
      <c r="G503" s="41" t="n"/>
    </row>
    <row r="504" ht="15.75" customHeight="1" s="60">
      <c r="A504" s="41" t="n"/>
      <c r="B504" s="41" t="n"/>
      <c r="C504" s="41" t="n"/>
      <c r="D504" s="41" t="n"/>
      <c r="E504" s="41" t="n"/>
      <c r="F504" s="41" t="n"/>
      <c r="G504" s="41" t="n"/>
    </row>
    <row r="505" ht="15.75" customHeight="1" s="60">
      <c r="A505" s="41" t="n"/>
      <c r="B505" s="41" t="n"/>
      <c r="C505" s="41" t="n"/>
      <c r="D505" s="41" t="n"/>
      <c r="E505" s="41" t="n"/>
      <c r="F505" s="41" t="n"/>
      <c r="G505" s="41" t="n"/>
    </row>
    <row r="506" ht="15.75" customHeight="1" s="60">
      <c r="A506" s="41" t="n"/>
      <c r="B506" s="41" t="n"/>
      <c r="C506" s="41" t="n"/>
      <c r="D506" s="41" t="n"/>
      <c r="E506" s="41" t="n"/>
      <c r="F506" s="41" t="n"/>
      <c r="G506" s="41" t="n"/>
    </row>
    <row r="507" ht="15.75" customHeight="1" s="60">
      <c r="A507" s="41" t="n"/>
      <c r="B507" s="41" t="n"/>
      <c r="C507" s="41" t="n"/>
      <c r="D507" s="41" t="n"/>
      <c r="E507" s="41" t="n"/>
      <c r="F507" s="41" t="n"/>
      <c r="G507" s="41" t="n"/>
    </row>
    <row r="508" ht="15.75" customHeight="1" s="60">
      <c r="A508" s="41" t="n"/>
      <c r="B508" s="41" t="n"/>
      <c r="C508" s="41" t="n"/>
      <c r="D508" s="41" t="n"/>
      <c r="E508" s="41" t="n"/>
      <c r="F508" s="41" t="n"/>
      <c r="G508" s="41" t="n"/>
    </row>
    <row r="509" ht="15.75" customHeight="1" s="60">
      <c r="A509" s="41" t="n"/>
      <c r="B509" s="41" t="n"/>
      <c r="C509" s="41" t="n"/>
      <c r="D509" s="41" t="n"/>
      <c r="E509" s="41" t="n"/>
      <c r="F509" s="41" t="n"/>
      <c r="G509" s="41" t="n"/>
    </row>
    <row r="510" ht="15.75" customHeight="1" s="60">
      <c r="A510" s="41" t="n"/>
      <c r="B510" s="41" t="n"/>
      <c r="C510" s="41" t="n"/>
      <c r="D510" s="41" t="n"/>
      <c r="E510" s="41" t="n"/>
      <c r="F510" s="41" t="n"/>
      <c r="G510" s="41" t="n"/>
    </row>
    <row r="511" ht="15.75" customHeight="1" s="60">
      <c r="A511" s="41" t="n"/>
      <c r="B511" s="41" t="n"/>
      <c r="C511" s="41" t="n"/>
      <c r="D511" s="41" t="n"/>
      <c r="E511" s="41" t="n"/>
      <c r="F511" s="41" t="n"/>
      <c r="G511" s="41" t="n"/>
    </row>
    <row r="512" ht="15.75" customHeight="1" s="60">
      <c r="A512" s="41" t="n"/>
      <c r="B512" s="41" t="n"/>
      <c r="C512" s="41" t="n"/>
      <c r="D512" s="41" t="n"/>
      <c r="E512" s="41" t="n"/>
      <c r="F512" s="41" t="n"/>
      <c r="G512" s="41" t="n"/>
    </row>
    <row r="513" ht="15.75" customHeight="1" s="60">
      <c r="A513" s="41" t="n"/>
      <c r="B513" s="41" t="n"/>
      <c r="C513" s="41" t="n"/>
      <c r="D513" s="41" t="n"/>
      <c r="E513" s="41" t="n"/>
      <c r="F513" s="41" t="n"/>
      <c r="G513" s="41" t="n"/>
    </row>
    <row r="514" ht="15.75" customHeight="1" s="60">
      <c r="A514" s="41" t="n"/>
      <c r="B514" s="41" t="n"/>
      <c r="C514" s="41" t="n"/>
      <c r="D514" s="41" t="n"/>
      <c r="E514" s="41" t="n"/>
      <c r="F514" s="41" t="n"/>
      <c r="G514" s="41" t="n"/>
    </row>
    <row r="515" ht="15.75" customHeight="1" s="60">
      <c r="A515" s="41" t="n"/>
      <c r="B515" s="41" t="n"/>
      <c r="C515" s="41" t="n"/>
      <c r="D515" s="41" t="n"/>
      <c r="E515" s="41" t="n"/>
      <c r="F515" s="41" t="n"/>
      <c r="G515" s="41" t="n"/>
    </row>
    <row r="516" ht="15.75" customHeight="1" s="60">
      <c r="A516" s="41" t="n"/>
      <c r="B516" s="41" t="n"/>
      <c r="C516" s="41" t="n"/>
      <c r="D516" s="41" t="n"/>
      <c r="E516" s="41" t="n"/>
      <c r="F516" s="41" t="n"/>
      <c r="G516" s="41" t="n"/>
    </row>
    <row r="517" ht="15.75" customHeight="1" s="60">
      <c r="A517" s="41" t="n"/>
      <c r="B517" s="41" t="n"/>
      <c r="C517" s="41" t="n"/>
      <c r="D517" s="41" t="n"/>
      <c r="E517" s="41" t="n"/>
      <c r="F517" s="41" t="n"/>
      <c r="G517" s="41" t="n"/>
    </row>
    <row r="518" ht="15.75" customHeight="1" s="60">
      <c r="A518" s="41" t="n"/>
      <c r="B518" s="41" t="n"/>
      <c r="C518" s="41" t="n"/>
      <c r="D518" s="41" t="n"/>
      <c r="E518" s="41" t="n"/>
      <c r="F518" s="41" t="n"/>
      <c r="G518" s="41" t="n"/>
    </row>
    <row r="519" ht="15.75" customHeight="1" s="60">
      <c r="A519" s="41" t="n"/>
      <c r="B519" s="41" t="n"/>
      <c r="C519" s="41" t="n"/>
      <c r="D519" s="41" t="n"/>
      <c r="E519" s="41" t="n"/>
      <c r="F519" s="41" t="n"/>
      <c r="G519" s="41" t="n"/>
    </row>
    <row r="520" ht="15.75" customHeight="1" s="60">
      <c r="A520" s="41" t="n"/>
      <c r="B520" s="41" t="n"/>
      <c r="C520" s="41" t="n"/>
      <c r="D520" s="41" t="n"/>
      <c r="E520" s="41" t="n"/>
      <c r="F520" s="41" t="n"/>
      <c r="G520" s="41" t="n"/>
    </row>
    <row r="521" ht="15.75" customHeight="1" s="60">
      <c r="A521" s="41" t="n"/>
      <c r="B521" s="41" t="n"/>
      <c r="C521" s="41" t="n"/>
      <c r="D521" s="41" t="n"/>
      <c r="E521" s="41" t="n"/>
      <c r="F521" s="41" t="n"/>
      <c r="G521" s="41" t="n"/>
    </row>
    <row r="522" ht="15.75" customHeight="1" s="60">
      <c r="A522" s="41" t="n"/>
      <c r="B522" s="41" t="n"/>
      <c r="C522" s="41" t="n"/>
      <c r="D522" s="41" t="n"/>
      <c r="E522" s="41" t="n"/>
      <c r="F522" s="41" t="n"/>
      <c r="G522" s="41" t="n"/>
    </row>
    <row r="523" ht="15.75" customHeight="1" s="60">
      <c r="A523" s="41" t="n"/>
      <c r="B523" s="41" t="n"/>
      <c r="C523" s="41" t="n"/>
      <c r="D523" s="41" t="n"/>
      <c r="E523" s="41" t="n"/>
      <c r="F523" s="41" t="n"/>
      <c r="G523" s="41" t="n"/>
    </row>
    <row r="524" ht="15.75" customHeight="1" s="60">
      <c r="A524" s="41" t="n"/>
      <c r="B524" s="41" t="n"/>
      <c r="C524" s="41" t="n"/>
      <c r="D524" s="41" t="n"/>
      <c r="E524" s="41" t="n"/>
      <c r="F524" s="41" t="n"/>
      <c r="G524" s="41" t="n"/>
    </row>
    <row r="525" ht="15.75" customHeight="1" s="60">
      <c r="A525" s="41" t="n"/>
      <c r="B525" s="41" t="n"/>
      <c r="C525" s="41" t="n"/>
      <c r="D525" s="41" t="n"/>
      <c r="E525" s="41" t="n"/>
      <c r="F525" s="41" t="n"/>
      <c r="G525" s="41" t="n"/>
    </row>
    <row r="526" ht="15.75" customHeight="1" s="60">
      <c r="A526" s="41" t="n"/>
      <c r="B526" s="41" t="n"/>
      <c r="C526" s="41" t="n"/>
      <c r="D526" s="41" t="n"/>
      <c r="E526" s="41" t="n"/>
      <c r="F526" s="41" t="n"/>
      <c r="G526" s="41" t="n"/>
    </row>
    <row r="527" ht="15.75" customHeight="1" s="60">
      <c r="A527" s="41" t="n"/>
      <c r="B527" s="41" t="n"/>
      <c r="C527" s="41" t="n"/>
      <c r="D527" s="41" t="n"/>
      <c r="E527" s="41" t="n"/>
      <c r="F527" s="41" t="n"/>
      <c r="G527" s="41" t="n"/>
    </row>
    <row r="528" ht="15.75" customHeight="1" s="60">
      <c r="A528" s="41" t="n"/>
      <c r="B528" s="41" t="n"/>
      <c r="C528" s="41" t="n"/>
      <c r="D528" s="41" t="n"/>
      <c r="E528" s="41" t="n"/>
      <c r="F528" s="41" t="n"/>
      <c r="G528" s="41" t="n"/>
    </row>
    <row r="529" ht="15.75" customHeight="1" s="60">
      <c r="A529" s="41" t="n"/>
      <c r="B529" s="41" t="n"/>
      <c r="C529" s="41" t="n"/>
      <c r="D529" s="41" t="n"/>
      <c r="E529" s="41" t="n"/>
      <c r="F529" s="41" t="n"/>
      <c r="G529" s="41" t="n"/>
    </row>
    <row r="530" ht="15.75" customHeight="1" s="60">
      <c r="A530" s="41" t="n"/>
      <c r="B530" s="41" t="n"/>
      <c r="C530" s="41" t="n"/>
      <c r="D530" s="41" t="n"/>
      <c r="E530" s="41" t="n"/>
      <c r="F530" s="41" t="n"/>
      <c r="G530" s="41" t="n"/>
    </row>
    <row r="531" ht="15.75" customHeight="1" s="60">
      <c r="A531" s="41" t="n"/>
      <c r="B531" s="41" t="n"/>
      <c r="C531" s="41" t="n"/>
      <c r="D531" s="41" t="n"/>
      <c r="E531" s="41" t="n"/>
      <c r="F531" s="41" t="n"/>
      <c r="G531" s="41" t="n"/>
    </row>
    <row r="532" ht="15.75" customHeight="1" s="60">
      <c r="A532" s="41" t="n"/>
      <c r="B532" s="41" t="n"/>
      <c r="C532" s="41" t="n"/>
      <c r="D532" s="41" t="n"/>
      <c r="E532" s="41" t="n"/>
      <c r="F532" s="41" t="n"/>
      <c r="G532" s="41" t="n"/>
    </row>
    <row r="533" ht="15.75" customHeight="1" s="60">
      <c r="A533" s="41" t="n"/>
      <c r="B533" s="41" t="n"/>
      <c r="C533" s="41" t="n"/>
      <c r="D533" s="41" t="n"/>
      <c r="E533" s="41" t="n"/>
      <c r="F533" s="41" t="n"/>
      <c r="G533" s="41" t="n"/>
    </row>
    <row r="534" ht="15.75" customHeight="1" s="60">
      <c r="A534" s="41" t="n"/>
      <c r="B534" s="41" t="n"/>
      <c r="C534" s="41" t="n"/>
      <c r="D534" s="41" t="n"/>
      <c r="E534" s="41" t="n"/>
      <c r="F534" s="41" t="n"/>
      <c r="G534" s="41" t="n"/>
    </row>
    <row r="535" ht="15.75" customHeight="1" s="60">
      <c r="A535" s="41" t="n"/>
      <c r="B535" s="41" t="n"/>
      <c r="C535" s="41" t="n"/>
      <c r="D535" s="41" t="n"/>
      <c r="E535" s="41" t="n"/>
      <c r="F535" s="41" t="n"/>
      <c r="G535" s="41" t="n"/>
    </row>
    <row r="536" ht="15.75" customHeight="1" s="60">
      <c r="A536" s="41" t="n"/>
      <c r="B536" s="41" t="n"/>
      <c r="C536" s="41" t="n"/>
      <c r="D536" s="41" t="n"/>
      <c r="E536" s="41" t="n"/>
      <c r="F536" s="41" t="n"/>
      <c r="G536" s="41" t="n"/>
    </row>
    <row r="537" ht="15.75" customHeight="1" s="60">
      <c r="A537" s="41" t="n"/>
      <c r="B537" s="41" t="n"/>
      <c r="C537" s="41" t="n"/>
      <c r="D537" s="41" t="n"/>
      <c r="E537" s="41" t="n"/>
      <c r="F537" s="41" t="n"/>
      <c r="G537" s="41" t="n"/>
    </row>
    <row r="538" ht="15.75" customHeight="1" s="60">
      <c r="A538" s="41" t="n"/>
      <c r="B538" s="41" t="n"/>
      <c r="C538" s="41" t="n"/>
      <c r="D538" s="41" t="n"/>
      <c r="E538" s="41" t="n"/>
      <c r="F538" s="41" t="n"/>
      <c r="G538" s="41" t="n"/>
    </row>
    <row r="539" ht="15.75" customHeight="1" s="60">
      <c r="A539" s="41" t="n"/>
      <c r="B539" s="41" t="n"/>
      <c r="C539" s="41" t="n"/>
      <c r="D539" s="41" t="n"/>
      <c r="E539" s="41" t="n"/>
      <c r="F539" s="41" t="n"/>
      <c r="G539" s="41" t="n"/>
    </row>
    <row r="540" ht="15.75" customHeight="1" s="60">
      <c r="A540" s="41" t="n"/>
      <c r="B540" s="41" t="n"/>
      <c r="C540" s="41" t="n"/>
      <c r="D540" s="41" t="n"/>
      <c r="E540" s="41" t="n"/>
      <c r="F540" s="41" t="n"/>
      <c r="G540" s="41" t="n"/>
    </row>
    <row r="541" ht="15.75" customHeight="1" s="60">
      <c r="A541" s="41" t="n"/>
      <c r="B541" s="41" t="n"/>
      <c r="C541" s="41" t="n"/>
      <c r="D541" s="41" t="n"/>
      <c r="E541" s="41" t="n"/>
      <c r="F541" s="41" t="n"/>
      <c r="G541" s="41" t="n"/>
    </row>
    <row r="542" ht="15.75" customHeight="1" s="60">
      <c r="A542" s="41" t="n"/>
      <c r="B542" s="41" t="n"/>
      <c r="C542" s="41" t="n"/>
      <c r="D542" s="41" t="n"/>
      <c r="E542" s="41" t="n"/>
      <c r="F542" s="41" t="n"/>
      <c r="G542" s="41" t="n"/>
    </row>
    <row r="543" ht="15.75" customHeight="1" s="60">
      <c r="A543" s="41" t="n"/>
      <c r="B543" s="41" t="n"/>
      <c r="C543" s="41" t="n"/>
      <c r="D543" s="41" t="n"/>
      <c r="E543" s="41" t="n"/>
      <c r="F543" s="41" t="n"/>
      <c r="G543" s="41" t="n"/>
    </row>
    <row r="544" ht="15.75" customHeight="1" s="60">
      <c r="A544" s="41" t="n"/>
      <c r="B544" s="41" t="n"/>
      <c r="C544" s="41" t="n"/>
      <c r="D544" s="41" t="n"/>
      <c r="E544" s="41" t="n"/>
      <c r="F544" s="41" t="n"/>
      <c r="G544" s="41" t="n"/>
    </row>
    <row r="545" ht="15.75" customHeight="1" s="60">
      <c r="A545" s="41" t="n"/>
      <c r="B545" s="41" t="n"/>
      <c r="C545" s="41" t="n"/>
      <c r="D545" s="41" t="n"/>
      <c r="E545" s="41" t="n"/>
      <c r="F545" s="41" t="n"/>
      <c r="G545" s="41" t="n"/>
    </row>
    <row r="546" ht="15.75" customHeight="1" s="60">
      <c r="A546" s="41" t="n"/>
      <c r="B546" s="41" t="n"/>
      <c r="C546" s="41" t="n"/>
      <c r="D546" s="41" t="n"/>
      <c r="E546" s="41" t="n"/>
      <c r="F546" s="41" t="n"/>
      <c r="G546" s="41" t="n"/>
    </row>
    <row r="547" ht="15.75" customHeight="1" s="60">
      <c r="A547" s="41" t="n"/>
      <c r="B547" s="41" t="n"/>
      <c r="C547" s="41" t="n"/>
      <c r="D547" s="41" t="n"/>
      <c r="E547" s="41" t="n"/>
      <c r="F547" s="41" t="n"/>
      <c r="G547" s="41" t="n"/>
    </row>
    <row r="548" ht="15.75" customHeight="1" s="60">
      <c r="A548" s="41" t="n"/>
      <c r="B548" s="41" t="n"/>
      <c r="C548" s="41" t="n"/>
      <c r="D548" s="41" t="n"/>
      <c r="E548" s="41" t="n"/>
      <c r="F548" s="41" t="n"/>
      <c r="G548" s="41" t="n"/>
    </row>
    <row r="549" ht="15.75" customHeight="1" s="60">
      <c r="A549" s="41" t="n"/>
      <c r="B549" s="41" t="n"/>
      <c r="C549" s="41" t="n"/>
      <c r="D549" s="41" t="n"/>
      <c r="E549" s="41" t="n"/>
      <c r="F549" s="41" t="n"/>
      <c r="G549" s="41" t="n"/>
    </row>
    <row r="550" ht="15.75" customHeight="1" s="60">
      <c r="A550" s="41" t="n"/>
      <c r="B550" s="41" t="n"/>
      <c r="C550" s="41" t="n"/>
      <c r="D550" s="41" t="n"/>
      <c r="E550" s="41" t="n"/>
      <c r="F550" s="41" t="n"/>
      <c r="G550" s="41" t="n"/>
    </row>
    <row r="551" ht="15.75" customHeight="1" s="60">
      <c r="A551" s="41" t="n"/>
      <c r="B551" s="41" t="n"/>
      <c r="C551" s="41" t="n"/>
      <c r="D551" s="41" t="n"/>
      <c r="E551" s="41" t="n"/>
      <c r="F551" s="41" t="n"/>
      <c r="G551" s="41" t="n"/>
    </row>
    <row r="552" ht="15.75" customHeight="1" s="60">
      <c r="A552" s="41" t="n"/>
      <c r="B552" s="41" t="n"/>
      <c r="C552" s="41" t="n"/>
      <c r="D552" s="41" t="n"/>
      <c r="E552" s="41" t="n"/>
      <c r="F552" s="41" t="n"/>
      <c r="G552" s="41" t="n"/>
    </row>
    <row r="553" ht="15.75" customHeight="1" s="60">
      <c r="A553" s="41" t="n"/>
      <c r="B553" s="41" t="n"/>
      <c r="C553" s="41" t="n"/>
      <c r="D553" s="41" t="n"/>
      <c r="E553" s="41" t="n"/>
      <c r="F553" s="41" t="n"/>
      <c r="G553" s="41" t="n"/>
    </row>
    <row r="554" ht="15.75" customHeight="1" s="60">
      <c r="A554" s="41" t="n"/>
      <c r="B554" s="41" t="n"/>
      <c r="C554" s="41" t="n"/>
      <c r="D554" s="41" t="n"/>
      <c r="E554" s="41" t="n"/>
      <c r="F554" s="41" t="n"/>
      <c r="G554" s="41" t="n"/>
    </row>
    <row r="555" ht="15.75" customHeight="1" s="60">
      <c r="A555" s="41" t="n"/>
      <c r="B555" s="41" t="n"/>
      <c r="C555" s="41" t="n"/>
      <c r="D555" s="41" t="n"/>
      <c r="E555" s="41" t="n"/>
      <c r="F555" s="41" t="n"/>
      <c r="G555" s="41" t="n"/>
    </row>
    <row r="556" ht="15.75" customHeight="1" s="60">
      <c r="A556" s="41" t="n"/>
      <c r="B556" s="41" t="n"/>
      <c r="C556" s="41" t="n"/>
      <c r="D556" s="41" t="n"/>
      <c r="E556" s="41" t="n"/>
      <c r="F556" s="41" t="n"/>
      <c r="G556" s="41" t="n"/>
    </row>
    <row r="557" ht="15.75" customHeight="1" s="60">
      <c r="A557" s="41" t="n"/>
      <c r="B557" s="41" t="n"/>
      <c r="C557" s="41" t="n"/>
      <c r="D557" s="41" t="n"/>
      <c r="E557" s="41" t="n"/>
      <c r="F557" s="41" t="n"/>
      <c r="G557" s="41" t="n"/>
    </row>
    <row r="558" ht="15.75" customHeight="1" s="60">
      <c r="A558" s="41" t="n"/>
      <c r="B558" s="41" t="n"/>
      <c r="C558" s="41" t="n"/>
      <c r="D558" s="41" t="n"/>
      <c r="E558" s="41" t="n"/>
      <c r="F558" s="41" t="n"/>
      <c r="G558" s="41" t="n"/>
    </row>
    <row r="559" ht="15.75" customHeight="1" s="60">
      <c r="A559" s="41" t="n"/>
      <c r="B559" s="41" t="n"/>
      <c r="C559" s="41" t="n"/>
      <c r="D559" s="41" t="n"/>
      <c r="E559" s="41" t="n"/>
      <c r="F559" s="41" t="n"/>
      <c r="G559" s="41" t="n"/>
    </row>
    <row r="560" ht="15.75" customHeight="1" s="60">
      <c r="A560" s="41" t="n"/>
      <c r="B560" s="41" t="n"/>
      <c r="C560" s="41" t="n"/>
      <c r="D560" s="41" t="n"/>
      <c r="E560" s="41" t="n"/>
      <c r="F560" s="41" t="n"/>
      <c r="G560" s="41" t="n"/>
    </row>
    <row r="561" ht="15.75" customHeight="1" s="60">
      <c r="A561" s="41" t="n"/>
      <c r="B561" s="41" t="n"/>
      <c r="C561" s="41" t="n"/>
      <c r="D561" s="41" t="n"/>
      <c r="E561" s="41" t="n"/>
      <c r="F561" s="41" t="n"/>
      <c r="G561" s="41" t="n"/>
    </row>
    <row r="562" ht="15.75" customHeight="1" s="60">
      <c r="A562" s="41" t="n"/>
      <c r="B562" s="41" t="n"/>
      <c r="C562" s="41" t="n"/>
      <c r="D562" s="41" t="n"/>
      <c r="E562" s="41" t="n"/>
      <c r="F562" s="41" t="n"/>
      <c r="G562" s="41" t="n"/>
    </row>
    <row r="563" ht="15.75" customHeight="1" s="60">
      <c r="A563" s="41" t="n"/>
      <c r="B563" s="41" t="n"/>
      <c r="C563" s="41" t="n"/>
      <c r="D563" s="41" t="n"/>
      <c r="E563" s="41" t="n"/>
      <c r="F563" s="41" t="n"/>
      <c r="G563" s="41" t="n"/>
    </row>
    <row r="564" ht="15.75" customHeight="1" s="60">
      <c r="A564" s="41" t="n"/>
      <c r="B564" s="41" t="n"/>
      <c r="C564" s="41" t="n"/>
      <c r="D564" s="41" t="n"/>
      <c r="E564" s="41" t="n"/>
      <c r="F564" s="41" t="n"/>
      <c r="G564" s="41" t="n"/>
    </row>
    <row r="565" ht="15.75" customHeight="1" s="60">
      <c r="A565" s="41" t="n"/>
      <c r="B565" s="41" t="n"/>
      <c r="C565" s="41" t="n"/>
      <c r="D565" s="41" t="n"/>
      <c r="E565" s="41" t="n"/>
      <c r="F565" s="41" t="n"/>
      <c r="G565" s="41" t="n"/>
    </row>
    <row r="566" ht="15.75" customHeight="1" s="60">
      <c r="A566" s="41" t="n"/>
      <c r="B566" s="41" t="n"/>
      <c r="C566" s="41" t="n"/>
      <c r="D566" s="41" t="n"/>
      <c r="E566" s="41" t="n"/>
      <c r="F566" s="41" t="n"/>
      <c r="G566" s="41" t="n"/>
    </row>
    <row r="567" ht="15.75" customHeight="1" s="60">
      <c r="A567" s="41" t="n"/>
      <c r="B567" s="41" t="n"/>
      <c r="C567" s="41" t="n"/>
      <c r="D567" s="41" t="n"/>
      <c r="E567" s="41" t="n"/>
      <c r="F567" s="41" t="n"/>
      <c r="G567" s="41" t="n"/>
    </row>
    <row r="568" ht="15.75" customHeight="1" s="60">
      <c r="A568" s="41" t="n"/>
      <c r="B568" s="41" t="n"/>
      <c r="C568" s="41" t="n"/>
      <c r="D568" s="41" t="n"/>
      <c r="E568" s="41" t="n"/>
      <c r="F568" s="41" t="n"/>
      <c r="G568" s="41" t="n"/>
    </row>
    <row r="569" ht="15.75" customHeight="1" s="60">
      <c r="A569" s="41" t="n"/>
      <c r="B569" s="41" t="n"/>
      <c r="C569" s="41" t="n"/>
      <c r="D569" s="41" t="n"/>
      <c r="E569" s="41" t="n"/>
      <c r="F569" s="41" t="n"/>
      <c r="G569" s="41" t="n"/>
    </row>
    <row r="570" ht="15.75" customHeight="1" s="60">
      <c r="A570" s="41" t="n"/>
      <c r="B570" s="41" t="n"/>
      <c r="C570" s="41" t="n"/>
      <c r="D570" s="41" t="n"/>
      <c r="E570" s="41" t="n"/>
      <c r="F570" s="41" t="n"/>
      <c r="G570" s="41" t="n"/>
    </row>
    <row r="571" ht="15.75" customHeight="1" s="60">
      <c r="A571" s="41" t="n"/>
      <c r="B571" s="41" t="n"/>
      <c r="C571" s="41" t="n"/>
      <c r="D571" s="41" t="n"/>
      <c r="E571" s="41" t="n"/>
      <c r="F571" s="41" t="n"/>
      <c r="G571" s="41" t="n"/>
    </row>
    <row r="572" ht="15.75" customHeight="1" s="60">
      <c r="A572" s="41" t="n"/>
      <c r="B572" s="41" t="n"/>
      <c r="C572" s="41" t="n"/>
      <c r="D572" s="41" t="n"/>
      <c r="E572" s="41" t="n"/>
      <c r="F572" s="41" t="n"/>
      <c r="G572" s="41" t="n"/>
    </row>
    <row r="573" ht="15.75" customHeight="1" s="60">
      <c r="A573" s="41" t="n"/>
      <c r="B573" s="41" t="n"/>
      <c r="C573" s="41" t="n"/>
      <c r="D573" s="41" t="n"/>
      <c r="E573" s="41" t="n"/>
      <c r="F573" s="41" t="n"/>
      <c r="G573" s="41" t="n"/>
    </row>
    <row r="574" ht="15.75" customHeight="1" s="60">
      <c r="A574" s="41" t="n"/>
      <c r="B574" s="41" t="n"/>
      <c r="C574" s="41" t="n"/>
      <c r="D574" s="41" t="n"/>
      <c r="E574" s="41" t="n"/>
      <c r="F574" s="41" t="n"/>
      <c r="G574" s="41" t="n"/>
    </row>
    <row r="575" ht="15.75" customHeight="1" s="60">
      <c r="A575" s="41" t="n"/>
      <c r="B575" s="41" t="n"/>
      <c r="C575" s="41" t="n"/>
      <c r="D575" s="41" t="n"/>
      <c r="E575" s="41" t="n"/>
      <c r="F575" s="41" t="n"/>
      <c r="G575" s="41" t="n"/>
    </row>
    <row r="576" ht="15.75" customHeight="1" s="60">
      <c r="A576" s="41" t="n"/>
      <c r="B576" s="41" t="n"/>
      <c r="C576" s="41" t="n"/>
      <c r="D576" s="41" t="n"/>
      <c r="E576" s="41" t="n"/>
      <c r="F576" s="41" t="n"/>
      <c r="G576" s="41" t="n"/>
    </row>
    <row r="577" ht="15.75" customHeight="1" s="60">
      <c r="A577" s="41" t="n"/>
      <c r="B577" s="41" t="n"/>
      <c r="C577" s="41" t="n"/>
      <c r="D577" s="41" t="n"/>
      <c r="E577" s="41" t="n"/>
      <c r="F577" s="41" t="n"/>
      <c r="G577" s="41" t="n"/>
    </row>
    <row r="578" ht="15.75" customHeight="1" s="60">
      <c r="A578" s="41" t="n"/>
      <c r="B578" s="41" t="n"/>
      <c r="C578" s="41" t="n"/>
      <c r="D578" s="41" t="n"/>
      <c r="E578" s="41" t="n"/>
      <c r="F578" s="41" t="n"/>
      <c r="G578" s="41" t="n"/>
    </row>
    <row r="579" ht="15.75" customHeight="1" s="60">
      <c r="A579" s="41" t="n"/>
      <c r="B579" s="41" t="n"/>
      <c r="C579" s="41" t="n"/>
      <c r="D579" s="41" t="n"/>
      <c r="E579" s="41" t="n"/>
      <c r="F579" s="41" t="n"/>
      <c r="G579" s="41" t="n"/>
    </row>
    <row r="580" ht="15.75" customHeight="1" s="60">
      <c r="A580" s="41" t="n"/>
      <c r="B580" s="41" t="n"/>
      <c r="C580" s="41" t="n"/>
      <c r="D580" s="41" t="n"/>
      <c r="E580" s="41" t="n"/>
      <c r="F580" s="41" t="n"/>
      <c r="G580" s="41" t="n"/>
    </row>
    <row r="581" ht="15.75" customHeight="1" s="60">
      <c r="A581" s="41" t="n"/>
      <c r="B581" s="41" t="n"/>
      <c r="C581" s="41" t="n"/>
      <c r="D581" s="41" t="n"/>
      <c r="E581" s="41" t="n"/>
      <c r="F581" s="41" t="n"/>
      <c r="G581" s="41" t="n"/>
    </row>
    <row r="582" ht="15.75" customHeight="1" s="60">
      <c r="A582" s="41" t="n"/>
      <c r="B582" s="41" t="n"/>
      <c r="C582" s="41" t="n"/>
      <c r="D582" s="41" t="n"/>
      <c r="E582" s="41" t="n"/>
      <c r="F582" s="41" t="n"/>
      <c r="G582" s="41" t="n"/>
    </row>
    <row r="583" ht="15.75" customHeight="1" s="60">
      <c r="A583" s="41" t="n"/>
      <c r="B583" s="41" t="n"/>
      <c r="C583" s="41" t="n"/>
      <c r="D583" s="41" t="n"/>
      <c r="E583" s="41" t="n"/>
      <c r="F583" s="41" t="n"/>
      <c r="G583" s="41" t="n"/>
    </row>
    <row r="584" ht="15.75" customHeight="1" s="60">
      <c r="A584" s="41" t="n"/>
      <c r="B584" s="41" t="n"/>
      <c r="C584" s="41" t="n"/>
      <c r="D584" s="41" t="n"/>
      <c r="E584" s="41" t="n"/>
      <c r="F584" s="41" t="n"/>
      <c r="G584" s="41" t="n"/>
    </row>
    <row r="585" ht="15.75" customHeight="1" s="60">
      <c r="A585" s="41" t="n"/>
      <c r="B585" s="41" t="n"/>
      <c r="C585" s="41" t="n"/>
      <c r="D585" s="41" t="n"/>
      <c r="E585" s="41" t="n"/>
      <c r="F585" s="41" t="n"/>
      <c r="G585" s="41" t="n"/>
    </row>
    <row r="586" ht="15.75" customHeight="1" s="60">
      <c r="A586" s="41" t="n"/>
      <c r="B586" s="41" t="n"/>
      <c r="C586" s="41" t="n"/>
      <c r="D586" s="41" t="n"/>
      <c r="E586" s="41" t="n"/>
      <c r="F586" s="41" t="n"/>
      <c r="G586" s="41" t="n"/>
    </row>
    <row r="587" ht="15.75" customHeight="1" s="60">
      <c r="A587" s="41" t="n"/>
      <c r="B587" s="41" t="n"/>
      <c r="C587" s="41" t="n"/>
      <c r="D587" s="41" t="n"/>
      <c r="E587" s="41" t="n"/>
      <c r="F587" s="41" t="n"/>
      <c r="G587" s="41" t="n"/>
    </row>
    <row r="588" ht="15.75" customHeight="1" s="60">
      <c r="A588" s="41" t="n"/>
      <c r="B588" s="41" t="n"/>
      <c r="C588" s="41" t="n"/>
      <c r="D588" s="41" t="n"/>
      <c r="E588" s="41" t="n"/>
      <c r="F588" s="41" t="n"/>
      <c r="G588" s="41" t="n"/>
    </row>
    <row r="589" ht="15.75" customHeight="1" s="60">
      <c r="A589" s="41" t="n"/>
      <c r="B589" s="41" t="n"/>
      <c r="C589" s="41" t="n"/>
      <c r="D589" s="41" t="n"/>
      <c r="E589" s="41" t="n"/>
      <c r="F589" s="41" t="n"/>
      <c r="G589" s="41" t="n"/>
    </row>
    <row r="590" ht="15.75" customHeight="1" s="60">
      <c r="A590" s="41" t="n"/>
      <c r="B590" s="41" t="n"/>
      <c r="C590" s="41" t="n"/>
      <c r="D590" s="41" t="n"/>
      <c r="E590" s="41" t="n"/>
      <c r="F590" s="41" t="n"/>
      <c r="G590" s="41" t="n"/>
    </row>
    <row r="591" ht="15.75" customHeight="1" s="60">
      <c r="A591" s="41" t="n"/>
      <c r="B591" s="41" t="n"/>
      <c r="C591" s="41" t="n"/>
      <c r="D591" s="41" t="n"/>
      <c r="E591" s="41" t="n"/>
      <c r="F591" s="41" t="n"/>
      <c r="G591" s="41" t="n"/>
    </row>
    <row r="592" ht="15.75" customHeight="1" s="60">
      <c r="A592" s="41" t="n"/>
      <c r="B592" s="41" t="n"/>
      <c r="C592" s="41" t="n"/>
      <c r="D592" s="41" t="n"/>
      <c r="E592" s="41" t="n"/>
      <c r="F592" s="41" t="n"/>
      <c r="G592" s="41" t="n"/>
    </row>
    <row r="593" ht="15.75" customHeight="1" s="60">
      <c r="A593" s="41" t="n"/>
      <c r="B593" s="41" t="n"/>
      <c r="C593" s="41" t="n"/>
      <c r="D593" s="41" t="n"/>
      <c r="E593" s="41" t="n"/>
      <c r="F593" s="41" t="n"/>
      <c r="G593" s="41" t="n"/>
    </row>
    <row r="594" ht="15.75" customHeight="1" s="60">
      <c r="A594" s="41" t="n"/>
      <c r="B594" s="41" t="n"/>
      <c r="C594" s="41" t="n"/>
      <c r="D594" s="41" t="n"/>
      <c r="E594" s="41" t="n"/>
      <c r="F594" s="41" t="n"/>
      <c r="G594" s="41" t="n"/>
    </row>
    <row r="595" ht="15.75" customHeight="1" s="60">
      <c r="A595" s="41" t="n"/>
      <c r="B595" s="41" t="n"/>
      <c r="C595" s="41" t="n"/>
      <c r="D595" s="41" t="n"/>
      <c r="E595" s="41" t="n"/>
      <c r="F595" s="41" t="n"/>
      <c r="G595" s="41" t="n"/>
    </row>
    <row r="596" ht="15.75" customHeight="1" s="60">
      <c r="A596" s="41" t="n"/>
      <c r="B596" s="41" t="n"/>
      <c r="C596" s="41" t="n"/>
      <c r="D596" s="41" t="n"/>
      <c r="E596" s="41" t="n"/>
      <c r="F596" s="41" t="n"/>
      <c r="G596" s="41" t="n"/>
    </row>
    <row r="597" ht="15.75" customHeight="1" s="60">
      <c r="A597" s="41" t="n"/>
      <c r="B597" s="41" t="n"/>
      <c r="C597" s="41" t="n"/>
      <c r="D597" s="41" t="n"/>
      <c r="E597" s="41" t="n"/>
      <c r="F597" s="41" t="n"/>
      <c r="G597" s="41" t="n"/>
    </row>
    <row r="598" ht="15.75" customHeight="1" s="60">
      <c r="A598" s="41" t="n"/>
      <c r="B598" s="41" t="n"/>
      <c r="C598" s="41" t="n"/>
      <c r="D598" s="41" t="n"/>
      <c r="E598" s="41" t="n"/>
      <c r="F598" s="41" t="n"/>
      <c r="G598" s="41" t="n"/>
    </row>
    <row r="599" ht="15.75" customHeight="1" s="60">
      <c r="A599" s="41" t="n"/>
      <c r="B599" s="41" t="n"/>
      <c r="C599" s="41" t="n"/>
      <c r="D599" s="41" t="n"/>
      <c r="E599" s="41" t="n"/>
      <c r="F599" s="41" t="n"/>
      <c r="G599" s="41" t="n"/>
    </row>
    <row r="600" ht="15.75" customHeight="1" s="60">
      <c r="A600" s="41" t="n"/>
      <c r="B600" s="41" t="n"/>
      <c r="C600" s="41" t="n"/>
      <c r="D600" s="41" t="n"/>
      <c r="E600" s="41" t="n"/>
      <c r="F600" s="41" t="n"/>
      <c r="G600" s="41" t="n"/>
    </row>
    <row r="601" ht="15.75" customHeight="1" s="60">
      <c r="A601" s="41" t="n"/>
      <c r="B601" s="41" t="n"/>
      <c r="C601" s="41" t="n"/>
      <c r="D601" s="41" t="n"/>
      <c r="E601" s="41" t="n"/>
      <c r="F601" s="41" t="n"/>
      <c r="G601" s="41" t="n"/>
    </row>
    <row r="602" ht="15.75" customHeight="1" s="60">
      <c r="A602" s="41" t="n"/>
      <c r="B602" s="41" t="n"/>
      <c r="C602" s="41" t="n"/>
      <c r="D602" s="41" t="n"/>
      <c r="E602" s="41" t="n"/>
      <c r="F602" s="41" t="n"/>
      <c r="G602" s="41" t="n"/>
    </row>
    <row r="603" ht="15.75" customHeight="1" s="60">
      <c r="A603" s="41" t="n"/>
      <c r="B603" s="41" t="n"/>
      <c r="C603" s="41" t="n"/>
      <c r="D603" s="41" t="n"/>
      <c r="E603" s="41" t="n"/>
      <c r="F603" s="41" t="n"/>
      <c r="G603" s="41" t="n"/>
    </row>
    <row r="604" ht="15.75" customHeight="1" s="60">
      <c r="A604" s="41" t="n"/>
      <c r="B604" s="41" t="n"/>
      <c r="C604" s="41" t="n"/>
      <c r="D604" s="41" t="n"/>
      <c r="E604" s="41" t="n"/>
      <c r="F604" s="41" t="n"/>
      <c r="G604" s="41" t="n"/>
    </row>
    <row r="605" ht="15.75" customHeight="1" s="60">
      <c r="A605" s="41" t="n"/>
      <c r="B605" s="41" t="n"/>
      <c r="C605" s="41" t="n"/>
      <c r="D605" s="41" t="n"/>
      <c r="E605" s="41" t="n"/>
      <c r="F605" s="41" t="n"/>
      <c r="G605" s="41" t="n"/>
    </row>
    <row r="606" ht="15.75" customHeight="1" s="60">
      <c r="A606" s="41" t="n"/>
      <c r="B606" s="41" t="n"/>
      <c r="C606" s="41" t="n"/>
      <c r="D606" s="41" t="n"/>
      <c r="E606" s="41" t="n"/>
      <c r="F606" s="41" t="n"/>
      <c r="G606" s="41" t="n"/>
    </row>
    <row r="607" ht="15.75" customHeight="1" s="60">
      <c r="A607" s="41" t="n"/>
      <c r="B607" s="41" t="n"/>
      <c r="C607" s="41" t="n"/>
      <c r="D607" s="41" t="n"/>
      <c r="E607" s="41" t="n"/>
      <c r="F607" s="41" t="n"/>
      <c r="G607" s="41" t="n"/>
    </row>
    <row r="608" ht="15.75" customHeight="1" s="60">
      <c r="A608" s="41" t="n"/>
      <c r="B608" s="41" t="n"/>
      <c r="C608" s="41" t="n"/>
      <c r="D608" s="41" t="n"/>
      <c r="E608" s="41" t="n"/>
      <c r="F608" s="41" t="n"/>
      <c r="G608" s="41" t="n"/>
    </row>
    <row r="609" ht="15.75" customHeight="1" s="60">
      <c r="A609" s="41" t="n"/>
      <c r="B609" s="41" t="n"/>
      <c r="C609" s="41" t="n"/>
      <c r="D609" s="41" t="n"/>
      <c r="E609" s="41" t="n"/>
      <c r="F609" s="41" t="n"/>
      <c r="G609" s="41" t="n"/>
    </row>
    <row r="610" ht="15.75" customHeight="1" s="60">
      <c r="A610" s="41" t="n"/>
      <c r="B610" s="41" t="n"/>
      <c r="C610" s="41" t="n"/>
      <c r="D610" s="41" t="n"/>
      <c r="E610" s="41" t="n"/>
      <c r="F610" s="41" t="n"/>
      <c r="G610" s="41" t="n"/>
    </row>
    <row r="611" ht="15.75" customHeight="1" s="60">
      <c r="A611" s="41" t="n"/>
      <c r="B611" s="41" t="n"/>
      <c r="C611" s="41" t="n"/>
      <c r="D611" s="41" t="n"/>
      <c r="E611" s="41" t="n"/>
      <c r="F611" s="41" t="n"/>
      <c r="G611" s="41" t="n"/>
    </row>
    <row r="612" ht="15.75" customHeight="1" s="60">
      <c r="A612" s="41" t="n"/>
      <c r="B612" s="41" t="n"/>
      <c r="C612" s="41" t="n"/>
      <c r="D612" s="41" t="n"/>
      <c r="E612" s="41" t="n"/>
      <c r="F612" s="41" t="n"/>
      <c r="G612" s="41" t="n"/>
    </row>
    <row r="613" ht="15.75" customHeight="1" s="60">
      <c r="A613" s="41" t="n"/>
      <c r="B613" s="41" t="n"/>
      <c r="C613" s="41" t="n"/>
      <c r="D613" s="41" t="n"/>
      <c r="E613" s="41" t="n"/>
      <c r="F613" s="41" t="n"/>
      <c r="G613" s="41" t="n"/>
    </row>
    <row r="614" ht="15.75" customHeight="1" s="60">
      <c r="A614" s="41" t="n"/>
      <c r="B614" s="41" t="n"/>
      <c r="C614" s="41" t="n"/>
      <c r="D614" s="41" t="n"/>
      <c r="E614" s="41" t="n"/>
      <c r="F614" s="41" t="n"/>
      <c r="G614" s="41" t="n"/>
    </row>
    <row r="615" ht="15.75" customHeight="1" s="60">
      <c r="A615" s="41" t="n"/>
      <c r="B615" s="41" t="n"/>
      <c r="C615" s="41" t="n"/>
      <c r="D615" s="41" t="n"/>
      <c r="E615" s="41" t="n"/>
      <c r="F615" s="41" t="n"/>
      <c r="G615" s="41" t="n"/>
    </row>
    <row r="616" ht="15.75" customHeight="1" s="60">
      <c r="A616" s="41" t="n"/>
      <c r="B616" s="41" t="n"/>
      <c r="C616" s="41" t="n"/>
      <c r="D616" s="41" t="n"/>
      <c r="E616" s="41" t="n"/>
      <c r="F616" s="41" t="n"/>
      <c r="G616" s="41" t="n"/>
    </row>
    <row r="617" ht="15.75" customHeight="1" s="60">
      <c r="A617" s="41" t="n"/>
      <c r="B617" s="41" t="n"/>
      <c r="C617" s="41" t="n"/>
      <c r="D617" s="41" t="n"/>
      <c r="E617" s="41" t="n"/>
      <c r="F617" s="41" t="n"/>
      <c r="G617" s="41" t="n"/>
    </row>
    <row r="618" ht="15.75" customHeight="1" s="60">
      <c r="A618" s="41" t="n"/>
      <c r="B618" s="41" t="n"/>
      <c r="C618" s="41" t="n"/>
      <c r="D618" s="41" t="n"/>
      <c r="E618" s="41" t="n"/>
      <c r="F618" s="41" t="n"/>
      <c r="G618" s="41" t="n"/>
    </row>
    <row r="619" ht="15.75" customHeight="1" s="60">
      <c r="A619" s="41" t="n"/>
      <c r="B619" s="41" t="n"/>
      <c r="C619" s="41" t="n"/>
      <c r="D619" s="41" t="n"/>
      <c r="E619" s="41" t="n"/>
      <c r="F619" s="41" t="n"/>
      <c r="G619" s="41" t="n"/>
    </row>
    <row r="620" ht="15.75" customHeight="1" s="60">
      <c r="A620" s="41" t="n"/>
      <c r="B620" s="41" t="n"/>
      <c r="C620" s="41" t="n"/>
      <c r="D620" s="41" t="n"/>
      <c r="E620" s="41" t="n"/>
      <c r="F620" s="41" t="n"/>
      <c r="G620" s="41" t="n"/>
    </row>
    <row r="621" ht="15.75" customHeight="1" s="60">
      <c r="A621" s="41" t="n"/>
      <c r="B621" s="41" t="n"/>
      <c r="C621" s="41" t="n"/>
      <c r="D621" s="41" t="n"/>
      <c r="E621" s="41" t="n"/>
      <c r="F621" s="41" t="n"/>
      <c r="G621" s="41" t="n"/>
    </row>
    <row r="622" ht="15.75" customHeight="1" s="60">
      <c r="A622" s="41" t="n"/>
      <c r="B622" s="41" t="n"/>
      <c r="C622" s="41" t="n"/>
      <c r="D622" s="41" t="n"/>
      <c r="E622" s="41" t="n"/>
      <c r="F622" s="41" t="n"/>
      <c r="G622" s="41" t="n"/>
    </row>
    <row r="623" ht="15.75" customHeight="1" s="60">
      <c r="A623" s="41" t="n"/>
      <c r="B623" s="41" t="n"/>
      <c r="C623" s="41" t="n"/>
      <c r="D623" s="41" t="n"/>
      <c r="E623" s="41" t="n"/>
      <c r="F623" s="41" t="n"/>
      <c r="G623" s="41" t="n"/>
    </row>
    <row r="624" ht="15.75" customHeight="1" s="60">
      <c r="A624" s="41" t="n"/>
      <c r="B624" s="41" t="n"/>
      <c r="C624" s="41" t="n"/>
      <c r="D624" s="41" t="n"/>
      <c r="E624" s="41" t="n"/>
      <c r="F624" s="41" t="n"/>
      <c r="G624" s="41" t="n"/>
    </row>
    <row r="625" ht="15.75" customHeight="1" s="60">
      <c r="A625" s="41" t="n"/>
      <c r="B625" s="41" t="n"/>
      <c r="C625" s="41" t="n"/>
      <c r="D625" s="41" t="n"/>
      <c r="E625" s="41" t="n"/>
      <c r="F625" s="41" t="n"/>
      <c r="G625" s="41" t="n"/>
    </row>
    <row r="626" ht="15.75" customHeight="1" s="60">
      <c r="A626" s="41" t="n"/>
      <c r="B626" s="41" t="n"/>
      <c r="C626" s="41" t="n"/>
      <c r="D626" s="41" t="n"/>
      <c r="E626" s="41" t="n"/>
      <c r="F626" s="41" t="n"/>
      <c r="G626" s="41" t="n"/>
    </row>
    <row r="627" ht="15.75" customHeight="1" s="60">
      <c r="A627" s="41" t="n"/>
      <c r="B627" s="41" t="n"/>
      <c r="C627" s="41" t="n"/>
      <c r="D627" s="41" t="n"/>
      <c r="E627" s="41" t="n"/>
      <c r="F627" s="41" t="n"/>
      <c r="G627" s="41" t="n"/>
    </row>
    <row r="628" ht="15.75" customHeight="1" s="60">
      <c r="A628" s="41" t="n"/>
      <c r="B628" s="41" t="n"/>
      <c r="C628" s="41" t="n"/>
      <c r="D628" s="41" t="n"/>
      <c r="E628" s="41" t="n"/>
      <c r="F628" s="41" t="n"/>
      <c r="G628" s="41" t="n"/>
    </row>
    <row r="629" ht="15.75" customHeight="1" s="60">
      <c r="A629" s="41" t="n"/>
      <c r="B629" s="41" t="n"/>
      <c r="C629" s="41" t="n"/>
      <c r="D629" s="41" t="n"/>
      <c r="E629" s="41" t="n"/>
      <c r="F629" s="41" t="n"/>
      <c r="G629" s="41" t="n"/>
    </row>
    <row r="630" ht="15.75" customHeight="1" s="60">
      <c r="A630" s="41" t="n"/>
      <c r="B630" s="41" t="n"/>
      <c r="C630" s="41" t="n"/>
      <c r="D630" s="41" t="n"/>
      <c r="E630" s="41" t="n"/>
      <c r="F630" s="41" t="n"/>
      <c r="G630" s="41" t="n"/>
    </row>
    <row r="631" ht="15.75" customHeight="1" s="60">
      <c r="A631" s="41" t="n"/>
      <c r="B631" s="41" t="n"/>
      <c r="C631" s="41" t="n"/>
      <c r="D631" s="41" t="n"/>
      <c r="E631" s="41" t="n"/>
      <c r="F631" s="41" t="n"/>
      <c r="G631" s="41" t="n"/>
    </row>
    <row r="632" ht="15.75" customHeight="1" s="60">
      <c r="A632" s="41" t="n"/>
      <c r="B632" s="41" t="n"/>
      <c r="C632" s="41" t="n"/>
      <c r="D632" s="41" t="n"/>
      <c r="E632" s="41" t="n"/>
      <c r="F632" s="41" t="n"/>
      <c r="G632" s="41" t="n"/>
    </row>
    <row r="633" ht="15.75" customHeight="1" s="60">
      <c r="A633" s="41" t="n"/>
      <c r="B633" s="41" t="n"/>
      <c r="C633" s="41" t="n"/>
      <c r="D633" s="41" t="n"/>
      <c r="E633" s="41" t="n"/>
      <c r="F633" s="41" t="n"/>
      <c r="G633" s="41" t="n"/>
    </row>
    <row r="634" ht="15.75" customHeight="1" s="60">
      <c r="A634" s="41" t="n"/>
      <c r="B634" s="41" t="n"/>
      <c r="C634" s="41" t="n"/>
      <c r="D634" s="41" t="n"/>
      <c r="E634" s="41" t="n"/>
      <c r="F634" s="41" t="n"/>
      <c r="G634" s="41" t="n"/>
    </row>
    <row r="635" ht="15.75" customHeight="1" s="60">
      <c r="A635" s="41" t="n"/>
      <c r="B635" s="41" t="n"/>
      <c r="C635" s="41" t="n"/>
      <c r="D635" s="41" t="n"/>
      <c r="E635" s="41" t="n"/>
      <c r="F635" s="41" t="n"/>
      <c r="G635" s="41" t="n"/>
    </row>
    <row r="636" ht="15.75" customHeight="1" s="60">
      <c r="A636" s="41" t="n"/>
      <c r="B636" s="41" t="n"/>
      <c r="C636" s="41" t="n"/>
      <c r="D636" s="41" t="n"/>
      <c r="E636" s="41" t="n"/>
      <c r="F636" s="41" t="n"/>
      <c r="G636" s="41" t="n"/>
    </row>
    <row r="637" ht="15.75" customHeight="1" s="60">
      <c r="A637" s="41" t="n"/>
      <c r="B637" s="41" t="n"/>
      <c r="C637" s="41" t="n"/>
      <c r="D637" s="41" t="n"/>
      <c r="E637" s="41" t="n"/>
      <c r="F637" s="41" t="n"/>
      <c r="G637" s="41" t="n"/>
    </row>
    <row r="638" ht="15.75" customHeight="1" s="60">
      <c r="A638" s="41" t="n"/>
      <c r="B638" s="41" t="n"/>
      <c r="C638" s="41" t="n"/>
      <c r="D638" s="41" t="n"/>
      <c r="E638" s="41" t="n"/>
      <c r="F638" s="41" t="n"/>
      <c r="G638" s="41" t="n"/>
    </row>
    <row r="639" ht="15.75" customHeight="1" s="60">
      <c r="A639" s="41" t="n"/>
      <c r="B639" s="41" t="n"/>
      <c r="C639" s="41" t="n"/>
      <c r="D639" s="41" t="n"/>
      <c r="E639" s="41" t="n"/>
      <c r="F639" s="41" t="n"/>
      <c r="G639" s="41" t="n"/>
    </row>
    <row r="640" ht="15.75" customHeight="1" s="60">
      <c r="A640" s="41" t="n"/>
      <c r="B640" s="41" t="n"/>
      <c r="C640" s="41" t="n"/>
      <c r="D640" s="41" t="n"/>
      <c r="E640" s="41" t="n"/>
      <c r="F640" s="41" t="n"/>
      <c r="G640" s="41" t="n"/>
    </row>
    <row r="641" ht="15.75" customHeight="1" s="60">
      <c r="A641" s="41" t="n"/>
      <c r="B641" s="41" t="n"/>
      <c r="C641" s="41" t="n"/>
      <c r="D641" s="41" t="n"/>
      <c r="E641" s="41" t="n"/>
      <c r="F641" s="41" t="n"/>
      <c r="G641" s="41" t="n"/>
    </row>
    <row r="642" ht="15.75" customHeight="1" s="60">
      <c r="A642" s="41" t="n"/>
      <c r="B642" s="41" t="n"/>
      <c r="C642" s="41" t="n"/>
      <c r="D642" s="41" t="n"/>
      <c r="E642" s="41" t="n"/>
      <c r="F642" s="41" t="n"/>
      <c r="G642" s="41" t="n"/>
    </row>
    <row r="643" ht="15.75" customHeight="1" s="60">
      <c r="A643" s="41" t="n"/>
      <c r="B643" s="41" t="n"/>
      <c r="C643" s="41" t="n"/>
      <c r="D643" s="41" t="n"/>
      <c r="E643" s="41" t="n"/>
      <c r="F643" s="41" t="n"/>
      <c r="G643" s="41" t="n"/>
    </row>
    <row r="644" ht="15.75" customHeight="1" s="60">
      <c r="A644" s="41" t="n"/>
      <c r="B644" s="41" t="n"/>
      <c r="C644" s="41" t="n"/>
      <c r="D644" s="41" t="n"/>
      <c r="E644" s="41" t="n"/>
      <c r="F644" s="41" t="n"/>
      <c r="G644" s="41" t="n"/>
    </row>
    <row r="645" ht="15.75" customHeight="1" s="60">
      <c r="A645" s="41" t="n"/>
      <c r="B645" s="41" t="n"/>
      <c r="C645" s="41" t="n"/>
      <c r="D645" s="41" t="n"/>
      <c r="E645" s="41" t="n"/>
      <c r="F645" s="41" t="n"/>
      <c r="G645" s="41" t="n"/>
    </row>
    <row r="646" ht="15.75" customHeight="1" s="60">
      <c r="A646" s="41" t="n"/>
      <c r="B646" s="41" t="n"/>
      <c r="C646" s="41" t="n"/>
      <c r="D646" s="41" t="n"/>
      <c r="E646" s="41" t="n"/>
      <c r="F646" s="41" t="n"/>
      <c r="G646" s="41" t="n"/>
    </row>
    <row r="647" ht="15.75" customHeight="1" s="60">
      <c r="A647" s="41" t="n"/>
      <c r="B647" s="41" t="n"/>
      <c r="C647" s="41" t="n"/>
      <c r="D647" s="41" t="n"/>
      <c r="E647" s="41" t="n"/>
      <c r="F647" s="41" t="n"/>
      <c r="G647" s="41" t="n"/>
    </row>
    <row r="648" ht="15.75" customHeight="1" s="60">
      <c r="A648" s="41" t="n"/>
      <c r="B648" s="41" t="n"/>
      <c r="C648" s="41" t="n"/>
      <c r="D648" s="41" t="n"/>
      <c r="E648" s="41" t="n"/>
      <c r="F648" s="41" t="n"/>
      <c r="G648" s="41" t="n"/>
    </row>
    <row r="649" ht="15.75" customHeight="1" s="60">
      <c r="A649" s="41" t="n"/>
      <c r="B649" s="41" t="n"/>
      <c r="C649" s="41" t="n"/>
      <c r="D649" s="41" t="n"/>
      <c r="E649" s="41" t="n"/>
      <c r="F649" s="41" t="n"/>
      <c r="G649" s="41" t="n"/>
    </row>
    <row r="650" ht="15.75" customHeight="1" s="60">
      <c r="A650" s="41" t="n"/>
      <c r="B650" s="41" t="n"/>
      <c r="C650" s="41" t="n"/>
      <c r="D650" s="41" t="n"/>
      <c r="E650" s="41" t="n"/>
      <c r="F650" s="41" t="n"/>
      <c r="G650" s="41" t="n"/>
    </row>
    <row r="651" ht="15.75" customHeight="1" s="60">
      <c r="A651" s="41" t="n"/>
      <c r="B651" s="41" t="n"/>
      <c r="C651" s="41" t="n"/>
      <c r="D651" s="41" t="n"/>
      <c r="E651" s="41" t="n"/>
      <c r="F651" s="41" t="n"/>
      <c r="G651" s="41" t="n"/>
    </row>
    <row r="652" ht="15.75" customHeight="1" s="60">
      <c r="A652" s="41" t="n"/>
      <c r="B652" s="41" t="n"/>
      <c r="C652" s="41" t="n"/>
      <c r="D652" s="41" t="n"/>
      <c r="E652" s="41" t="n"/>
      <c r="F652" s="41" t="n"/>
      <c r="G652" s="41" t="n"/>
    </row>
    <row r="653" ht="15.75" customHeight="1" s="60">
      <c r="A653" s="41" t="n"/>
      <c r="B653" s="41" t="n"/>
      <c r="C653" s="41" t="n"/>
      <c r="D653" s="41" t="n"/>
      <c r="E653" s="41" t="n"/>
      <c r="F653" s="41" t="n"/>
      <c r="G653" s="41" t="n"/>
    </row>
    <row r="654" ht="15.75" customHeight="1" s="60">
      <c r="A654" s="41" t="n"/>
      <c r="B654" s="41" t="n"/>
      <c r="C654" s="41" t="n"/>
      <c r="D654" s="41" t="n"/>
      <c r="E654" s="41" t="n"/>
      <c r="F654" s="41" t="n"/>
      <c r="G654" s="41" t="n"/>
    </row>
    <row r="655" ht="15.75" customHeight="1" s="60">
      <c r="A655" s="41" t="n"/>
      <c r="B655" s="41" t="n"/>
      <c r="C655" s="41" t="n"/>
      <c r="D655" s="41" t="n"/>
      <c r="E655" s="41" t="n"/>
      <c r="F655" s="41" t="n"/>
      <c r="G655" s="41" t="n"/>
    </row>
    <row r="656" ht="15.75" customHeight="1" s="60">
      <c r="A656" s="41" t="n"/>
      <c r="B656" s="41" t="n"/>
      <c r="C656" s="41" t="n"/>
      <c r="D656" s="41" t="n"/>
      <c r="E656" s="41" t="n"/>
      <c r="F656" s="41" t="n"/>
      <c r="G656" s="41" t="n"/>
    </row>
    <row r="657" ht="15.75" customHeight="1" s="60">
      <c r="A657" s="41" t="n"/>
      <c r="B657" s="41" t="n"/>
      <c r="C657" s="41" t="n"/>
      <c r="D657" s="41" t="n"/>
      <c r="E657" s="41" t="n"/>
      <c r="F657" s="41" t="n"/>
      <c r="G657" s="41" t="n"/>
    </row>
    <row r="658" ht="15.75" customHeight="1" s="60">
      <c r="A658" s="41" t="n"/>
      <c r="B658" s="41" t="n"/>
      <c r="C658" s="41" t="n"/>
      <c r="D658" s="41" t="n"/>
      <c r="E658" s="41" t="n"/>
      <c r="F658" s="41" t="n"/>
      <c r="G658" s="41" t="n"/>
    </row>
    <row r="659" ht="15.75" customHeight="1" s="60">
      <c r="A659" s="41" t="n"/>
      <c r="B659" s="41" t="n"/>
      <c r="C659" s="41" t="n"/>
      <c r="D659" s="41" t="n"/>
      <c r="E659" s="41" t="n"/>
      <c r="F659" s="41" t="n"/>
      <c r="G659" s="41" t="n"/>
    </row>
    <row r="660" ht="15.75" customHeight="1" s="60">
      <c r="A660" s="41" t="n"/>
      <c r="B660" s="41" t="n"/>
      <c r="C660" s="41" t="n"/>
      <c r="D660" s="41" t="n"/>
      <c r="E660" s="41" t="n"/>
      <c r="F660" s="41" t="n"/>
      <c r="G660" s="41" t="n"/>
    </row>
    <row r="661" ht="15.75" customHeight="1" s="60">
      <c r="A661" s="41" t="n"/>
      <c r="B661" s="41" t="n"/>
      <c r="C661" s="41" t="n"/>
      <c r="D661" s="41" t="n"/>
      <c r="E661" s="41" t="n"/>
      <c r="F661" s="41" t="n"/>
      <c r="G661" s="41" t="n"/>
    </row>
    <row r="662" ht="15.75" customHeight="1" s="60">
      <c r="A662" s="41" t="n"/>
      <c r="B662" s="41" t="n"/>
      <c r="C662" s="41" t="n"/>
      <c r="D662" s="41" t="n"/>
      <c r="E662" s="41" t="n"/>
      <c r="F662" s="41" t="n"/>
      <c r="G662" s="41" t="n"/>
    </row>
    <row r="663" ht="15.75" customHeight="1" s="60">
      <c r="A663" s="41" t="n"/>
      <c r="B663" s="41" t="n"/>
      <c r="C663" s="41" t="n"/>
      <c r="D663" s="41" t="n"/>
      <c r="E663" s="41" t="n"/>
      <c r="F663" s="41" t="n"/>
      <c r="G663" s="41" t="n"/>
    </row>
    <row r="664" ht="15.75" customHeight="1" s="60">
      <c r="A664" s="41" t="n"/>
      <c r="B664" s="41" t="n"/>
      <c r="C664" s="41" t="n"/>
      <c r="D664" s="41" t="n"/>
      <c r="E664" s="41" t="n"/>
      <c r="F664" s="41" t="n"/>
      <c r="G664" s="41" t="n"/>
    </row>
    <row r="665" ht="15.75" customHeight="1" s="60">
      <c r="A665" s="41" t="n"/>
      <c r="B665" s="41" t="n"/>
      <c r="C665" s="41" t="n"/>
      <c r="D665" s="41" t="n"/>
      <c r="E665" s="41" t="n"/>
      <c r="F665" s="41" t="n"/>
      <c r="G665" s="41" t="n"/>
    </row>
    <row r="666" ht="15.75" customHeight="1" s="60">
      <c r="A666" s="41" t="n"/>
      <c r="B666" s="41" t="n"/>
      <c r="C666" s="41" t="n"/>
      <c r="D666" s="41" t="n"/>
      <c r="E666" s="41" t="n"/>
      <c r="F666" s="41" t="n"/>
      <c r="G666" s="41" t="n"/>
    </row>
    <row r="667" ht="15.75" customHeight="1" s="60">
      <c r="A667" s="41" t="n"/>
      <c r="B667" s="41" t="n"/>
      <c r="C667" s="41" t="n"/>
      <c r="D667" s="41" t="n"/>
      <c r="E667" s="41" t="n"/>
      <c r="F667" s="41" t="n"/>
      <c r="G667" s="41" t="n"/>
    </row>
    <row r="668" ht="15.75" customHeight="1" s="60">
      <c r="A668" s="41" t="n"/>
      <c r="B668" s="41" t="n"/>
      <c r="C668" s="41" t="n"/>
      <c r="D668" s="41" t="n"/>
      <c r="E668" s="41" t="n"/>
      <c r="F668" s="41" t="n"/>
      <c r="G668" s="41" t="n"/>
    </row>
    <row r="669" ht="15.75" customHeight="1" s="60">
      <c r="A669" s="41" t="n"/>
      <c r="B669" s="41" t="n"/>
      <c r="C669" s="41" t="n"/>
      <c r="D669" s="41" t="n"/>
      <c r="E669" s="41" t="n"/>
      <c r="F669" s="41" t="n"/>
      <c r="G669" s="41" t="n"/>
    </row>
    <row r="670" ht="15.75" customHeight="1" s="60">
      <c r="A670" s="41" t="n"/>
      <c r="B670" s="41" t="n"/>
      <c r="C670" s="41" t="n"/>
      <c r="D670" s="41" t="n"/>
      <c r="E670" s="41" t="n"/>
      <c r="F670" s="41" t="n"/>
      <c r="G670" s="41" t="n"/>
    </row>
    <row r="671" ht="15.75" customHeight="1" s="60">
      <c r="A671" s="41" t="n"/>
      <c r="B671" s="41" t="n"/>
      <c r="C671" s="41" t="n"/>
      <c r="D671" s="41" t="n"/>
      <c r="E671" s="41" t="n"/>
      <c r="F671" s="41" t="n"/>
      <c r="G671" s="41" t="n"/>
    </row>
    <row r="672" ht="15.75" customHeight="1" s="60">
      <c r="A672" s="41" t="n"/>
      <c r="B672" s="41" t="n"/>
      <c r="C672" s="41" t="n"/>
      <c r="D672" s="41" t="n"/>
      <c r="E672" s="41" t="n"/>
      <c r="F672" s="41" t="n"/>
      <c r="G672" s="41" t="n"/>
    </row>
    <row r="673" ht="15.75" customHeight="1" s="60">
      <c r="A673" s="41" t="n"/>
      <c r="B673" s="41" t="n"/>
      <c r="C673" s="41" t="n"/>
      <c r="D673" s="41" t="n"/>
      <c r="E673" s="41" t="n"/>
      <c r="F673" s="41" t="n"/>
      <c r="G673" s="41" t="n"/>
    </row>
    <row r="674" ht="15.75" customHeight="1" s="60">
      <c r="A674" s="41" t="n"/>
      <c r="B674" s="41" t="n"/>
      <c r="C674" s="41" t="n"/>
      <c r="D674" s="41" t="n"/>
      <c r="E674" s="41" t="n"/>
      <c r="F674" s="41" t="n"/>
      <c r="G674" s="41" t="n"/>
    </row>
    <row r="675" ht="15.75" customHeight="1" s="60">
      <c r="A675" s="41" t="n"/>
      <c r="B675" s="41" t="n"/>
      <c r="C675" s="41" t="n"/>
      <c r="D675" s="41" t="n"/>
      <c r="E675" s="41" t="n"/>
      <c r="F675" s="41" t="n"/>
      <c r="G675" s="41" t="n"/>
    </row>
    <row r="676" ht="15.75" customHeight="1" s="60">
      <c r="A676" s="41" t="n"/>
      <c r="B676" s="41" t="n"/>
      <c r="C676" s="41" t="n"/>
      <c r="D676" s="41" t="n"/>
      <c r="E676" s="41" t="n"/>
      <c r="F676" s="41" t="n"/>
      <c r="G676" s="41" t="n"/>
    </row>
    <row r="677" ht="15.75" customHeight="1" s="60">
      <c r="A677" s="41" t="n"/>
      <c r="B677" s="41" t="n"/>
      <c r="C677" s="41" t="n"/>
      <c r="D677" s="41" t="n"/>
      <c r="E677" s="41" t="n"/>
      <c r="F677" s="41" t="n"/>
      <c r="G677" s="41" t="n"/>
    </row>
    <row r="678" ht="15.75" customHeight="1" s="60">
      <c r="A678" s="41" t="n"/>
      <c r="B678" s="41" t="n"/>
      <c r="C678" s="41" t="n"/>
      <c r="D678" s="41" t="n"/>
      <c r="E678" s="41" t="n"/>
      <c r="F678" s="41" t="n"/>
      <c r="G678" s="41" t="n"/>
    </row>
    <row r="679" ht="15.75" customHeight="1" s="60">
      <c r="A679" s="41" t="n"/>
      <c r="B679" s="41" t="n"/>
      <c r="C679" s="41" t="n"/>
      <c r="D679" s="41" t="n"/>
      <c r="E679" s="41" t="n"/>
      <c r="F679" s="41" t="n"/>
      <c r="G679" s="41" t="n"/>
    </row>
    <row r="680" ht="15.75" customHeight="1" s="60">
      <c r="A680" s="41" t="n"/>
      <c r="B680" s="41" t="n"/>
      <c r="C680" s="41" t="n"/>
      <c r="D680" s="41" t="n"/>
      <c r="E680" s="41" t="n"/>
      <c r="F680" s="41" t="n"/>
      <c r="G680" s="41" t="n"/>
    </row>
    <row r="681" ht="15.75" customHeight="1" s="60">
      <c r="A681" s="41" t="n"/>
      <c r="B681" s="41" t="n"/>
      <c r="C681" s="41" t="n"/>
      <c r="D681" s="41" t="n"/>
      <c r="E681" s="41" t="n"/>
      <c r="F681" s="41" t="n"/>
      <c r="G681" s="41" t="n"/>
    </row>
    <row r="682" ht="15.75" customHeight="1" s="60">
      <c r="A682" s="41" t="n"/>
      <c r="B682" s="41" t="n"/>
      <c r="C682" s="41" t="n"/>
      <c r="D682" s="41" t="n"/>
      <c r="E682" s="41" t="n"/>
      <c r="F682" s="41" t="n"/>
      <c r="G682" s="41" t="n"/>
    </row>
    <row r="683" ht="15.75" customHeight="1" s="60">
      <c r="A683" s="41" t="n"/>
      <c r="B683" s="41" t="n"/>
      <c r="C683" s="41" t="n"/>
      <c r="D683" s="41" t="n"/>
      <c r="E683" s="41" t="n"/>
      <c r="F683" s="41" t="n"/>
      <c r="G683" s="41" t="n"/>
    </row>
    <row r="684" ht="15.75" customHeight="1" s="60">
      <c r="A684" s="41" t="n"/>
      <c r="B684" s="41" t="n"/>
      <c r="C684" s="41" t="n"/>
      <c r="D684" s="41" t="n"/>
      <c r="E684" s="41" t="n"/>
      <c r="F684" s="41" t="n"/>
      <c r="G684" s="41" t="n"/>
    </row>
    <row r="685" ht="15.75" customHeight="1" s="60">
      <c r="A685" s="41" t="n"/>
      <c r="B685" s="41" t="n"/>
      <c r="C685" s="41" t="n"/>
      <c r="D685" s="41" t="n"/>
      <c r="E685" s="41" t="n"/>
      <c r="F685" s="41" t="n"/>
      <c r="G685" s="41" t="n"/>
    </row>
    <row r="686" ht="15.75" customHeight="1" s="60">
      <c r="A686" s="41" t="n"/>
      <c r="B686" s="41" t="n"/>
      <c r="C686" s="41" t="n"/>
      <c r="D686" s="41" t="n"/>
      <c r="E686" s="41" t="n"/>
      <c r="F686" s="41" t="n"/>
      <c r="G686" s="41" t="n"/>
    </row>
    <row r="687" ht="15.75" customHeight="1" s="60">
      <c r="A687" s="41" t="n"/>
      <c r="B687" s="41" t="n"/>
      <c r="C687" s="41" t="n"/>
      <c r="D687" s="41" t="n"/>
      <c r="E687" s="41" t="n"/>
      <c r="F687" s="41" t="n"/>
      <c r="G687" s="41" t="n"/>
    </row>
    <row r="688" ht="15.75" customHeight="1" s="60">
      <c r="A688" s="41" t="n"/>
      <c r="B688" s="41" t="n"/>
      <c r="C688" s="41" t="n"/>
      <c r="D688" s="41" t="n"/>
      <c r="E688" s="41" t="n"/>
      <c r="F688" s="41" t="n"/>
      <c r="G688" s="41" t="n"/>
    </row>
    <row r="689" ht="15.75" customHeight="1" s="60">
      <c r="A689" s="41" t="n"/>
      <c r="B689" s="41" t="n"/>
      <c r="C689" s="41" t="n"/>
      <c r="D689" s="41" t="n"/>
      <c r="E689" s="41" t="n"/>
      <c r="F689" s="41" t="n"/>
      <c r="G689" s="41" t="n"/>
    </row>
    <row r="690" ht="15.75" customHeight="1" s="60">
      <c r="A690" s="41" t="n"/>
      <c r="B690" s="41" t="n"/>
      <c r="C690" s="41" t="n"/>
      <c r="D690" s="41" t="n"/>
      <c r="E690" s="41" t="n"/>
      <c r="F690" s="41" t="n"/>
      <c r="G690" s="41" t="n"/>
    </row>
    <row r="691" ht="15.75" customHeight="1" s="60">
      <c r="A691" s="41" t="n"/>
      <c r="B691" s="41" t="n"/>
      <c r="C691" s="41" t="n"/>
      <c r="D691" s="41" t="n"/>
      <c r="E691" s="41" t="n"/>
      <c r="F691" s="41" t="n"/>
      <c r="G691" s="41" t="n"/>
    </row>
    <row r="692" ht="15.75" customHeight="1" s="60">
      <c r="A692" s="41" t="n"/>
      <c r="B692" s="41" t="n"/>
      <c r="C692" s="41" t="n"/>
      <c r="D692" s="41" t="n"/>
      <c r="E692" s="41" t="n"/>
      <c r="F692" s="41" t="n"/>
      <c r="G692" s="41" t="n"/>
    </row>
    <row r="693" ht="15.75" customHeight="1" s="60">
      <c r="A693" s="41" t="n"/>
      <c r="B693" s="41" t="n"/>
      <c r="C693" s="41" t="n"/>
      <c r="D693" s="41" t="n"/>
      <c r="E693" s="41" t="n"/>
      <c r="F693" s="41" t="n"/>
      <c r="G693" s="41" t="n"/>
    </row>
    <row r="694" ht="15.75" customHeight="1" s="60">
      <c r="A694" s="41" t="n"/>
      <c r="B694" s="41" t="n"/>
      <c r="C694" s="41" t="n"/>
      <c r="D694" s="41" t="n"/>
      <c r="E694" s="41" t="n"/>
      <c r="F694" s="41" t="n"/>
      <c r="G694" s="41" t="n"/>
    </row>
    <row r="695" ht="15.75" customHeight="1" s="60">
      <c r="A695" s="41" t="n"/>
      <c r="B695" s="41" t="n"/>
      <c r="C695" s="41" t="n"/>
      <c r="D695" s="41" t="n"/>
      <c r="E695" s="41" t="n"/>
      <c r="F695" s="41" t="n"/>
      <c r="G695" s="41" t="n"/>
    </row>
    <row r="696" ht="15.75" customHeight="1" s="60">
      <c r="A696" s="41" t="n"/>
      <c r="B696" s="41" t="n"/>
      <c r="C696" s="41" t="n"/>
      <c r="D696" s="41" t="n"/>
      <c r="E696" s="41" t="n"/>
      <c r="F696" s="41" t="n"/>
      <c r="G696" s="41" t="n"/>
    </row>
    <row r="697" ht="15.75" customHeight="1" s="60">
      <c r="A697" s="41" t="n"/>
      <c r="B697" s="41" t="n"/>
      <c r="C697" s="41" t="n"/>
      <c r="D697" s="41" t="n"/>
      <c r="E697" s="41" t="n"/>
      <c r="F697" s="41" t="n"/>
      <c r="G697" s="41" t="n"/>
    </row>
    <row r="698" ht="15.75" customHeight="1" s="60">
      <c r="A698" s="41" t="n"/>
      <c r="B698" s="41" t="n"/>
      <c r="C698" s="41" t="n"/>
      <c r="D698" s="41" t="n"/>
      <c r="E698" s="41" t="n"/>
      <c r="F698" s="41" t="n"/>
      <c r="G698" s="41" t="n"/>
    </row>
    <row r="699" ht="15.75" customHeight="1" s="60">
      <c r="A699" s="41" t="n"/>
      <c r="B699" s="41" t="n"/>
      <c r="C699" s="41" t="n"/>
      <c r="D699" s="41" t="n"/>
      <c r="E699" s="41" t="n"/>
      <c r="F699" s="41" t="n"/>
      <c r="G699" s="41" t="n"/>
    </row>
    <row r="700" ht="15.75" customHeight="1" s="60">
      <c r="A700" s="41" t="n"/>
      <c r="B700" s="41" t="n"/>
      <c r="C700" s="41" t="n"/>
      <c r="D700" s="41" t="n"/>
      <c r="E700" s="41" t="n"/>
      <c r="F700" s="41" t="n"/>
      <c r="G700" s="41" t="n"/>
    </row>
    <row r="701" ht="15.75" customHeight="1" s="60">
      <c r="A701" s="41" t="n"/>
      <c r="B701" s="41" t="n"/>
      <c r="C701" s="41" t="n"/>
      <c r="D701" s="41" t="n"/>
      <c r="E701" s="41" t="n"/>
      <c r="F701" s="41" t="n"/>
      <c r="G701" s="41" t="n"/>
    </row>
    <row r="702" ht="15.75" customHeight="1" s="60">
      <c r="A702" s="41" t="n"/>
      <c r="B702" s="41" t="n"/>
      <c r="C702" s="41" t="n"/>
      <c r="D702" s="41" t="n"/>
      <c r="E702" s="41" t="n"/>
      <c r="F702" s="41" t="n"/>
      <c r="G702" s="41" t="n"/>
    </row>
    <row r="703" ht="15.75" customHeight="1" s="60">
      <c r="A703" s="41" t="n"/>
      <c r="B703" s="41" t="n"/>
      <c r="C703" s="41" t="n"/>
      <c r="D703" s="41" t="n"/>
      <c r="E703" s="41" t="n"/>
      <c r="F703" s="41" t="n"/>
      <c r="G703" s="41" t="n"/>
    </row>
    <row r="704" ht="15.75" customHeight="1" s="60">
      <c r="A704" s="41" t="n"/>
      <c r="B704" s="41" t="n"/>
      <c r="C704" s="41" t="n"/>
      <c r="D704" s="41" t="n"/>
      <c r="E704" s="41" t="n"/>
      <c r="F704" s="41" t="n"/>
      <c r="G704" s="41" t="n"/>
    </row>
    <row r="705" ht="15.75" customHeight="1" s="60">
      <c r="A705" s="41" t="n"/>
      <c r="B705" s="41" t="n"/>
      <c r="C705" s="41" t="n"/>
      <c r="D705" s="41" t="n"/>
      <c r="E705" s="41" t="n"/>
      <c r="F705" s="41" t="n"/>
      <c r="G705" s="41" t="n"/>
    </row>
    <row r="706" ht="15.75" customHeight="1" s="60">
      <c r="A706" s="41" t="n"/>
      <c r="B706" s="41" t="n"/>
      <c r="C706" s="41" t="n"/>
      <c r="D706" s="41" t="n"/>
      <c r="E706" s="41" t="n"/>
      <c r="F706" s="41" t="n"/>
      <c r="G706" s="41" t="n"/>
    </row>
    <row r="707" ht="15.75" customHeight="1" s="60">
      <c r="A707" s="41" t="n"/>
      <c r="B707" s="41" t="n"/>
      <c r="C707" s="41" t="n"/>
      <c r="D707" s="41" t="n"/>
      <c r="E707" s="41" t="n"/>
      <c r="F707" s="41" t="n"/>
      <c r="G707" s="41" t="n"/>
    </row>
    <row r="708" ht="15.75" customHeight="1" s="60">
      <c r="A708" s="41" t="n"/>
      <c r="B708" s="41" t="n"/>
      <c r="C708" s="41" t="n"/>
      <c r="D708" s="41" t="n"/>
      <c r="E708" s="41" t="n"/>
      <c r="F708" s="41" t="n"/>
      <c r="G708" s="41" t="n"/>
    </row>
    <row r="709" ht="15.75" customHeight="1" s="60">
      <c r="A709" s="41" t="n"/>
      <c r="B709" s="41" t="n"/>
      <c r="C709" s="41" t="n"/>
      <c r="D709" s="41" t="n"/>
      <c r="E709" s="41" t="n"/>
      <c r="F709" s="41" t="n"/>
      <c r="G709" s="41" t="n"/>
    </row>
    <row r="710" ht="15.75" customHeight="1" s="60">
      <c r="A710" s="41" t="n"/>
      <c r="B710" s="41" t="n"/>
      <c r="C710" s="41" t="n"/>
      <c r="D710" s="41" t="n"/>
      <c r="E710" s="41" t="n"/>
      <c r="F710" s="41" t="n"/>
      <c r="G710" s="41" t="n"/>
    </row>
    <row r="711" ht="15.75" customHeight="1" s="60">
      <c r="A711" s="41" t="n"/>
      <c r="B711" s="41" t="n"/>
      <c r="C711" s="41" t="n"/>
      <c r="D711" s="41" t="n"/>
      <c r="E711" s="41" t="n"/>
      <c r="F711" s="41" t="n"/>
      <c r="G711" s="41" t="n"/>
    </row>
    <row r="712" ht="15.75" customHeight="1" s="60">
      <c r="A712" s="41" t="n"/>
      <c r="B712" s="41" t="n"/>
      <c r="C712" s="41" t="n"/>
      <c r="D712" s="41" t="n"/>
      <c r="E712" s="41" t="n"/>
      <c r="F712" s="41" t="n"/>
      <c r="G712" s="41" t="n"/>
    </row>
    <row r="713" ht="15.75" customHeight="1" s="60">
      <c r="A713" s="41" t="n"/>
      <c r="B713" s="41" t="n"/>
      <c r="C713" s="41" t="n"/>
      <c r="D713" s="41" t="n"/>
      <c r="E713" s="41" t="n"/>
      <c r="F713" s="41" t="n"/>
      <c r="G713" s="41" t="n"/>
    </row>
    <row r="714" ht="15.75" customHeight="1" s="60">
      <c r="A714" s="41" t="n"/>
      <c r="B714" s="41" t="n"/>
      <c r="C714" s="41" t="n"/>
      <c r="D714" s="41" t="n"/>
      <c r="E714" s="41" t="n"/>
      <c r="F714" s="41" t="n"/>
      <c r="G714" s="41" t="n"/>
    </row>
    <row r="715" ht="15.75" customHeight="1" s="60">
      <c r="A715" s="41" t="n"/>
      <c r="B715" s="41" t="n"/>
      <c r="C715" s="41" t="n"/>
      <c r="D715" s="41" t="n"/>
      <c r="E715" s="41" t="n"/>
      <c r="F715" s="41" t="n"/>
      <c r="G715" s="41" t="n"/>
    </row>
    <row r="716" ht="15.75" customHeight="1" s="60">
      <c r="A716" s="41" t="n"/>
      <c r="B716" s="41" t="n"/>
      <c r="C716" s="41" t="n"/>
      <c r="D716" s="41" t="n"/>
      <c r="E716" s="41" t="n"/>
      <c r="F716" s="41" t="n"/>
      <c r="G716" s="41" t="n"/>
    </row>
    <row r="717" ht="15.75" customHeight="1" s="60">
      <c r="A717" s="41" t="n"/>
      <c r="B717" s="41" t="n"/>
      <c r="C717" s="41" t="n"/>
      <c r="D717" s="41" t="n"/>
      <c r="E717" s="41" t="n"/>
      <c r="F717" s="41" t="n"/>
      <c r="G717" s="41" t="n"/>
    </row>
    <row r="718" ht="15.75" customHeight="1" s="60">
      <c r="A718" s="41" t="n"/>
      <c r="B718" s="41" t="n"/>
      <c r="C718" s="41" t="n"/>
      <c r="D718" s="41" t="n"/>
      <c r="E718" s="41" t="n"/>
      <c r="F718" s="41" t="n"/>
      <c r="G718" s="41" t="n"/>
    </row>
    <row r="719" ht="15.75" customHeight="1" s="60">
      <c r="A719" s="41" t="n"/>
      <c r="B719" s="41" t="n"/>
      <c r="C719" s="41" t="n"/>
      <c r="D719" s="41" t="n"/>
      <c r="E719" s="41" t="n"/>
      <c r="F719" s="41" t="n"/>
      <c r="G719" s="41" t="n"/>
    </row>
    <row r="720" ht="15.75" customHeight="1" s="60">
      <c r="A720" s="41" t="n"/>
      <c r="B720" s="41" t="n"/>
      <c r="C720" s="41" t="n"/>
      <c r="D720" s="41" t="n"/>
      <c r="E720" s="41" t="n"/>
      <c r="F720" s="41" t="n"/>
      <c r="G720" s="41" t="n"/>
    </row>
    <row r="721" ht="15.75" customHeight="1" s="60">
      <c r="A721" s="41" t="n"/>
      <c r="B721" s="41" t="n"/>
      <c r="C721" s="41" t="n"/>
      <c r="D721" s="41" t="n"/>
      <c r="E721" s="41" t="n"/>
      <c r="F721" s="41" t="n"/>
      <c r="G721" s="41" t="n"/>
    </row>
    <row r="722" ht="15.75" customHeight="1" s="60">
      <c r="A722" s="41" t="n"/>
      <c r="B722" s="41" t="n"/>
      <c r="C722" s="41" t="n"/>
      <c r="D722" s="41" t="n"/>
      <c r="E722" s="41" t="n"/>
      <c r="F722" s="41" t="n"/>
      <c r="G722" s="41" t="n"/>
    </row>
    <row r="723" ht="15.75" customHeight="1" s="60">
      <c r="A723" s="41" t="n"/>
      <c r="B723" s="41" t="n"/>
      <c r="C723" s="41" t="n"/>
      <c r="D723" s="41" t="n"/>
      <c r="E723" s="41" t="n"/>
      <c r="F723" s="41" t="n"/>
      <c r="G723" s="41" t="n"/>
    </row>
    <row r="724" ht="15.75" customHeight="1" s="60">
      <c r="A724" s="41" t="n"/>
      <c r="B724" s="41" t="n"/>
      <c r="C724" s="41" t="n"/>
      <c r="D724" s="41" t="n"/>
      <c r="E724" s="41" t="n"/>
      <c r="F724" s="41" t="n"/>
      <c r="G724" s="41" t="n"/>
    </row>
    <row r="725" ht="15.75" customHeight="1" s="60">
      <c r="A725" s="41" t="n"/>
      <c r="B725" s="41" t="n"/>
      <c r="C725" s="41" t="n"/>
      <c r="D725" s="41" t="n"/>
      <c r="E725" s="41" t="n"/>
      <c r="F725" s="41" t="n"/>
      <c r="G725" s="41" t="n"/>
    </row>
    <row r="726" ht="15.75" customHeight="1" s="60">
      <c r="A726" s="41" t="n"/>
      <c r="B726" s="41" t="n"/>
      <c r="C726" s="41" t="n"/>
      <c r="D726" s="41" t="n"/>
      <c r="E726" s="41" t="n"/>
      <c r="F726" s="41" t="n"/>
      <c r="G726" s="41" t="n"/>
    </row>
    <row r="727" ht="15.75" customHeight="1" s="60">
      <c r="A727" s="41" t="n"/>
      <c r="B727" s="41" t="n"/>
      <c r="C727" s="41" t="n"/>
      <c r="D727" s="41" t="n"/>
      <c r="E727" s="41" t="n"/>
      <c r="F727" s="41" t="n"/>
      <c r="G727" s="41" t="n"/>
    </row>
    <row r="728" ht="15.75" customHeight="1" s="60">
      <c r="A728" s="41" t="n"/>
      <c r="B728" s="41" t="n"/>
      <c r="C728" s="41" t="n"/>
      <c r="D728" s="41" t="n"/>
      <c r="E728" s="41" t="n"/>
      <c r="F728" s="41" t="n"/>
      <c r="G728" s="41" t="n"/>
    </row>
    <row r="729" ht="15.75" customHeight="1" s="60">
      <c r="A729" s="41" t="n"/>
      <c r="B729" s="41" t="n"/>
      <c r="C729" s="41" t="n"/>
      <c r="D729" s="41" t="n"/>
      <c r="E729" s="41" t="n"/>
      <c r="F729" s="41" t="n"/>
      <c r="G729" s="41" t="n"/>
    </row>
    <row r="730" ht="15.75" customHeight="1" s="60">
      <c r="A730" s="41" t="n"/>
      <c r="B730" s="41" t="n"/>
      <c r="C730" s="41" t="n"/>
      <c r="D730" s="41" t="n"/>
      <c r="E730" s="41" t="n"/>
      <c r="F730" s="41" t="n"/>
      <c r="G730" s="41" t="n"/>
    </row>
    <row r="731" ht="15.75" customHeight="1" s="60">
      <c r="A731" s="41" t="n"/>
      <c r="B731" s="41" t="n"/>
      <c r="C731" s="41" t="n"/>
      <c r="D731" s="41" t="n"/>
      <c r="E731" s="41" t="n"/>
      <c r="F731" s="41" t="n"/>
      <c r="G731" s="41" t="n"/>
    </row>
    <row r="732" ht="15.75" customHeight="1" s="60">
      <c r="A732" s="41" t="n"/>
      <c r="B732" s="41" t="n"/>
      <c r="C732" s="41" t="n"/>
      <c r="D732" s="41" t="n"/>
      <c r="E732" s="41" t="n"/>
      <c r="F732" s="41" t="n"/>
      <c r="G732" s="41" t="n"/>
    </row>
    <row r="733" ht="15.75" customHeight="1" s="60">
      <c r="A733" s="41" t="n"/>
      <c r="B733" s="41" t="n"/>
      <c r="C733" s="41" t="n"/>
      <c r="D733" s="41" t="n"/>
      <c r="E733" s="41" t="n"/>
      <c r="F733" s="41" t="n"/>
      <c r="G733" s="41" t="n"/>
    </row>
    <row r="734" ht="15.75" customHeight="1" s="60">
      <c r="A734" s="41" t="n"/>
      <c r="B734" s="41" t="n"/>
      <c r="C734" s="41" t="n"/>
      <c r="D734" s="41" t="n"/>
      <c r="E734" s="41" t="n"/>
      <c r="F734" s="41" t="n"/>
      <c r="G734" s="41" t="n"/>
    </row>
    <row r="735" ht="15.75" customHeight="1" s="60">
      <c r="A735" s="41" t="n"/>
      <c r="B735" s="41" t="n"/>
      <c r="C735" s="41" t="n"/>
      <c r="D735" s="41" t="n"/>
      <c r="E735" s="41" t="n"/>
      <c r="F735" s="41" t="n"/>
      <c r="G735" s="41" t="n"/>
    </row>
    <row r="736" ht="15.75" customHeight="1" s="60">
      <c r="A736" s="41" t="n"/>
      <c r="B736" s="41" t="n"/>
      <c r="C736" s="41" t="n"/>
      <c r="D736" s="41" t="n"/>
      <c r="E736" s="41" t="n"/>
      <c r="F736" s="41" t="n"/>
      <c r="G736" s="41" t="n"/>
    </row>
    <row r="737" ht="15.75" customHeight="1" s="60">
      <c r="A737" s="41" t="n"/>
      <c r="B737" s="41" t="n"/>
      <c r="C737" s="41" t="n"/>
      <c r="D737" s="41" t="n"/>
      <c r="E737" s="41" t="n"/>
      <c r="F737" s="41" t="n"/>
      <c r="G737" s="41" t="n"/>
    </row>
    <row r="738" ht="15.75" customHeight="1" s="60">
      <c r="A738" s="41" t="n"/>
      <c r="B738" s="41" t="n"/>
      <c r="C738" s="41" t="n"/>
      <c r="D738" s="41" t="n"/>
      <c r="E738" s="41" t="n"/>
      <c r="F738" s="41" t="n"/>
      <c r="G738" s="41" t="n"/>
    </row>
    <row r="739" ht="15.75" customHeight="1" s="60">
      <c r="A739" s="41" t="n"/>
      <c r="B739" s="41" t="n"/>
      <c r="C739" s="41" t="n"/>
      <c r="D739" s="41" t="n"/>
      <c r="E739" s="41" t="n"/>
      <c r="F739" s="41" t="n"/>
      <c r="G739" s="41" t="n"/>
    </row>
    <row r="740" ht="15.75" customHeight="1" s="60">
      <c r="A740" s="41" t="n"/>
      <c r="B740" s="41" t="n"/>
      <c r="C740" s="41" t="n"/>
      <c r="D740" s="41" t="n"/>
      <c r="E740" s="41" t="n"/>
      <c r="F740" s="41" t="n"/>
      <c r="G740" s="41" t="n"/>
    </row>
    <row r="741" ht="15.75" customHeight="1" s="60">
      <c r="A741" s="41" t="n"/>
      <c r="B741" s="41" t="n"/>
      <c r="C741" s="41" t="n"/>
      <c r="D741" s="41" t="n"/>
      <c r="E741" s="41" t="n"/>
      <c r="F741" s="41" t="n"/>
      <c r="G741" s="41" t="n"/>
    </row>
    <row r="742" ht="15.75" customHeight="1" s="60">
      <c r="A742" s="41" t="n"/>
      <c r="B742" s="41" t="n"/>
      <c r="C742" s="41" t="n"/>
      <c r="D742" s="41" t="n"/>
      <c r="E742" s="41" t="n"/>
      <c r="F742" s="41" t="n"/>
      <c r="G742" s="41" t="n"/>
    </row>
    <row r="743" ht="15.75" customHeight="1" s="60">
      <c r="A743" s="41" t="n"/>
      <c r="B743" s="41" t="n"/>
      <c r="C743" s="41" t="n"/>
      <c r="D743" s="41" t="n"/>
      <c r="E743" s="41" t="n"/>
      <c r="F743" s="41" t="n"/>
      <c r="G743" s="41" t="n"/>
    </row>
    <row r="744" ht="15.75" customHeight="1" s="60">
      <c r="A744" s="41" t="n"/>
      <c r="B744" s="41" t="n"/>
      <c r="C744" s="41" t="n"/>
      <c r="D744" s="41" t="n"/>
      <c r="E744" s="41" t="n"/>
      <c r="F744" s="41" t="n"/>
      <c r="G744" s="41" t="n"/>
    </row>
    <row r="745" ht="15.75" customHeight="1" s="60">
      <c r="A745" s="41" t="n"/>
      <c r="B745" s="41" t="n"/>
      <c r="C745" s="41" t="n"/>
      <c r="D745" s="41" t="n"/>
      <c r="E745" s="41" t="n"/>
      <c r="F745" s="41" t="n"/>
      <c r="G745" s="41" t="n"/>
    </row>
    <row r="746" ht="15.75" customHeight="1" s="60">
      <c r="A746" s="41" t="n"/>
      <c r="B746" s="41" t="n"/>
      <c r="C746" s="41" t="n"/>
      <c r="D746" s="41" t="n"/>
      <c r="E746" s="41" t="n"/>
      <c r="F746" s="41" t="n"/>
      <c r="G746" s="41" t="n"/>
    </row>
    <row r="747" ht="15.75" customHeight="1" s="60">
      <c r="A747" s="41" t="n"/>
      <c r="B747" s="41" t="n"/>
      <c r="C747" s="41" t="n"/>
      <c r="D747" s="41" t="n"/>
      <c r="E747" s="41" t="n"/>
      <c r="F747" s="41" t="n"/>
      <c r="G747" s="41" t="n"/>
    </row>
    <row r="748" ht="15.75" customHeight="1" s="60">
      <c r="A748" s="41" t="n"/>
      <c r="B748" s="41" t="n"/>
      <c r="C748" s="41" t="n"/>
      <c r="D748" s="41" t="n"/>
      <c r="E748" s="41" t="n"/>
      <c r="F748" s="41" t="n"/>
      <c r="G748" s="41" t="n"/>
    </row>
    <row r="749" ht="15.75" customHeight="1" s="60">
      <c r="A749" s="41" t="n"/>
      <c r="B749" s="41" t="n"/>
      <c r="C749" s="41" t="n"/>
      <c r="D749" s="41" t="n"/>
      <c r="E749" s="41" t="n"/>
      <c r="F749" s="41" t="n"/>
      <c r="G749" s="41" t="n"/>
    </row>
    <row r="750" ht="15.75" customHeight="1" s="60">
      <c r="A750" s="41" t="n"/>
      <c r="B750" s="41" t="n"/>
      <c r="C750" s="41" t="n"/>
      <c r="D750" s="41" t="n"/>
      <c r="E750" s="41" t="n"/>
      <c r="F750" s="41" t="n"/>
      <c r="G750" s="41" t="n"/>
    </row>
    <row r="751" ht="15.75" customHeight="1" s="60">
      <c r="A751" s="41" t="n"/>
      <c r="B751" s="41" t="n"/>
      <c r="C751" s="41" t="n"/>
      <c r="D751" s="41" t="n"/>
      <c r="E751" s="41" t="n"/>
      <c r="F751" s="41" t="n"/>
      <c r="G751" s="41" t="n"/>
    </row>
    <row r="752" ht="15.75" customHeight="1" s="60">
      <c r="A752" s="41" t="n"/>
      <c r="B752" s="41" t="n"/>
      <c r="C752" s="41" t="n"/>
      <c r="D752" s="41" t="n"/>
      <c r="E752" s="41" t="n"/>
      <c r="F752" s="41" t="n"/>
      <c r="G752" s="41" t="n"/>
    </row>
    <row r="753" ht="15.75" customHeight="1" s="60">
      <c r="A753" s="41" t="n"/>
      <c r="B753" s="41" t="n"/>
      <c r="C753" s="41" t="n"/>
      <c r="D753" s="41" t="n"/>
      <c r="E753" s="41" t="n"/>
      <c r="F753" s="41" t="n"/>
      <c r="G753" s="41" t="n"/>
    </row>
    <row r="754" ht="15.75" customHeight="1" s="60">
      <c r="A754" s="41" t="n"/>
      <c r="B754" s="41" t="n"/>
      <c r="C754" s="41" t="n"/>
      <c r="D754" s="41" t="n"/>
      <c r="E754" s="41" t="n"/>
      <c r="F754" s="41" t="n"/>
      <c r="G754" s="41" t="n"/>
    </row>
    <row r="755" ht="15.75" customHeight="1" s="60">
      <c r="A755" s="41" t="n"/>
      <c r="B755" s="41" t="n"/>
      <c r="C755" s="41" t="n"/>
      <c r="D755" s="41" t="n"/>
      <c r="E755" s="41" t="n"/>
      <c r="F755" s="41" t="n"/>
      <c r="G755" s="41" t="n"/>
    </row>
    <row r="756" ht="15.75" customHeight="1" s="60">
      <c r="A756" s="41" t="n"/>
      <c r="B756" s="41" t="n"/>
      <c r="C756" s="41" t="n"/>
      <c r="D756" s="41" t="n"/>
      <c r="E756" s="41" t="n"/>
      <c r="F756" s="41" t="n"/>
      <c r="G756" s="41" t="n"/>
    </row>
    <row r="757" ht="15.75" customHeight="1" s="60">
      <c r="A757" s="41" t="n"/>
      <c r="B757" s="41" t="n"/>
      <c r="C757" s="41" t="n"/>
      <c r="D757" s="41" t="n"/>
      <c r="E757" s="41" t="n"/>
      <c r="F757" s="41" t="n"/>
      <c r="G757" s="41" t="n"/>
    </row>
    <row r="758" ht="15.75" customHeight="1" s="60">
      <c r="A758" s="41" t="n"/>
      <c r="B758" s="41" t="n"/>
      <c r="C758" s="41" t="n"/>
      <c r="D758" s="41" t="n"/>
      <c r="E758" s="41" t="n"/>
      <c r="F758" s="41" t="n"/>
      <c r="G758" s="41" t="n"/>
    </row>
    <row r="759" ht="15.75" customHeight="1" s="60">
      <c r="A759" s="41" t="n"/>
      <c r="B759" s="41" t="n"/>
      <c r="C759" s="41" t="n"/>
      <c r="D759" s="41" t="n"/>
      <c r="E759" s="41" t="n"/>
      <c r="F759" s="41" t="n"/>
      <c r="G759" s="41" t="n"/>
    </row>
    <row r="760" ht="15.75" customHeight="1" s="60">
      <c r="A760" s="41" t="n"/>
      <c r="B760" s="41" t="n"/>
      <c r="C760" s="41" t="n"/>
      <c r="D760" s="41" t="n"/>
      <c r="E760" s="41" t="n"/>
      <c r="F760" s="41" t="n"/>
      <c r="G760" s="41" t="n"/>
    </row>
    <row r="761" ht="15.75" customHeight="1" s="60">
      <c r="A761" s="41" t="n"/>
      <c r="B761" s="41" t="n"/>
      <c r="C761" s="41" t="n"/>
      <c r="D761" s="41" t="n"/>
      <c r="E761" s="41" t="n"/>
      <c r="F761" s="41" t="n"/>
      <c r="G761" s="41" t="n"/>
    </row>
    <row r="762" ht="15.75" customHeight="1" s="60">
      <c r="A762" s="41" t="n"/>
      <c r="B762" s="41" t="n"/>
      <c r="C762" s="41" t="n"/>
      <c r="D762" s="41" t="n"/>
      <c r="E762" s="41" t="n"/>
      <c r="F762" s="41" t="n"/>
      <c r="G762" s="41" t="n"/>
    </row>
    <row r="763" ht="15.75" customHeight="1" s="60">
      <c r="A763" s="41" t="n"/>
      <c r="B763" s="41" t="n"/>
      <c r="C763" s="41" t="n"/>
      <c r="D763" s="41" t="n"/>
      <c r="E763" s="41" t="n"/>
      <c r="F763" s="41" t="n"/>
      <c r="G763" s="41" t="n"/>
    </row>
    <row r="764" ht="15.75" customHeight="1" s="60">
      <c r="A764" s="41" t="n"/>
      <c r="B764" s="41" t="n"/>
      <c r="C764" s="41" t="n"/>
      <c r="D764" s="41" t="n"/>
      <c r="E764" s="41" t="n"/>
      <c r="F764" s="41" t="n"/>
      <c r="G764" s="41" t="n"/>
    </row>
    <row r="765" ht="15.75" customHeight="1" s="60">
      <c r="A765" s="41" t="n"/>
      <c r="B765" s="41" t="n"/>
      <c r="C765" s="41" t="n"/>
      <c r="D765" s="41" t="n"/>
      <c r="E765" s="41" t="n"/>
      <c r="F765" s="41" t="n"/>
      <c r="G765" s="41" t="n"/>
    </row>
    <row r="766" ht="15.75" customHeight="1" s="60">
      <c r="A766" s="41" t="n"/>
      <c r="B766" s="41" t="n"/>
      <c r="C766" s="41" t="n"/>
      <c r="D766" s="41" t="n"/>
      <c r="E766" s="41" t="n"/>
      <c r="F766" s="41" t="n"/>
      <c r="G766" s="41" t="n"/>
    </row>
    <row r="767" ht="15.75" customHeight="1" s="60">
      <c r="A767" s="41" t="n"/>
      <c r="B767" s="41" t="n"/>
      <c r="C767" s="41" t="n"/>
      <c r="D767" s="41" t="n"/>
      <c r="E767" s="41" t="n"/>
      <c r="F767" s="41" t="n"/>
      <c r="G767" s="41" t="n"/>
    </row>
    <row r="768" ht="15.75" customHeight="1" s="60">
      <c r="A768" s="41" t="n"/>
      <c r="B768" s="41" t="n"/>
      <c r="C768" s="41" t="n"/>
      <c r="D768" s="41" t="n"/>
      <c r="E768" s="41" t="n"/>
      <c r="F768" s="41" t="n"/>
      <c r="G768" s="41" t="n"/>
    </row>
    <row r="769" ht="15.75" customHeight="1" s="60">
      <c r="A769" s="41" t="n"/>
      <c r="B769" s="41" t="n"/>
      <c r="C769" s="41" t="n"/>
      <c r="D769" s="41" t="n"/>
      <c r="E769" s="41" t="n"/>
      <c r="F769" s="41" t="n"/>
      <c r="G769" s="41" t="n"/>
    </row>
    <row r="770" ht="15.75" customHeight="1" s="60">
      <c r="A770" s="41" t="n"/>
      <c r="B770" s="41" t="n"/>
      <c r="C770" s="41" t="n"/>
      <c r="D770" s="41" t="n"/>
      <c r="E770" s="41" t="n"/>
      <c r="F770" s="41" t="n"/>
      <c r="G770" s="41" t="n"/>
    </row>
    <row r="771" ht="15.75" customHeight="1" s="60">
      <c r="A771" s="41" t="n"/>
      <c r="B771" s="41" t="n"/>
      <c r="C771" s="41" t="n"/>
      <c r="D771" s="41" t="n"/>
      <c r="E771" s="41" t="n"/>
      <c r="F771" s="41" t="n"/>
      <c r="G771" s="41" t="n"/>
    </row>
    <row r="772" ht="15.75" customHeight="1" s="60">
      <c r="A772" s="41" t="n"/>
      <c r="B772" s="41" t="n"/>
      <c r="C772" s="41" t="n"/>
      <c r="D772" s="41" t="n"/>
      <c r="E772" s="41" t="n"/>
      <c r="F772" s="41" t="n"/>
      <c r="G772" s="41" t="n"/>
    </row>
    <row r="773" ht="15.75" customHeight="1" s="60">
      <c r="A773" s="41" t="n"/>
      <c r="B773" s="41" t="n"/>
      <c r="C773" s="41" t="n"/>
      <c r="D773" s="41" t="n"/>
      <c r="E773" s="41" t="n"/>
      <c r="F773" s="41" t="n"/>
      <c r="G773" s="41" t="n"/>
    </row>
    <row r="774" ht="15.75" customHeight="1" s="60">
      <c r="A774" s="41" t="n"/>
      <c r="B774" s="41" t="n"/>
      <c r="C774" s="41" t="n"/>
      <c r="D774" s="41" t="n"/>
      <c r="E774" s="41" t="n"/>
      <c r="F774" s="41" t="n"/>
      <c r="G774" s="41" t="n"/>
    </row>
    <row r="775" ht="15.75" customHeight="1" s="60">
      <c r="A775" s="41" t="n"/>
      <c r="B775" s="41" t="n"/>
      <c r="C775" s="41" t="n"/>
      <c r="D775" s="41" t="n"/>
      <c r="E775" s="41" t="n"/>
      <c r="F775" s="41" t="n"/>
      <c r="G775" s="41" t="n"/>
    </row>
    <row r="776" ht="15.75" customHeight="1" s="60">
      <c r="A776" s="41" t="n"/>
      <c r="B776" s="41" t="n"/>
      <c r="C776" s="41" t="n"/>
      <c r="D776" s="41" t="n"/>
      <c r="E776" s="41" t="n"/>
      <c r="F776" s="41" t="n"/>
      <c r="G776" s="41" t="n"/>
    </row>
    <row r="777" ht="15.75" customHeight="1" s="60">
      <c r="A777" s="41" t="n"/>
      <c r="B777" s="41" t="n"/>
      <c r="C777" s="41" t="n"/>
      <c r="D777" s="41" t="n"/>
      <c r="E777" s="41" t="n"/>
      <c r="F777" s="41" t="n"/>
      <c r="G777" s="41" t="n"/>
    </row>
    <row r="778" ht="15.75" customHeight="1" s="60">
      <c r="A778" s="41" t="n"/>
      <c r="B778" s="41" t="n"/>
      <c r="C778" s="41" t="n"/>
      <c r="D778" s="41" t="n"/>
      <c r="E778" s="41" t="n"/>
      <c r="F778" s="41" t="n"/>
      <c r="G778" s="41" t="n"/>
    </row>
    <row r="779" ht="15.75" customHeight="1" s="60">
      <c r="A779" s="41" t="n"/>
      <c r="B779" s="41" t="n"/>
      <c r="C779" s="41" t="n"/>
      <c r="D779" s="41" t="n"/>
      <c r="E779" s="41" t="n"/>
      <c r="F779" s="41" t="n"/>
      <c r="G779" s="41" t="n"/>
    </row>
    <row r="780" ht="15.75" customHeight="1" s="60">
      <c r="A780" s="41" t="n"/>
      <c r="B780" s="41" t="n"/>
      <c r="C780" s="41" t="n"/>
      <c r="D780" s="41" t="n"/>
      <c r="E780" s="41" t="n"/>
      <c r="F780" s="41" t="n"/>
      <c r="G780" s="41" t="n"/>
    </row>
    <row r="781" ht="15.75" customHeight="1" s="60">
      <c r="A781" s="41" t="n"/>
      <c r="B781" s="41" t="n"/>
      <c r="C781" s="41" t="n"/>
      <c r="D781" s="41" t="n"/>
      <c r="E781" s="41" t="n"/>
      <c r="F781" s="41" t="n"/>
      <c r="G781" s="41" t="n"/>
    </row>
    <row r="782" ht="15.75" customHeight="1" s="60">
      <c r="A782" s="41" t="n"/>
      <c r="B782" s="41" t="n"/>
      <c r="C782" s="41" t="n"/>
      <c r="D782" s="41" t="n"/>
      <c r="E782" s="41" t="n"/>
      <c r="F782" s="41" t="n"/>
      <c r="G782" s="41" t="n"/>
    </row>
    <row r="783" ht="15.75" customHeight="1" s="60">
      <c r="A783" s="41" t="n"/>
      <c r="B783" s="41" t="n"/>
      <c r="C783" s="41" t="n"/>
      <c r="D783" s="41" t="n"/>
      <c r="E783" s="41" t="n"/>
      <c r="F783" s="41" t="n"/>
      <c r="G783" s="41" t="n"/>
    </row>
    <row r="784" ht="15.75" customHeight="1" s="60">
      <c r="A784" s="41" t="n"/>
      <c r="B784" s="41" t="n"/>
      <c r="C784" s="41" t="n"/>
      <c r="D784" s="41" t="n"/>
      <c r="E784" s="41" t="n"/>
      <c r="F784" s="41" t="n"/>
      <c r="G784" s="41" t="n"/>
    </row>
    <row r="785" ht="15.75" customHeight="1" s="60">
      <c r="A785" s="41" t="n"/>
      <c r="B785" s="41" t="n"/>
      <c r="C785" s="41" t="n"/>
      <c r="D785" s="41" t="n"/>
      <c r="E785" s="41" t="n"/>
      <c r="F785" s="41" t="n"/>
      <c r="G785" s="41" t="n"/>
    </row>
    <row r="786" ht="15.75" customHeight="1" s="60">
      <c r="A786" s="41" t="n"/>
      <c r="B786" s="41" t="n"/>
      <c r="C786" s="41" t="n"/>
      <c r="D786" s="41" t="n"/>
      <c r="E786" s="41" t="n"/>
      <c r="F786" s="41" t="n"/>
      <c r="G786" s="41" t="n"/>
    </row>
    <row r="787" ht="15.75" customHeight="1" s="60">
      <c r="A787" s="41" t="n"/>
      <c r="B787" s="41" t="n"/>
      <c r="C787" s="41" t="n"/>
      <c r="D787" s="41" t="n"/>
      <c r="E787" s="41" t="n"/>
      <c r="F787" s="41" t="n"/>
      <c r="G787" s="41" t="n"/>
    </row>
    <row r="788" ht="15.75" customHeight="1" s="60">
      <c r="A788" s="41" t="n"/>
      <c r="B788" s="41" t="n"/>
      <c r="C788" s="41" t="n"/>
      <c r="D788" s="41" t="n"/>
      <c r="E788" s="41" t="n"/>
      <c r="F788" s="41" t="n"/>
      <c r="G788" s="41" t="n"/>
    </row>
    <row r="789" ht="15.75" customHeight="1" s="60">
      <c r="A789" s="41" t="n"/>
      <c r="B789" s="41" t="n"/>
      <c r="C789" s="41" t="n"/>
      <c r="D789" s="41" t="n"/>
      <c r="E789" s="41" t="n"/>
      <c r="F789" s="41" t="n"/>
      <c r="G789" s="41" t="n"/>
    </row>
    <row r="790" ht="15.75" customHeight="1" s="60">
      <c r="A790" s="41" t="n"/>
      <c r="B790" s="41" t="n"/>
      <c r="C790" s="41" t="n"/>
      <c r="D790" s="41" t="n"/>
      <c r="E790" s="41" t="n"/>
      <c r="F790" s="41" t="n"/>
      <c r="G790" s="41" t="n"/>
    </row>
    <row r="791" ht="15.75" customHeight="1" s="60">
      <c r="A791" s="41" t="n"/>
      <c r="B791" s="41" t="n"/>
      <c r="C791" s="41" t="n"/>
      <c r="D791" s="41" t="n"/>
      <c r="E791" s="41" t="n"/>
      <c r="F791" s="41" t="n"/>
      <c r="G791" s="41" t="n"/>
    </row>
    <row r="792" ht="15.75" customHeight="1" s="60">
      <c r="A792" s="41" t="n"/>
      <c r="B792" s="41" t="n"/>
      <c r="C792" s="41" t="n"/>
      <c r="D792" s="41" t="n"/>
      <c r="E792" s="41" t="n"/>
      <c r="F792" s="41" t="n"/>
      <c r="G792" s="41" t="n"/>
    </row>
    <row r="793" ht="15.75" customHeight="1" s="60">
      <c r="A793" s="41" t="n"/>
      <c r="B793" s="41" t="n"/>
      <c r="C793" s="41" t="n"/>
      <c r="D793" s="41" t="n"/>
      <c r="E793" s="41" t="n"/>
      <c r="F793" s="41" t="n"/>
      <c r="G793" s="41" t="n"/>
    </row>
    <row r="794" ht="15.75" customHeight="1" s="60">
      <c r="A794" s="41" t="n"/>
      <c r="B794" s="41" t="n"/>
      <c r="C794" s="41" t="n"/>
      <c r="D794" s="41" t="n"/>
      <c r="E794" s="41" t="n"/>
      <c r="F794" s="41" t="n"/>
      <c r="G794" s="41" t="n"/>
    </row>
    <row r="795" ht="15.75" customHeight="1" s="60">
      <c r="A795" s="41" t="n"/>
      <c r="B795" s="41" t="n"/>
      <c r="C795" s="41" t="n"/>
      <c r="D795" s="41" t="n"/>
      <c r="E795" s="41" t="n"/>
      <c r="F795" s="41" t="n"/>
      <c r="G795" s="41" t="n"/>
    </row>
    <row r="796" ht="15.75" customHeight="1" s="60">
      <c r="A796" s="41" t="n"/>
      <c r="B796" s="41" t="n"/>
      <c r="C796" s="41" t="n"/>
      <c r="D796" s="41" t="n"/>
      <c r="E796" s="41" t="n"/>
      <c r="F796" s="41" t="n"/>
      <c r="G796" s="41" t="n"/>
    </row>
    <row r="797" ht="15.75" customHeight="1" s="60">
      <c r="A797" s="41" t="n"/>
      <c r="B797" s="41" t="n"/>
      <c r="C797" s="41" t="n"/>
      <c r="D797" s="41" t="n"/>
      <c r="E797" s="41" t="n"/>
      <c r="F797" s="41" t="n"/>
      <c r="G797" s="41" t="n"/>
    </row>
    <row r="798" ht="15.75" customHeight="1" s="60">
      <c r="A798" s="41" t="n"/>
      <c r="B798" s="41" t="n"/>
      <c r="C798" s="41" t="n"/>
      <c r="D798" s="41" t="n"/>
      <c r="E798" s="41" t="n"/>
      <c r="F798" s="41" t="n"/>
      <c r="G798" s="41" t="n"/>
    </row>
    <row r="799" ht="15.75" customHeight="1" s="60">
      <c r="A799" s="41" t="n"/>
      <c r="B799" s="41" t="n"/>
      <c r="C799" s="41" t="n"/>
      <c r="D799" s="41" t="n"/>
      <c r="E799" s="41" t="n"/>
      <c r="F799" s="41" t="n"/>
      <c r="G799" s="41" t="n"/>
    </row>
    <row r="800" ht="15.75" customHeight="1" s="60">
      <c r="A800" s="41" t="n"/>
      <c r="B800" s="41" t="n"/>
      <c r="C800" s="41" t="n"/>
      <c r="D800" s="41" t="n"/>
      <c r="E800" s="41" t="n"/>
      <c r="F800" s="41" t="n"/>
      <c r="G800" s="41" t="n"/>
    </row>
    <row r="801" ht="15.75" customHeight="1" s="60">
      <c r="A801" s="41" t="n"/>
      <c r="B801" s="41" t="n"/>
      <c r="C801" s="41" t="n"/>
      <c r="D801" s="41" t="n"/>
      <c r="E801" s="41" t="n"/>
      <c r="F801" s="41" t="n"/>
      <c r="G801" s="41" t="n"/>
    </row>
    <row r="802" ht="15.75" customHeight="1" s="60">
      <c r="A802" s="41" t="n"/>
      <c r="B802" s="41" t="n"/>
      <c r="C802" s="41" t="n"/>
      <c r="D802" s="41" t="n"/>
      <c r="E802" s="41" t="n"/>
      <c r="F802" s="41" t="n"/>
      <c r="G802" s="41" t="n"/>
    </row>
    <row r="803" ht="15.75" customHeight="1" s="60">
      <c r="A803" s="41" t="n"/>
      <c r="B803" s="41" t="n"/>
      <c r="C803" s="41" t="n"/>
      <c r="D803" s="41" t="n"/>
      <c r="E803" s="41" t="n"/>
      <c r="F803" s="41" t="n"/>
      <c r="G803" s="41" t="n"/>
    </row>
    <row r="804" ht="15.75" customHeight="1" s="60">
      <c r="A804" s="41" t="n"/>
      <c r="B804" s="41" t="n"/>
      <c r="C804" s="41" t="n"/>
      <c r="D804" s="41" t="n"/>
      <c r="E804" s="41" t="n"/>
      <c r="F804" s="41" t="n"/>
      <c r="G804" s="41" t="n"/>
    </row>
    <row r="805" ht="15.75" customHeight="1" s="60">
      <c r="A805" s="41" t="n"/>
      <c r="B805" s="41" t="n"/>
      <c r="C805" s="41" t="n"/>
      <c r="D805" s="41" t="n"/>
      <c r="E805" s="41" t="n"/>
      <c r="F805" s="41" t="n"/>
      <c r="G805" s="41" t="n"/>
    </row>
    <row r="806" ht="15.75" customHeight="1" s="60">
      <c r="A806" s="41" t="n"/>
      <c r="B806" s="41" t="n"/>
      <c r="C806" s="41" t="n"/>
      <c r="D806" s="41" t="n"/>
      <c r="E806" s="41" t="n"/>
      <c r="F806" s="41" t="n"/>
      <c r="G806" s="41" t="n"/>
    </row>
    <row r="807" ht="15.75" customHeight="1" s="60">
      <c r="A807" s="41" t="n"/>
      <c r="B807" s="41" t="n"/>
      <c r="C807" s="41" t="n"/>
      <c r="D807" s="41" t="n"/>
      <c r="E807" s="41" t="n"/>
      <c r="F807" s="41" t="n"/>
      <c r="G807" s="41" t="n"/>
    </row>
    <row r="808" ht="15.75" customHeight="1" s="60">
      <c r="A808" s="41" t="n"/>
      <c r="B808" s="41" t="n"/>
      <c r="C808" s="41" t="n"/>
      <c r="D808" s="41" t="n"/>
      <c r="E808" s="41" t="n"/>
      <c r="F808" s="41" t="n"/>
      <c r="G808" s="41" t="n"/>
    </row>
    <row r="809" ht="15.75" customHeight="1" s="60">
      <c r="A809" s="41" t="n"/>
      <c r="B809" s="41" t="n"/>
      <c r="C809" s="41" t="n"/>
      <c r="D809" s="41" t="n"/>
      <c r="E809" s="41" t="n"/>
      <c r="F809" s="41" t="n"/>
      <c r="G809" s="41" t="n"/>
    </row>
    <row r="810" ht="15.75" customHeight="1" s="60">
      <c r="A810" s="41" t="n"/>
      <c r="B810" s="41" t="n"/>
      <c r="C810" s="41" t="n"/>
      <c r="D810" s="41" t="n"/>
      <c r="E810" s="41" t="n"/>
      <c r="F810" s="41" t="n"/>
      <c r="G810" s="41" t="n"/>
    </row>
    <row r="811" ht="15.75" customHeight="1" s="60">
      <c r="A811" s="41" t="n"/>
      <c r="B811" s="41" t="n"/>
      <c r="C811" s="41" t="n"/>
      <c r="D811" s="41" t="n"/>
      <c r="E811" s="41" t="n"/>
      <c r="F811" s="41" t="n"/>
      <c r="G811" s="41" t="n"/>
    </row>
    <row r="812" ht="15.75" customHeight="1" s="60">
      <c r="A812" s="41" t="n"/>
      <c r="B812" s="41" t="n"/>
      <c r="C812" s="41" t="n"/>
      <c r="D812" s="41" t="n"/>
      <c r="E812" s="41" t="n"/>
      <c r="F812" s="41" t="n"/>
      <c r="G812" s="41" t="n"/>
    </row>
    <row r="813" ht="15.75" customHeight="1" s="60">
      <c r="A813" s="41" t="n"/>
      <c r="B813" s="41" t="n"/>
      <c r="C813" s="41" t="n"/>
      <c r="D813" s="41" t="n"/>
      <c r="E813" s="41" t="n"/>
      <c r="F813" s="41" t="n"/>
      <c r="G813" s="41" t="n"/>
    </row>
    <row r="814" ht="15.75" customHeight="1" s="60">
      <c r="A814" s="41" t="n"/>
      <c r="B814" s="41" t="n"/>
      <c r="C814" s="41" t="n"/>
      <c r="D814" s="41" t="n"/>
      <c r="E814" s="41" t="n"/>
      <c r="F814" s="41" t="n"/>
      <c r="G814" s="41" t="n"/>
    </row>
    <row r="815" ht="15.75" customHeight="1" s="60">
      <c r="A815" s="41" t="n"/>
      <c r="B815" s="41" t="n"/>
      <c r="C815" s="41" t="n"/>
      <c r="D815" s="41" t="n"/>
      <c r="E815" s="41" t="n"/>
      <c r="F815" s="41" t="n"/>
      <c r="G815" s="41" t="n"/>
    </row>
    <row r="816" ht="15.75" customHeight="1" s="60">
      <c r="A816" s="41" t="n"/>
      <c r="B816" s="41" t="n"/>
      <c r="C816" s="41" t="n"/>
      <c r="D816" s="41" t="n"/>
      <c r="E816" s="41" t="n"/>
      <c r="F816" s="41" t="n"/>
      <c r="G816" s="41" t="n"/>
    </row>
    <row r="817" ht="15.75" customHeight="1" s="60">
      <c r="A817" s="41" t="n"/>
      <c r="B817" s="41" t="n"/>
      <c r="C817" s="41" t="n"/>
      <c r="D817" s="41" t="n"/>
      <c r="E817" s="41" t="n"/>
      <c r="F817" s="41" t="n"/>
      <c r="G817" s="41" t="n"/>
    </row>
    <row r="818" ht="15.75" customHeight="1" s="60">
      <c r="A818" s="41" t="n"/>
      <c r="B818" s="41" t="n"/>
      <c r="C818" s="41" t="n"/>
      <c r="D818" s="41" t="n"/>
      <c r="E818" s="41" t="n"/>
      <c r="F818" s="41" t="n"/>
      <c r="G818" s="41" t="n"/>
    </row>
    <row r="819" ht="15.75" customHeight="1" s="60">
      <c r="A819" s="41" t="n"/>
      <c r="B819" s="41" t="n"/>
      <c r="C819" s="41" t="n"/>
      <c r="D819" s="41" t="n"/>
      <c r="E819" s="41" t="n"/>
      <c r="F819" s="41" t="n"/>
      <c r="G819" s="41" t="n"/>
    </row>
    <row r="820" ht="15.75" customHeight="1" s="60">
      <c r="A820" s="41" t="n"/>
      <c r="B820" s="41" t="n"/>
      <c r="C820" s="41" t="n"/>
      <c r="D820" s="41" t="n"/>
      <c r="E820" s="41" t="n"/>
      <c r="F820" s="41" t="n"/>
      <c r="G820" s="41" t="n"/>
    </row>
    <row r="821" ht="15.75" customHeight="1" s="60">
      <c r="A821" s="41" t="n"/>
      <c r="B821" s="41" t="n"/>
      <c r="C821" s="41" t="n"/>
      <c r="D821" s="41" t="n"/>
      <c r="E821" s="41" t="n"/>
      <c r="F821" s="41" t="n"/>
      <c r="G821" s="41" t="n"/>
    </row>
    <row r="822" ht="15.75" customHeight="1" s="60">
      <c r="A822" s="41" t="n"/>
      <c r="B822" s="41" t="n"/>
      <c r="C822" s="41" t="n"/>
      <c r="D822" s="41" t="n"/>
      <c r="E822" s="41" t="n"/>
      <c r="F822" s="41" t="n"/>
      <c r="G822" s="41" t="n"/>
    </row>
    <row r="823" ht="15.75" customHeight="1" s="60">
      <c r="A823" s="41" t="n"/>
      <c r="B823" s="41" t="n"/>
      <c r="C823" s="41" t="n"/>
      <c r="D823" s="41" t="n"/>
      <c r="E823" s="41" t="n"/>
      <c r="F823" s="41" t="n"/>
      <c r="G823" s="41" t="n"/>
    </row>
    <row r="824" ht="15.75" customHeight="1" s="60">
      <c r="A824" s="41" t="n"/>
      <c r="B824" s="41" t="n"/>
      <c r="C824" s="41" t="n"/>
      <c r="D824" s="41" t="n"/>
      <c r="E824" s="41" t="n"/>
      <c r="F824" s="41" t="n"/>
      <c r="G824" s="41" t="n"/>
    </row>
    <row r="825" ht="15.75" customHeight="1" s="60">
      <c r="A825" s="41" t="n"/>
      <c r="B825" s="41" t="n"/>
      <c r="C825" s="41" t="n"/>
      <c r="D825" s="41" t="n"/>
      <c r="E825" s="41" t="n"/>
      <c r="F825" s="41" t="n"/>
      <c r="G825" s="41" t="n"/>
    </row>
    <row r="826" ht="15.75" customHeight="1" s="60">
      <c r="A826" s="41" t="n"/>
      <c r="B826" s="41" t="n"/>
      <c r="C826" s="41" t="n"/>
      <c r="D826" s="41" t="n"/>
      <c r="E826" s="41" t="n"/>
      <c r="F826" s="41" t="n"/>
      <c r="G826" s="41" t="n"/>
    </row>
    <row r="827" ht="15.75" customHeight="1" s="60">
      <c r="A827" s="41" t="n"/>
      <c r="B827" s="41" t="n"/>
      <c r="C827" s="41" t="n"/>
      <c r="D827" s="41" t="n"/>
      <c r="E827" s="41" t="n"/>
      <c r="F827" s="41" t="n"/>
      <c r="G827" s="41" t="n"/>
    </row>
    <row r="828" ht="15.75" customHeight="1" s="60">
      <c r="A828" s="41" t="n"/>
      <c r="B828" s="41" t="n"/>
      <c r="C828" s="41" t="n"/>
      <c r="D828" s="41" t="n"/>
      <c r="E828" s="41" t="n"/>
      <c r="F828" s="41" t="n"/>
      <c r="G828" s="41" t="n"/>
    </row>
    <row r="829" ht="15.75" customHeight="1" s="60">
      <c r="A829" s="41" t="n"/>
      <c r="B829" s="41" t="n"/>
      <c r="C829" s="41" t="n"/>
      <c r="D829" s="41" t="n"/>
      <c r="E829" s="41" t="n"/>
      <c r="F829" s="41" t="n"/>
      <c r="G829" s="41" t="n"/>
    </row>
    <row r="830" ht="15.75" customHeight="1" s="60">
      <c r="A830" s="41" t="n"/>
      <c r="B830" s="41" t="n"/>
      <c r="C830" s="41" t="n"/>
      <c r="D830" s="41" t="n"/>
      <c r="E830" s="41" t="n"/>
      <c r="F830" s="41" t="n"/>
      <c r="G830" s="41" t="n"/>
    </row>
    <row r="831" ht="15.75" customHeight="1" s="60">
      <c r="A831" s="41" t="n"/>
      <c r="B831" s="41" t="n"/>
      <c r="C831" s="41" t="n"/>
      <c r="D831" s="41" t="n"/>
      <c r="E831" s="41" t="n"/>
      <c r="F831" s="41" t="n"/>
      <c r="G831" s="41" t="n"/>
    </row>
    <row r="832" ht="15.75" customHeight="1" s="60">
      <c r="A832" s="41" t="n"/>
      <c r="B832" s="41" t="n"/>
      <c r="C832" s="41" t="n"/>
      <c r="D832" s="41" t="n"/>
      <c r="E832" s="41" t="n"/>
      <c r="F832" s="41" t="n"/>
      <c r="G832" s="41" t="n"/>
    </row>
    <row r="833" ht="15.75" customHeight="1" s="60">
      <c r="A833" s="41" t="n"/>
      <c r="B833" s="41" t="n"/>
      <c r="C833" s="41" t="n"/>
      <c r="D833" s="41" t="n"/>
      <c r="E833" s="41" t="n"/>
      <c r="F833" s="41" t="n"/>
      <c r="G833" s="41" t="n"/>
    </row>
    <row r="834" ht="15.75" customHeight="1" s="60">
      <c r="A834" s="41" t="n"/>
      <c r="B834" s="41" t="n"/>
      <c r="C834" s="41" t="n"/>
      <c r="D834" s="41" t="n"/>
      <c r="E834" s="41" t="n"/>
      <c r="F834" s="41" t="n"/>
      <c r="G834" s="41" t="n"/>
    </row>
    <row r="835" ht="15.75" customHeight="1" s="60">
      <c r="A835" s="41" t="n"/>
      <c r="B835" s="41" t="n"/>
      <c r="C835" s="41" t="n"/>
      <c r="D835" s="41" t="n"/>
      <c r="E835" s="41" t="n"/>
      <c r="F835" s="41" t="n"/>
      <c r="G835" s="41" t="n"/>
    </row>
    <row r="836" ht="15.75" customHeight="1" s="60">
      <c r="A836" s="41" t="n"/>
      <c r="B836" s="41" t="n"/>
      <c r="C836" s="41" t="n"/>
      <c r="D836" s="41" t="n"/>
      <c r="E836" s="41" t="n"/>
      <c r="F836" s="41" t="n"/>
      <c r="G836" s="41" t="n"/>
    </row>
    <row r="837" ht="15.75" customHeight="1" s="60">
      <c r="A837" s="41" t="n"/>
      <c r="B837" s="41" t="n"/>
      <c r="C837" s="41" t="n"/>
      <c r="D837" s="41" t="n"/>
      <c r="E837" s="41" t="n"/>
      <c r="F837" s="41" t="n"/>
      <c r="G837" s="41" t="n"/>
    </row>
    <row r="838" ht="15.75" customHeight="1" s="60">
      <c r="A838" s="41" t="n"/>
      <c r="B838" s="41" t="n"/>
      <c r="C838" s="41" t="n"/>
      <c r="D838" s="41" t="n"/>
      <c r="E838" s="41" t="n"/>
      <c r="F838" s="41" t="n"/>
      <c r="G838" s="41" t="n"/>
    </row>
    <row r="839" ht="15.75" customHeight="1" s="60">
      <c r="A839" s="41" t="n"/>
      <c r="B839" s="41" t="n"/>
      <c r="C839" s="41" t="n"/>
      <c r="D839" s="41" t="n"/>
      <c r="E839" s="41" t="n"/>
      <c r="F839" s="41" t="n"/>
      <c r="G839" s="41" t="n"/>
    </row>
    <row r="840" ht="15.75" customHeight="1" s="60">
      <c r="A840" s="41" t="n"/>
      <c r="B840" s="41" t="n"/>
      <c r="C840" s="41" t="n"/>
      <c r="D840" s="41" t="n"/>
      <c r="E840" s="41" t="n"/>
      <c r="F840" s="41" t="n"/>
      <c r="G840" s="41" t="n"/>
    </row>
    <row r="841" ht="15.75" customHeight="1" s="60">
      <c r="A841" s="41" t="n"/>
      <c r="B841" s="41" t="n"/>
      <c r="C841" s="41" t="n"/>
      <c r="D841" s="41" t="n"/>
      <c r="E841" s="41" t="n"/>
      <c r="F841" s="41" t="n"/>
      <c r="G841" s="41" t="n"/>
    </row>
    <row r="842" ht="15.75" customHeight="1" s="60">
      <c r="A842" s="41" t="n"/>
      <c r="B842" s="41" t="n"/>
      <c r="C842" s="41" t="n"/>
      <c r="D842" s="41" t="n"/>
      <c r="E842" s="41" t="n"/>
      <c r="F842" s="41" t="n"/>
      <c r="G842" s="41" t="n"/>
    </row>
    <row r="843" ht="15.75" customHeight="1" s="60">
      <c r="A843" s="41" t="n"/>
      <c r="B843" s="41" t="n"/>
      <c r="C843" s="41" t="n"/>
      <c r="D843" s="41" t="n"/>
      <c r="E843" s="41" t="n"/>
      <c r="F843" s="41" t="n"/>
      <c r="G843" s="41" t="n"/>
    </row>
    <row r="844" ht="15.75" customHeight="1" s="60">
      <c r="A844" s="41" t="n"/>
      <c r="B844" s="41" t="n"/>
      <c r="C844" s="41" t="n"/>
      <c r="D844" s="41" t="n"/>
      <c r="E844" s="41" t="n"/>
      <c r="F844" s="41" t="n"/>
      <c r="G844" s="41" t="n"/>
    </row>
    <row r="845" ht="15.75" customHeight="1" s="60">
      <c r="A845" s="41" t="n"/>
      <c r="B845" s="41" t="n"/>
      <c r="C845" s="41" t="n"/>
      <c r="D845" s="41" t="n"/>
      <c r="E845" s="41" t="n"/>
      <c r="F845" s="41" t="n"/>
      <c r="G845" s="41" t="n"/>
    </row>
    <row r="846" ht="15.75" customHeight="1" s="60">
      <c r="A846" s="41" t="n"/>
      <c r="B846" s="41" t="n"/>
      <c r="C846" s="41" t="n"/>
      <c r="D846" s="41" t="n"/>
      <c r="E846" s="41" t="n"/>
      <c r="F846" s="41" t="n"/>
      <c r="G846" s="41" t="n"/>
    </row>
    <row r="847" ht="15.75" customHeight="1" s="60">
      <c r="A847" s="41" t="n"/>
      <c r="B847" s="41" t="n"/>
      <c r="C847" s="41" t="n"/>
      <c r="D847" s="41" t="n"/>
      <c r="E847" s="41" t="n"/>
      <c r="F847" s="41" t="n"/>
      <c r="G847" s="41" t="n"/>
    </row>
    <row r="848" ht="15.75" customHeight="1" s="60">
      <c r="A848" s="41" t="n"/>
      <c r="B848" s="41" t="n"/>
      <c r="C848" s="41" t="n"/>
      <c r="D848" s="41" t="n"/>
      <c r="E848" s="41" t="n"/>
      <c r="F848" s="41" t="n"/>
      <c r="G848" s="41" t="n"/>
    </row>
    <row r="849" ht="15.75" customHeight="1" s="60">
      <c r="A849" s="41" t="n"/>
      <c r="B849" s="41" t="n"/>
      <c r="C849" s="41" t="n"/>
      <c r="D849" s="41" t="n"/>
      <c r="E849" s="41" t="n"/>
      <c r="F849" s="41" t="n"/>
      <c r="G849" s="41" t="n"/>
    </row>
    <row r="850" ht="15.75" customHeight="1" s="60">
      <c r="A850" s="41" t="n"/>
      <c r="B850" s="41" t="n"/>
      <c r="C850" s="41" t="n"/>
      <c r="D850" s="41" t="n"/>
      <c r="E850" s="41" t="n"/>
      <c r="F850" s="41" t="n"/>
      <c r="G850" s="41" t="n"/>
    </row>
    <row r="851" ht="15.75" customHeight="1" s="60">
      <c r="A851" s="41" t="n"/>
      <c r="B851" s="41" t="n"/>
      <c r="C851" s="41" t="n"/>
      <c r="D851" s="41" t="n"/>
      <c r="E851" s="41" t="n"/>
      <c r="F851" s="41" t="n"/>
      <c r="G851" s="41" t="n"/>
    </row>
    <row r="852" ht="15.75" customHeight="1" s="60">
      <c r="A852" s="41" t="n"/>
      <c r="B852" s="41" t="n"/>
      <c r="C852" s="41" t="n"/>
      <c r="D852" s="41" t="n"/>
      <c r="E852" s="41" t="n"/>
      <c r="F852" s="41" t="n"/>
      <c r="G852" s="41" t="n"/>
    </row>
    <row r="853" ht="15.75" customHeight="1" s="60">
      <c r="A853" s="41" t="n"/>
      <c r="B853" s="41" t="n"/>
      <c r="C853" s="41" t="n"/>
      <c r="D853" s="41" t="n"/>
      <c r="E853" s="41" t="n"/>
      <c r="F853" s="41" t="n"/>
      <c r="G853" s="41" t="n"/>
    </row>
    <row r="854" ht="15.75" customHeight="1" s="60">
      <c r="A854" s="41" t="n"/>
      <c r="B854" s="41" t="n"/>
      <c r="C854" s="41" t="n"/>
      <c r="D854" s="41" t="n"/>
      <c r="E854" s="41" t="n"/>
      <c r="F854" s="41" t="n"/>
      <c r="G854" s="41" t="n"/>
    </row>
    <row r="855" ht="15.75" customHeight="1" s="60">
      <c r="A855" s="41" t="n"/>
      <c r="B855" s="41" t="n"/>
      <c r="C855" s="41" t="n"/>
      <c r="D855" s="41" t="n"/>
      <c r="E855" s="41" t="n"/>
      <c r="F855" s="41" t="n"/>
      <c r="G855" s="41" t="n"/>
    </row>
    <row r="856" ht="15.75" customHeight="1" s="60">
      <c r="A856" s="41" t="n"/>
      <c r="B856" s="41" t="n"/>
      <c r="C856" s="41" t="n"/>
      <c r="D856" s="41" t="n"/>
      <c r="E856" s="41" t="n"/>
      <c r="F856" s="41" t="n"/>
      <c r="G856" s="41" t="n"/>
    </row>
    <row r="857" ht="15.75" customHeight="1" s="60">
      <c r="A857" s="41" t="n"/>
      <c r="B857" s="41" t="n"/>
      <c r="C857" s="41" t="n"/>
      <c r="D857" s="41" t="n"/>
      <c r="E857" s="41" t="n"/>
      <c r="F857" s="41" t="n"/>
      <c r="G857" s="41" t="n"/>
    </row>
    <row r="858" ht="15.75" customHeight="1" s="60">
      <c r="A858" s="41" t="n"/>
      <c r="B858" s="41" t="n"/>
      <c r="C858" s="41" t="n"/>
      <c r="D858" s="41" t="n"/>
      <c r="E858" s="41" t="n"/>
      <c r="F858" s="41" t="n"/>
      <c r="G858" s="41" t="n"/>
    </row>
    <row r="859" ht="15.75" customHeight="1" s="60">
      <c r="A859" s="41" t="n"/>
      <c r="B859" s="41" t="n"/>
      <c r="C859" s="41" t="n"/>
      <c r="D859" s="41" t="n"/>
      <c r="E859" s="41" t="n"/>
      <c r="F859" s="41" t="n"/>
      <c r="G859" s="41" t="n"/>
    </row>
    <row r="860" ht="15.75" customHeight="1" s="60">
      <c r="A860" s="41" t="n"/>
      <c r="B860" s="41" t="n"/>
      <c r="C860" s="41" t="n"/>
      <c r="D860" s="41" t="n"/>
      <c r="E860" s="41" t="n"/>
      <c r="F860" s="41" t="n"/>
      <c r="G860" s="41" t="n"/>
    </row>
    <row r="861" ht="15.75" customHeight="1" s="60">
      <c r="A861" s="41" t="n"/>
      <c r="B861" s="41" t="n"/>
      <c r="C861" s="41" t="n"/>
      <c r="D861" s="41" t="n"/>
      <c r="E861" s="41" t="n"/>
      <c r="F861" s="41" t="n"/>
      <c r="G861" s="41" t="n"/>
    </row>
    <row r="862" ht="15.75" customHeight="1" s="60">
      <c r="A862" s="41" t="n"/>
      <c r="B862" s="41" t="n"/>
      <c r="C862" s="41" t="n"/>
      <c r="D862" s="41" t="n"/>
      <c r="E862" s="41" t="n"/>
      <c r="F862" s="41" t="n"/>
      <c r="G862" s="41" t="n"/>
    </row>
    <row r="863" ht="15.75" customHeight="1" s="60">
      <c r="A863" s="41" t="n"/>
      <c r="B863" s="41" t="n"/>
      <c r="C863" s="41" t="n"/>
      <c r="D863" s="41" t="n"/>
      <c r="E863" s="41" t="n"/>
      <c r="F863" s="41" t="n"/>
      <c r="G863" s="41" t="n"/>
    </row>
    <row r="864" ht="15.75" customHeight="1" s="60">
      <c r="A864" s="41" t="n"/>
      <c r="B864" s="41" t="n"/>
      <c r="C864" s="41" t="n"/>
      <c r="D864" s="41" t="n"/>
      <c r="E864" s="41" t="n"/>
      <c r="F864" s="41" t="n"/>
      <c r="G864" s="41" t="n"/>
    </row>
    <row r="865" ht="15.75" customHeight="1" s="60">
      <c r="A865" s="41" t="n"/>
      <c r="B865" s="41" t="n"/>
      <c r="C865" s="41" t="n"/>
      <c r="D865" s="41" t="n"/>
      <c r="E865" s="41" t="n"/>
      <c r="F865" s="41" t="n"/>
      <c r="G865" s="41" t="n"/>
    </row>
    <row r="866" ht="15.75" customHeight="1" s="60">
      <c r="A866" s="41" t="n"/>
      <c r="B866" s="41" t="n"/>
      <c r="C866" s="41" t="n"/>
      <c r="D866" s="41" t="n"/>
      <c r="E866" s="41" t="n"/>
      <c r="F866" s="41" t="n"/>
      <c r="G866" s="41" t="n"/>
    </row>
    <row r="867" ht="15.75" customHeight="1" s="60">
      <c r="A867" s="41" t="n"/>
      <c r="B867" s="41" t="n"/>
      <c r="C867" s="41" t="n"/>
      <c r="D867" s="41" t="n"/>
      <c r="E867" s="41" t="n"/>
      <c r="F867" s="41" t="n"/>
      <c r="G867" s="41" t="n"/>
    </row>
    <row r="868" ht="15.75" customHeight="1" s="60">
      <c r="A868" s="41" t="n"/>
      <c r="B868" s="41" t="n"/>
      <c r="C868" s="41" t="n"/>
      <c r="D868" s="41" t="n"/>
      <c r="E868" s="41" t="n"/>
      <c r="F868" s="41" t="n"/>
      <c r="G868" s="41" t="n"/>
    </row>
    <row r="869" ht="15.75" customHeight="1" s="60">
      <c r="A869" s="41" t="n"/>
      <c r="B869" s="41" t="n"/>
      <c r="C869" s="41" t="n"/>
      <c r="D869" s="41" t="n"/>
      <c r="E869" s="41" t="n"/>
      <c r="F869" s="41" t="n"/>
      <c r="G869" s="41" t="n"/>
    </row>
    <row r="870" ht="15.75" customHeight="1" s="60">
      <c r="A870" s="41" t="n"/>
      <c r="B870" s="41" t="n"/>
      <c r="C870" s="41" t="n"/>
      <c r="D870" s="41" t="n"/>
      <c r="E870" s="41" t="n"/>
      <c r="F870" s="41" t="n"/>
      <c r="G870" s="41" t="n"/>
    </row>
    <row r="871" ht="15.75" customHeight="1" s="60">
      <c r="A871" s="41" t="n"/>
      <c r="B871" s="41" t="n"/>
      <c r="C871" s="41" t="n"/>
      <c r="D871" s="41" t="n"/>
      <c r="E871" s="41" t="n"/>
      <c r="F871" s="41" t="n"/>
      <c r="G871" s="41" t="n"/>
    </row>
    <row r="872" ht="15.75" customHeight="1" s="60">
      <c r="A872" s="41" t="n"/>
      <c r="B872" s="41" t="n"/>
      <c r="C872" s="41" t="n"/>
      <c r="D872" s="41" t="n"/>
      <c r="E872" s="41" t="n"/>
      <c r="F872" s="41" t="n"/>
      <c r="G872" s="41" t="n"/>
    </row>
    <row r="873" ht="15.75" customHeight="1" s="60">
      <c r="A873" s="41" t="n"/>
      <c r="B873" s="41" t="n"/>
      <c r="C873" s="41" t="n"/>
      <c r="D873" s="41" t="n"/>
      <c r="E873" s="41" t="n"/>
      <c r="F873" s="41" t="n"/>
      <c r="G873" s="41" t="n"/>
    </row>
    <row r="874" ht="15.75" customHeight="1" s="60">
      <c r="A874" s="41" t="n"/>
      <c r="B874" s="41" t="n"/>
      <c r="C874" s="41" t="n"/>
      <c r="D874" s="41" t="n"/>
      <c r="E874" s="41" t="n"/>
      <c r="F874" s="41" t="n"/>
      <c r="G874" s="41" t="n"/>
    </row>
    <row r="875" ht="15.75" customHeight="1" s="60">
      <c r="A875" s="41" t="n"/>
      <c r="B875" s="41" t="n"/>
      <c r="C875" s="41" t="n"/>
      <c r="D875" s="41" t="n"/>
      <c r="E875" s="41" t="n"/>
      <c r="F875" s="41" t="n"/>
      <c r="G875" s="41" t="n"/>
    </row>
    <row r="876" ht="15.75" customHeight="1" s="60">
      <c r="A876" s="41" t="n"/>
      <c r="B876" s="41" t="n"/>
      <c r="C876" s="41" t="n"/>
      <c r="D876" s="41" t="n"/>
      <c r="E876" s="41" t="n"/>
      <c r="F876" s="41" t="n"/>
      <c r="G876" s="41" t="n"/>
    </row>
    <row r="877" ht="15.75" customHeight="1" s="60">
      <c r="A877" s="41" t="n"/>
      <c r="B877" s="41" t="n"/>
      <c r="C877" s="41" t="n"/>
      <c r="D877" s="41" t="n"/>
      <c r="E877" s="41" t="n"/>
      <c r="F877" s="41" t="n"/>
      <c r="G877" s="41" t="n"/>
    </row>
    <row r="878" ht="15.75" customHeight="1" s="60">
      <c r="A878" s="41" t="n"/>
      <c r="B878" s="41" t="n"/>
      <c r="C878" s="41" t="n"/>
      <c r="D878" s="41" t="n"/>
      <c r="E878" s="41" t="n"/>
      <c r="F878" s="41" t="n"/>
      <c r="G878" s="41" t="n"/>
    </row>
    <row r="879" ht="15.75" customHeight="1" s="60">
      <c r="A879" s="41" t="n"/>
      <c r="B879" s="41" t="n"/>
      <c r="C879" s="41" t="n"/>
      <c r="D879" s="41" t="n"/>
      <c r="E879" s="41" t="n"/>
      <c r="F879" s="41" t="n"/>
      <c r="G879" s="41" t="n"/>
    </row>
    <row r="880" ht="15.75" customHeight="1" s="60">
      <c r="A880" s="41" t="n"/>
      <c r="B880" s="41" t="n"/>
      <c r="C880" s="41" t="n"/>
      <c r="D880" s="41" t="n"/>
      <c r="E880" s="41" t="n"/>
      <c r="F880" s="41" t="n"/>
      <c r="G880" s="41" t="n"/>
    </row>
    <row r="881" ht="15.75" customHeight="1" s="60">
      <c r="A881" s="41" t="n"/>
      <c r="B881" s="41" t="n"/>
      <c r="C881" s="41" t="n"/>
      <c r="D881" s="41" t="n"/>
      <c r="E881" s="41" t="n"/>
      <c r="F881" s="41" t="n"/>
      <c r="G881" s="41" t="n"/>
    </row>
    <row r="882" ht="15.75" customHeight="1" s="60">
      <c r="A882" s="41" t="n"/>
      <c r="B882" s="41" t="n"/>
      <c r="C882" s="41" t="n"/>
      <c r="D882" s="41" t="n"/>
      <c r="E882" s="41" t="n"/>
      <c r="F882" s="41" t="n"/>
      <c r="G882" s="41" t="n"/>
    </row>
    <row r="883" ht="15.75" customHeight="1" s="60">
      <c r="A883" s="41" t="n"/>
      <c r="B883" s="41" t="n"/>
      <c r="C883" s="41" t="n"/>
      <c r="D883" s="41" t="n"/>
      <c r="E883" s="41" t="n"/>
      <c r="F883" s="41" t="n"/>
      <c r="G883" s="41" t="n"/>
    </row>
    <row r="884" ht="15.75" customHeight="1" s="60">
      <c r="A884" s="41" t="n"/>
      <c r="B884" s="41" t="n"/>
      <c r="C884" s="41" t="n"/>
      <c r="D884" s="41" t="n"/>
      <c r="E884" s="41" t="n"/>
      <c r="F884" s="41" t="n"/>
      <c r="G884" s="41" t="n"/>
    </row>
    <row r="885" ht="15.75" customHeight="1" s="60">
      <c r="A885" s="41" t="n"/>
      <c r="B885" s="41" t="n"/>
      <c r="C885" s="41" t="n"/>
      <c r="D885" s="41" t="n"/>
      <c r="E885" s="41" t="n"/>
      <c r="F885" s="41" t="n"/>
      <c r="G885" s="41" t="n"/>
    </row>
    <row r="886" ht="15.75" customHeight="1" s="60">
      <c r="A886" s="41" t="n"/>
      <c r="B886" s="41" t="n"/>
      <c r="C886" s="41" t="n"/>
      <c r="D886" s="41" t="n"/>
      <c r="E886" s="41" t="n"/>
      <c r="F886" s="41" t="n"/>
      <c r="G886" s="41" t="n"/>
    </row>
    <row r="887" ht="15.75" customHeight="1" s="60">
      <c r="A887" s="41" t="n"/>
      <c r="B887" s="41" t="n"/>
      <c r="C887" s="41" t="n"/>
      <c r="D887" s="41" t="n"/>
      <c r="E887" s="41" t="n"/>
      <c r="F887" s="41" t="n"/>
      <c r="G887" s="41" t="n"/>
    </row>
    <row r="888" ht="15.75" customHeight="1" s="60">
      <c r="A888" s="41" t="n"/>
      <c r="B888" s="41" t="n"/>
      <c r="C888" s="41" t="n"/>
      <c r="D888" s="41" t="n"/>
      <c r="E888" s="41" t="n"/>
      <c r="F888" s="41" t="n"/>
      <c r="G888" s="41" t="n"/>
    </row>
    <row r="889" ht="15.75" customHeight="1" s="60">
      <c r="A889" s="41" t="n"/>
      <c r="B889" s="41" t="n"/>
      <c r="C889" s="41" t="n"/>
      <c r="D889" s="41" t="n"/>
      <c r="E889" s="41" t="n"/>
      <c r="F889" s="41" t="n"/>
      <c r="G889" s="41" t="n"/>
    </row>
    <row r="890" ht="15.75" customHeight="1" s="60">
      <c r="A890" s="41" t="n"/>
      <c r="B890" s="41" t="n"/>
      <c r="C890" s="41" t="n"/>
      <c r="D890" s="41" t="n"/>
      <c r="E890" s="41" t="n"/>
      <c r="F890" s="41" t="n"/>
      <c r="G890" s="41" t="n"/>
    </row>
    <row r="891" ht="15.75" customHeight="1" s="60">
      <c r="A891" s="41" t="n"/>
      <c r="B891" s="41" t="n"/>
      <c r="C891" s="41" t="n"/>
      <c r="D891" s="41" t="n"/>
      <c r="E891" s="41" t="n"/>
      <c r="F891" s="41" t="n"/>
      <c r="G891" s="41" t="n"/>
    </row>
    <row r="892" ht="15.75" customHeight="1" s="60">
      <c r="A892" s="41" t="n"/>
      <c r="B892" s="41" t="n"/>
      <c r="C892" s="41" t="n"/>
      <c r="D892" s="41" t="n"/>
      <c r="E892" s="41" t="n"/>
      <c r="F892" s="41" t="n"/>
      <c r="G892" s="41" t="n"/>
    </row>
    <row r="893" ht="15.75" customHeight="1" s="60">
      <c r="A893" s="41" t="n"/>
      <c r="B893" s="41" t="n"/>
      <c r="C893" s="41" t="n"/>
      <c r="D893" s="41" t="n"/>
      <c r="E893" s="41" t="n"/>
      <c r="F893" s="41" t="n"/>
      <c r="G893" s="41" t="n"/>
    </row>
    <row r="894" ht="15.75" customHeight="1" s="60">
      <c r="A894" s="41" t="n"/>
      <c r="B894" s="41" t="n"/>
      <c r="C894" s="41" t="n"/>
      <c r="D894" s="41" t="n"/>
      <c r="E894" s="41" t="n"/>
      <c r="F894" s="41" t="n"/>
      <c r="G894" s="41" t="n"/>
    </row>
    <row r="895" ht="15.75" customHeight="1" s="60">
      <c r="A895" s="41" t="n"/>
      <c r="B895" s="41" t="n"/>
      <c r="C895" s="41" t="n"/>
      <c r="D895" s="41" t="n"/>
      <c r="E895" s="41" t="n"/>
      <c r="F895" s="41" t="n"/>
      <c r="G895" s="41" t="n"/>
    </row>
    <row r="896" ht="15.75" customHeight="1" s="60">
      <c r="A896" s="41" t="n"/>
      <c r="B896" s="41" t="n"/>
      <c r="C896" s="41" t="n"/>
      <c r="D896" s="41" t="n"/>
      <c r="E896" s="41" t="n"/>
      <c r="F896" s="41" t="n"/>
      <c r="G896" s="41" t="n"/>
    </row>
    <row r="897" ht="15.75" customHeight="1" s="60">
      <c r="A897" s="41" t="n"/>
      <c r="B897" s="41" t="n"/>
      <c r="C897" s="41" t="n"/>
      <c r="D897" s="41" t="n"/>
      <c r="E897" s="41" t="n"/>
      <c r="F897" s="41" t="n"/>
      <c r="G897" s="41" t="n"/>
    </row>
    <row r="898" ht="15.75" customHeight="1" s="60">
      <c r="A898" s="41" t="n"/>
      <c r="B898" s="41" t="n"/>
      <c r="C898" s="41" t="n"/>
      <c r="D898" s="41" t="n"/>
      <c r="E898" s="41" t="n"/>
      <c r="F898" s="41" t="n"/>
      <c r="G898" s="41" t="n"/>
    </row>
    <row r="899" ht="15.75" customHeight="1" s="60">
      <c r="A899" s="41" t="n"/>
      <c r="B899" s="41" t="n"/>
      <c r="C899" s="41" t="n"/>
      <c r="D899" s="41" t="n"/>
      <c r="E899" s="41" t="n"/>
      <c r="F899" s="41" t="n"/>
      <c r="G899" s="41" t="n"/>
    </row>
    <row r="900" ht="15.75" customHeight="1" s="60">
      <c r="A900" s="41" t="n"/>
      <c r="B900" s="41" t="n"/>
      <c r="C900" s="41" t="n"/>
      <c r="D900" s="41" t="n"/>
      <c r="E900" s="41" t="n"/>
      <c r="F900" s="41" t="n"/>
      <c r="G900" s="41" t="n"/>
    </row>
    <row r="901" ht="15.75" customHeight="1" s="60">
      <c r="A901" s="41" t="n"/>
      <c r="B901" s="41" t="n"/>
      <c r="C901" s="41" t="n"/>
      <c r="D901" s="41" t="n"/>
      <c r="E901" s="41" t="n"/>
      <c r="F901" s="41" t="n"/>
      <c r="G901" s="41" t="n"/>
    </row>
    <row r="902" ht="15.75" customHeight="1" s="60">
      <c r="A902" s="41" t="n"/>
      <c r="B902" s="41" t="n"/>
      <c r="C902" s="41" t="n"/>
      <c r="D902" s="41" t="n"/>
      <c r="E902" s="41" t="n"/>
      <c r="F902" s="41" t="n"/>
      <c r="G902" s="41" t="n"/>
    </row>
    <row r="903" ht="15.75" customHeight="1" s="60">
      <c r="A903" s="41" t="n"/>
      <c r="B903" s="41" t="n"/>
      <c r="C903" s="41" t="n"/>
      <c r="D903" s="41" t="n"/>
      <c r="E903" s="41" t="n"/>
      <c r="F903" s="41" t="n"/>
      <c r="G903" s="41" t="n"/>
    </row>
    <row r="904" ht="15.75" customHeight="1" s="60">
      <c r="A904" s="41" t="n"/>
      <c r="B904" s="41" t="n"/>
      <c r="C904" s="41" t="n"/>
      <c r="D904" s="41" t="n"/>
      <c r="E904" s="41" t="n"/>
      <c r="F904" s="41" t="n"/>
      <c r="G904" s="41" t="n"/>
    </row>
    <row r="905" ht="15.75" customHeight="1" s="60">
      <c r="A905" s="41" t="n"/>
      <c r="B905" s="41" t="n"/>
      <c r="C905" s="41" t="n"/>
      <c r="D905" s="41" t="n"/>
      <c r="E905" s="41" t="n"/>
      <c r="F905" s="41" t="n"/>
      <c r="G905" s="41" t="n"/>
    </row>
    <row r="906" ht="15.75" customHeight="1" s="60">
      <c r="A906" s="41" t="n"/>
      <c r="B906" s="41" t="n"/>
      <c r="C906" s="41" t="n"/>
      <c r="D906" s="41" t="n"/>
      <c r="E906" s="41" t="n"/>
      <c r="F906" s="41" t="n"/>
      <c r="G906" s="41" t="n"/>
    </row>
    <row r="907" ht="15.75" customHeight="1" s="60">
      <c r="A907" s="41" t="n"/>
      <c r="B907" s="41" t="n"/>
      <c r="C907" s="41" t="n"/>
      <c r="D907" s="41" t="n"/>
      <c r="E907" s="41" t="n"/>
      <c r="F907" s="41" t="n"/>
      <c r="G907" s="41" t="n"/>
    </row>
    <row r="908" ht="15.75" customHeight="1" s="60">
      <c r="A908" s="41" t="n"/>
      <c r="B908" s="41" t="n"/>
      <c r="C908" s="41" t="n"/>
      <c r="D908" s="41" t="n"/>
      <c r="E908" s="41" t="n"/>
      <c r="F908" s="41" t="n"/>
      <c r="G908" s="41" t="n"/>
    </row>
    <row r="909" ht="15.75" customHeight="1" s="60">
      <c r="A909" s="41" t="n"/>
      <c r="B909" s="41" t="n"/>
      <c r="C909" s="41" t="n"/>
      <c r="D909" s="41" t="n"/>
      <c r="E909" s="41" t="n"/>
      <c r="F909" s="41" t="n"/>
      <c r="G909" s="41" t="n"/>
    </row>
    <row r="910" ht="15.75" customHeight="1" s="60">
      <c r="A910" s="41" t="n"/>
      <c r="B910" s="41" t="n"/>
      <c r="C910" s="41" t="n"/>
      <c r="D910" s="41" t="n"/>
      <c r="E910" s="41" t="n"/>
      <c r="F910" s="41" t="n"/>
      <c r="G910" s="41" t="n"/>
    </row>
    <row r="911" ht="15.75" customHeight="1" s="60">
      <c r="A911" s="41" t="n"/>
      <c r="B911" s="41" t="n"/>
      <c r="C911" s="41" t="n"/>
      <c r="D911" s="41" t="n"/>
      <c r="E911" s="41" t="n"/>
      <c r="F911" s="41" t="n"/>
      <c r="G911" s="41" t="n"/>
    </row>
    <row r="912" ht="15.75" customHeight="1" s="60">
      <c r="A912" s="41" t="n"/>
      <c r="B912" s="41" t="n"/>
      <c r="C912" s="41" t="n"/>
      <c r="D912" s="41" t="n"/>
      <c r="E912" s="41" t="n"/>
      <c r="F912" s="41" t="n"/>
      <c r="G912" s="41" t="n"/>
    </row>
    <row r="913" ht="15.75" customHeight="1" s="60">
      <c r="A913" s="41" t="n"/>
      <c r="B913" s="41" t="n"/>
      <c r="C913" s="41" t="n"/>
      <c r="D913" s="41" t="n"/>
      <c r="E913" s="41" t="n"/>
      <c r="F913" s="41" t="n"/>
      <c r="G913" s="41" t="n"/>
    </row>
    <row r="914" ht="15.75" customHeight="1" s="60">
      <c r="A914" s="41" t="n"/>
      <c r="B914" s="41" t="n"/>
      <c r="C914" s="41" t="n"/>
      <c r="D914" s="41" t="n"/>
      <c r="E914" s="41" t="n"/>
      <c r="F914" s="41" t="n"/>
      <c r="G914" s="41" t="n"/>
    </row>
    <row r="915" ht="15.75" customHeight="1" s="60">
      <c r="A915" s="41" t="n"/>
      <c r="B915" s="41" t="n"/>
      <c r="C915" s="41" t="n"/>
      <c r="D915" s="41" t="n"/>
      <c r="E915" s="41" t="n"/>
      <c r="F915" s="41" t="n"/>
      <c r="G915" s="41" t="n"/>
    </row>
    <row r="916" ht="15.75" customHeight="1" s="60">
      <c r="A916" s="41" t="n"/>
      <c r="B916" s="41" t="n"/>
      <c r="C916" s="41" t="n"/>
      <c r="D916" s="41" t="n"/>
      <c r="E916" s="41" t="n"/>
      <c r="F916" s="41" t="n"/>
      <c r="G916" s="41" t="n"/>
    </row>
    <row r="917" ht="15.75" customHeight="1" s="60">
      <c r="A917" s="41" t="n"/>
      <c r="B917" s="41" t="n"/>
      <c r="C917" s="41" t="n"/>
      <c r="D917" s="41" t="n"/>
      <c r="E917" s="41" t="n"/>
      <c r="F917" s="41" t="n"/>
      <c r="G917" s="41" t="n"/>
    </row>
    <row r="918" ht="15.75" customHeight="1" s="60">
      <c r="A918" s="41" t="n"/>
      <c r="B918" s="41" t="n"/>
      <c r="C918" s="41" t="n"/>
      <c r="D918" s="41" t="n"/>
      <c r="E918" s="41" t="n"/>
      <c r="F918" s="41" t="n"/>
      <c r="G918" s="41" t="n"/>
    </row>
    <row r="919" ht="15.75" customHeight="1" s="60">
      <c r="A919" s="41" t="n"/>
      <c r="B919" s="41" t="n"/>
      <c r="C919" s="41" t="n"/>
      <c r="D919" s="41" t="n"/>
      <c r="E919" s="41" t="n"/>
      <c r="F919" s="41" t="n"/>
      <c r="G919" s="41" t="n"/>
    </row>
    <row r="920" ht="15.75" customHeight="1" s="60">
      <c r="A920" s="41" t="n"/>
      <c r="B920" s="41" t="n"/>
      <c r="C920" s="41" t="n"/>
      <c r="D920" s="41" t="n"/>
      <c r="E920" s="41" t="n"/>
      <c r="F920" s="41" t="n"/>
      <c r="G920" s="41" t="n"/>
    </row>
    <row r="921" ht="15.75" customHeight="1" s="60">
      <c r="A921" s="41" t="n"/>
      <c r="B921" s="41" t="n"/>
      <c r="C921" s="41" t="n"/>
      <c r="D921" s="41" t="n"/>
      <c r="E921" s="41" t="n"/>
      <c r="F921" s="41" t="n"/>
      <c r="G921" s="41" t="n"/>
    </row>
    <row r="922" ht="15.75" customHeight="1" s="60">
      <c r="A922" s="41" t="n"/>
      <c r="B922" s="41" t="n"/>
      <c r="C922" s="41" t="n"/>
      <c r="D922" s="41" t="n"/>
      <c r="E922" s="41" t="n"/>
      <c r="F922" s="41" t="n"/>
      <c r="G922" s="41" t="n"/>
    </row>
    <row r="923" ht="15.75" customHeight="1" s="60">
      <c r="A923" s="41" t="n"/>
      <c r="B923" s="41" t="n"/>
      <c r="C923" s="41" t="n"/>
      <c r="D923" s="41" t="n"/>
      <c r="E923" s="41" t="n"/>
      <c r="F923" s="41" t="n"/>
      <c r="G923" s="41" t="n"/>
    </row>
    <row r="924" ht="15.75" customHeight="1" s="60">
      <c r="A924" s="41" t="n"/>
      <c r="B924" s="41" t="n"/>
      <c r="C924" s="41" t="n"/>
      <c r="D924" s="41" t="n"/>
      <c r="E924" s="41" t="n"/>
      <c r="F924" s="41" t="n"/>
      <c r="G924" s="41" t="n"/>
    </row>
    <row r="925" ht="15.75" customHeight="1" s="60">
      <c r="A925" s="41" t="n"/>
      <c r="B925" s="41" t="n"/>
      <c r="C925" s="41" t="n"/>
      <c r="D925" s="41" t="n"/>
      <c r="E925" s="41" t="n"/>
      <c r="F925" s="41" t="n"/>
      <c r="G925" s="41" t="n"/>
    </row>
    <row r="926" ht="15.75" customHeight="1" s="60">
      <c r="A926" s="41" t="n"/>
      <c r="B926" s="41" t="n"/>
      <c r="C926" s="41" t="n"/>
      <c r="D926" s="41" t="n"/>
      <c r="E926" s="41" t="n"/>
      <c r="F926" s="41" t="n"/>
      <c r="G926" s="41" t="n"/>
    </row>
    <row r="927" ht="15.75" customHeight="1" s="60">
      <c r="A927" s="41" t="n"/>
      <c r="B927" s="41" t="n"/>
      <c r="C927" s="41" t="n"/>
      <c r="D927" s="41" t="n"/>
      <c r="E927" s="41" t="n"/>
      <c r="F927" s="41" t="n"/>
      <c r="G927" s="41" t="n"/>
    </row>
    <row r="928" ht="15.75" customHeight="1" s="60">
      <c r="A928" s="41" t="n"/>
      <c r="B928" s="41" t="n"/>
      <c r="C928" s="41" t="n"/>
      <c r="D928" s="41" t="n"/>
      <c r="E928" s="41" t="n"/>
      <c r="F928" s="41" t="n"/>
      <c r="G928" s="41" t="n"/>
    </row>
    <row r="929" ht="15.75" customHeight="1" s="60">
      <c r="A929" s="41" t="n"/>
      <c r="B929" s="41" t="n"/>
      <c r="C929" s="41" t="n"/>
      <c r="D929" s="41" t="n"/>
      <c r="E929" s="41" t="n"/>
      <c r="F929" s="41" t="n"/>
      <c r="G929" s="41" t="n"/>
    </row>
    <row r="930" ht="15.75" customHeight="1" s="60">
      <c r="A930" s="41" t="n"/>
      <c r="B930" s="41" t="n"/>
      <c r="C930" s="41" t="n"/>
      <c r="D930" s="41" t="n"/>
      <c r="E930" s="41" t="n"/>
      <c r="F930" s="41" t="n"/>
      <c r="G930" s="41" t="n"/>
    </row>
    <row r="931" ht="15.75" customHeight="1" s="60">
      <c r="A931" s="41" t="n"/>
      <c r="B931" s="41" t="n"/>
      <c r="C931" s="41" t="n"/>
      <c r="D931" s="41" t="n"/>
      <c r="E931" s="41" t="n"/>
      <c r="F931" s="41" t="n"/>
      <c r="G931" s="41" t="n"/>
    </row>
    <row r="932" ht="15.75" customHeight="1" s="60">
      <c r="A932" s="41" t="n"/>
      <c r="B932" s="41" t="n"/>
      <c r="C932" s="41" t="n"/>
      <c r="D932" s="41" t="n"/>
      <c r="E932" s="41" t="n"/>
      <c r="F932" s="41" t="n"/>
      <c r="G932" s="41" t="n"/>
    </row>
    <row r="933" ht="15.75" customHeight="1" s="60">
      <c r="A933" s="41" t="n"/>
      <c r="B933" s="41" t="n"/>
      <c r="C933" s="41" t="n"/>
      <c r="D933" s="41" t="n"/>
      <c r="E933" s="41" t="n"/>
      <c r="F933" s="41" t="n"/>
      <c r="G933" s="41" t="n"/>
    </row>
    <row r="934" ht="15.75" customHeight="1" s="60">
      <c r="A934" s="41" t="n"/>
      <c r="B934" s="41" t="n"/>
      <c r="C934" s="41" t="n"/>
      <c r="D934" s="41" t="n"/>
      <c r="E934" s="41" t="n"/>
      <c r="F934" s="41" t="n"/>
      <c r="G934" s="41" t="n"/>
    </row>
    <row r="935" ht="15.75" customHeight="1" s="60">
      <c r="A935" s="41" t="n"/>
      <c r="B935" s="41" t="n"/>
      <c r="C935" s="41" t="n"/>
      <c r="D935" s="41" t="n"/>
      <c r="E935" s="41" t="n"/>
      <c r="F935" s="41" t="n"/>
      <c r="G935" s="41" t="n"/>
    </row>
    <row r="936" ht="15.75" customHeight="1" s="60">
      <c r="A936" s="41" t="n"/>
      <c r="B936" s="41" t="n"/>
      <c r="C936" s="41" t="n"/>
      <c r="D936" s="41" t="n"/>
      <c r="E936" s="41" t="n"/>
      <c r="F936" s="41" t="n"/>
      <c r="G936" s="41" t="n"/>
    </row>
    <row r="937" ht="15.75" customHeight="1" s="60">
      <c r="A937" s="41" t="n"/>
      <c r="B937" s="41" t="n"/>
      <c r="C937" s="41" t="n"/>
      <c r="D937" s="41" t="n"/>
      <c r="E937" s="41" t="n"/>
      <c r="F937" s="41" t="n"/>
      <c r="G937" s="41" t="n"/>
    </row>
    <row r="938" ht="15.75" customHeight="1" s="60">
      <c r="A938" s="41" t="n"/>
      <c r="B938" s="41" t="n"/>
      <c r="C938" s="41" t="n"/>
      <c r="D938" s="41" t="n"/>
      <c r="E938" s="41" t="n"/>
      <c r="F938" s="41" t="n"/>
      <c r="G938" s="41" t="n"/>
    </row>
    <row r="939" ht="15.75" customHeight="1" s="60">
      <c r="A939" s="41" t="n"/>
      <c r="B939" s="41" t="n"/>
      <c r="C939" s="41" t="n"/>
      <c r="D939" s="41" t="n"/>
      <c r="E939" s="41" t="n"/>
      <c r="F939" s="41" t="n"/>
      <c r="G939" s="41" t="n"/>
    </row>
    <row r="940" ht="15.75" customHeight="1" s="60">
      <c r="A940" s="41" t="n"/>
      <c r="B940" s="41" t="n"/>
      <c r="C940" s="41" t="n"/>
      <c r="D940" s="41" t="n"/>
      <c r="E940" s="41" t="n"/>
      <c r="F940" s="41" t="n"/>
      <c r="G940" s="41" t="n"/>
    </row>
    <row r="941" ht="15.75" customHeight="1" s="60">
      <c r="A941" s="41" t="n"/>
      <c r="B941" s="41" t="n"/>
      <c r="C941" s="41" t="n"/>
      <c r="D941" s="41" t="n"/>
      <c r="E941" s="41" t="n"/>
      <c r="F941" s="41" t="n"/>
      <c r="G941" s="41" t="n"/>
    </row>
    <row r="942" ht="15.75" customHeight="1" s="60">
      <c r="A942" s="41" t="n"/>
      <c r="B942" s="41" t="n"/>
      <c r="C942" s="41" t="n"/>
      <c r="D942" s="41" t="n"/>
      <c r="E942" s="41" t="n"/>
      <c r="F942" s="41" t="n"/>
      <c r="G942" s="41" t="n"/>
    </row>
    <row r="943" ht="15.75" customHeight="1" s="60">
      <c r="A943" s="41" t="n"/>
      <c r="B943" s="41" t="n"/>
      <c r="C943" s="41" t="n"/>
      <c r="D943" s="41" t="n"/>
      <c r="E943" s="41" t="n"/>
      <c r="F943" s="41" t="n"/>
      <c r="G943" s="41" t="n"/>
    </row>
    <row r="944" ht="15.75" customHeight="1" s="60">
      <c r="A944" s="41" t="n"/>
      <c r="B944" s="41" t="n"/>
      <c r="C944" s="41" t="n"/>
      <c r="D944" s="41" t="n"/>
      <c r="E944" s="41" t="n"/>
      <c r="F944" s="41" t="n"/>
      <c r="G944" s="41" t="n"/>
    </row>
    <row r="945" ht="15.75" customHeight="1" s="60">
      <c r="A945" s="41" t="n"/>
      <c r="B945" s="41" t="n"/>
      <c r="C945" s="41" t="n"/>
      <c r="D945" s="41" t="n"/>
      <c r="E945" s="41" t="n"/>
      <c r="F945" s="41" t="n"/>
      <c r="G945" s="41" t="n"/>
    </row>
    <row r="946" ht="15.75" customHeight="1" s="60">
      <c r="A946" s="41" t="n"/>
      <c r="B946" s="41" t="n"/>
      <c r="C946" s="41" t="n"/>
      <c r="D946" s="41" t="n"/>
      <c r="E946" s="41" t="n"/>
      <c r="F946" s="41" t="n"/>
      <c r="G946" s="41" t="n"/>
    </row>
    <row r="947" ht="15.75" customHeight="1" s="60">
      <c r="A947" s="41" t="n"/>
      <c r="B947" s="41" t="n"/>
      <c r="C947" s="41" t="n"/>
      <c r="D947" s="41" t="n"/>
      <c r="E947" s="41" t="n"/>
      <c r="F947" s="41" t="n"/>
      <c r="G947" s="41" t="n"/>
    </row>
    <row r="948" ht="15.75" customHeight="1" s="60">
      <c r="A948" s="41" t="n"/>
      <c r="B948" s="41" t="n"/>
      <c r="C948" s="41" t="n"/>
      <c r="D948" s="41" t="n"/>
      <c r="E948" s="41" t="n"/>
      <c r="F948" s="41" t="n"/>
      <c r="G948" s="41" t="n"/>
    </row>
    <row r="949" ht="15.75" customHeight="1" s="60">
      <c r="A949" s="41" t="n"/>
      <c r="B949" s="41" t="n"/>
      <c r="C949" s="41" t="n"/>
      <c r="D949" s="41" t="n"/>
      <c r="E949" s="41" t="n"/>
      <c r="F949" s="41" t="n"/>
      <c r="G949" s="41" t="n"/>
    </row>
    <row r="950" ht="15.75" customHeight="1" s="60">
      <c r="A950" s="41" t="n"/>
      <c r="B950" s="41" t="n"/>
      <c r="C950" s="41" t="n"/>
      <c r="D950" s="41" t="n"/>
      <c r="E950" s="41" t="n"/>
      <c r="F950" s="41" t="n"/>
      <c r="G950" s="41" t="n"/>
    </row>
    <row r="951" ht="15.75" customHeight="1" s="60">
      <c r="A951" s="41" t="n"/>
      <c r="B951" s="41" t="n"/>
      <c r="C951" s="41" t="n"/>
      <c r="D951" s="41" t="n"/>
      <c r="E951" s="41" t="n"/>
      <c r="F951" s="41" t="n"/>
      <c r="G951" s="41" t="n"/>
    </row>
    <row r="952" ht="15.75" customHeight="1" s="60">
      <c r="A952" s="41" t="n"/>
      <c r="B952" s="41" t="n"/>
      <c r="C952" s="41" t="n"/>
      <c r="D952" s="41" t="n"/>
      <c r="E952" s="41" t="n"/>
      <c r="F952" s="41" t="n"/>
      <c r="G952" s="41" t="n"/>
    </row>
    <row r="953" ht="15.75" customHeight="1" s="60">
      <c r="A953" s="41" t="n"/>
      <c r="B953" s="41" t="n"/>
      <c r="C953" s="41" t="n"/>
      <c r="D953" s="41" t="n"/>
      <c r="E953" s="41" t="n"/>
      <c r="F953" s="41" t="n"/>
      <c r="G953" s="41" t="n"/>
    </row>
    <row r="954" ht="15.75" customHeight="1" s="60">
      <c r="A954" s="41" t="n"/>
      <c r="B954" s="41" t="n"/>
      <c r="C954" s="41" t="n"/>
      <c r="D954" s="41" t="n"/>
      <c r="E954" s="41" t="n"/>
      <c r="F954" s="41" t="n"/>
      <c r="G954" s="41" t="n"/>
    </row>
    <row r="955" ht="15.75" customHeight="1" s="60">
      <c r="A955" s="41" t="n"/>
      <c r="B955" s="41" t="n"/>
      <c r="C955" s="41" t="n"/>
      <c r="D955" s="41" t="n"/>
      <c r="E955" s="41" t="n"/>
      <c r="F955" s="41" t="n"/>
      <c r="G955" s="41" t="n"/>
    </row>
    <row r="956" ht="15.75" customHeight="1" s="60">
      <c r="A956" s="41" t="n"/>
      <c r="B956" s="41" t="n"/>
      <c r="C956" s="41" t="n"/>
      <c r="D956" s="41" t="n"/>
      <c r="E956" s="41" t="n"/>
      <c r="F956" s="41" t="n"/>
      <c r="G956" s="41" t="n"/>
    </row>
    <row r="957" ht="15.75" customHeight="1" s="60">
      <c r="A957" s="41" t="n"/>
      <c r="B957" s="41" t="n"/>
      <c r="C957" s="41" t="n"/>
      <c r="D957" s="41" t="n"/>
      <c r="E957" s="41" t="n"/>
      <c r="F957" s="41" t="n"/>
      <c r="G957" s="41" t="n"/>
    </row>
    <row r="958" ht="15.75" customHeight="1" s="60">
      <c r="A958" s="41" t="n"/>
      <c r="B958" s="41" t="n"/>
      <c r="C958" s="41" t="n"/>
      <c r="D958" s="41" t="n"/>
      <c r="E958" s="41" t="n"/>
      <c r="F958" s="41" t="n"/>
      <c r="G958" s="41" t="n"/>
    </row>
    <row r="959" ht="15.75" customHeight="1" s="60">
      <c r="A959" s="41" t="n"/>
      <c r="B959" s="41" t="n"/>
      <c r="C959" s="41" t="n"/>
      <c r="D959" s="41" t="n"/>
      <c r="E959" s="41" t="n"/>
      <c r="F959" s="41" t="n"/>
      <c r="G959" s="41" t="n"/>
    </row>
    <row r="960" ht="15.75" customHeight="1" s="60">
      <c r="A960" s="41" t="n"/>
      <c r="B960" s="41" t="n"/>
      <c r="C960" s="41" t="n"/>
      <c r="D960" s="41" t="n"/>
      <c r="E960" s="41" t="n"/>
      <c r="F960" s="41" t="n"/>
      <c r="G960" s="41" t="n"/>
    </row>
    <row r="961" ht="15.75" customHeight="1" s="60">
      <c r="A961" s="41" t="n"/>
      <c r="B961" s="41" t="n"/>
      <c r="C961" s="41" t="n"/>
      <c r="D961" s="41" t="n"/>
      <c r="E961" s="41" t="n"/>
      <c r="F961" s="41" t="n"/>
      <c r="G961" s="41" t="n"/>
    </row>
    <row r="962" ht="15.75" customHeight="1" s="60">
      <c r="A962" s="41" t="n"/>
      <c r="B962" s="41" t="n"/>
      <c r="C962" s="41" t="n"/>
      <c r="D962" s="41" t="n"/>
      <c r="E962" s="41" t="n"/>
      <c r="F962" s="41" t="n"/>
      <c r="G962" s="41" t="n"/>
    </row>
    <row r="963" ht="15.75" customHeight="1" s="60">
      <c r="A963" s="41" t="n"/>
      <c r="B963" s="41" t="n"/>
      <c r="C963" s="41" t="n"/>
      <c r="D963" s="41" t="n"/>
      <c r="E963" s="41" t="n"/>
      <c r="F963" s="41" t="n"/>
      <c r="G963" s="41" t="n"/>
    </row>
    <row r="964" ht="15.75" customHeight="1" s="60">
      <c r="A964" s="41" t="n"/>
      <c r="B964" s="41" t="n"/>
      <c r="C964" s="41" t="n"/>
      <c r="D964" s="41" t="n"/>
      <c r="E964" s="41" t="n"/>
      <c r="F964" s="41" t="n"/>
      <c r="G964" s="41" t="n"/>
    </row>
    <row r="965" ht="15.75" customHeight="1" s="60">
      <c r="A965" s="41" t="n"/>
      <c r="B965" s="41" t="n"/>
      <c r="C965" s="41" t="n"/>
      <c r="D965" s="41" t="n"/>
      <c r="E965" s="41" t="n"/>
      <c r="F965" s="41" t="n"/>
      <c r="G965" s="41" t="n"/>
    </row>
    <row r="966" ht="15.75" customHeight="1" s="60">
      <c r="A966" s="41" t="n"/>
      <c r="B966" s="41" t="n"/>
      <c r="C966" s="41" t="n"/>
      <c r="D966" s="41" t="n"/>
      <c r="E966" s="41" t="n"/>
      <c r="F966" s="41" t="n"/>
      <c r="G966" s="41" t="n"/>
    </row>
    <row r="967" ht="15.75" customHeight="1" s="60">
      <c r="A967" s="41" t="n"/>
      <c r="B967" s="41" t="n"/>
      <c r="C967" s="41" t="n"/>
      <c r="D967" s="41" t="n"/>
      <c r="E967" s="41" t="n"/>
      <c r="F967" s="41" t="n"/>
      <c r="G967" s="41" t="n"/>
    </row>
    <row r="968" ht="15.75" customHeight="1" s="60">
      <c r="A968" s="41" t="n"/>
      <c r="B968" s="41" t="n"/>
      <c r="C968" s="41" t="n"/>
      <c r="D968" s="41" t="n"/>
      <c r="E968" s="41" t="n"/>
      <c r="F968" s="41" t="n"/>
      <c r="G968" s="41" t="n"/>
    </row>
    <row r="969" ht="15.75" customHeight="1" s="60">
      <c r="A969" s="41" t="n"/>
      <c r="B969" s="41" t="n"/>
      <c r="C969" s="41" t="n"/>
      <c r="D969" s="41" t="n"/>
      <c r="E969" s="41" t="n"/>
      <c r="F969" s="41" t="n"/>
      <c r="G969" s="41" t="n"/>
    </row>
    <row r="970" ht="15.75" customHeight="1" s="60">
      <c r="A970" s="41" t="n"/>
      <c r="B970" s="41" t="n"/>
      <c r="C970" s="41" t="n"/>
      <c r="D970" s="41" t="n"/>
      <c r="E970" s="41" t="n"/>
      <c r="F970" s="41" t="n"/>
      <c r="G970" s="41" t="n"/>
    </row>
    <row r="971" ht="15.75" customHeight="1" s="60">
      <c r="A971" s="41" t="n"/>
      <c r="B971" s="41" t="n"/>
      <c r="C971" s="41" t="n"/>
      <c r="D971" s="41" t="n"/>
      <c r="E971" s="41" t="n"/>
      <c r="F971" s="41" t="n"/>
      <c r="G971" s="41" t="n"/>
    </row>
    <row r="972" ht="15.75" customHeight="1" s="60">
      <c r="A972" s="41" t="n"/>
      <c r="B972" s="41" t="n"/>
      <c r="C972" s="41" t="n"/>
      <c r="D972" s="41" t="n"/>
      <c r="E972" s="41" t="n"/>
      <c r="F972" s="41" t="n"/>
      <c r="G972" s="41" t="n"/>
    </row>
    <row r="973" ht="15.75" customHeight="1" s="60">
      <c r="A973" s="41" t="n"/>
      <c r="B973" s="41" t="n"/>
      <c r="C973" s="41" t="n"/>
      <c r="D973" s="41" t="n"/>
      <c r="E973" s="41" t="n"/>
      <c r="F973" s="41" t="n"/>
      <c r="G973" s="41" t="n"/>
    </row>
    <row r="974" ht="15.75" customHeight="1" s="60">
      <c r="A974" s="41" t="n"/>
      <c r="B974" s="41" t="n"/>
      <c r="C974" s="41" t="n"/>
      <c r="D974" s="41" t="n"/>
      <c r="E974" s="41" t="n"/>
      <c r="F974" s="41" t="n"/>
      <c r="G974" s="41" t="n"/>
    </row>
    <row r="975" ht="15.75" customHeight="1" s="60">
      <c r="A975" s="41" t="n"/>
      <c r="B975" s="41" t="n"/>
      <c r="C975" s="41" t="n"/>
      <c r="D975" s="41" t="n"/>
      <c r="E975" s="41" t="n"/>
      <c r="F975" s="41" t="n"/>
      <c r="G975" s="41" t="n"/>
    </row>
    <row r="976" ht="15.75" customHeight="1" s="60">
      <c r="A976" s="41" t="n"/>
      <c r="B976" s="41" t="n"/>
      <c r="C976" s="41" t="n"/>
      <c r="D976" s="41" t="n"/>
      <c r="E976" s="41" t="n"/>
      <c r="F976" s="41" t="n"/>
      <c r="G976" s="41" t="n"/>
    </row>
    <row r="977" ht="15.75" customHeight="1" s="60">
      <c r="A977" s="41" t="n"/>
      <c r="B977" s="41" t="n"/>
      <c r="C977" s="41" t="n"/>
      <c r="D977" s="41" t="n"/>
      <c r="E977" s="41" t="n"/>
      <c r="F977" s="41" t="n"/>
      <c r="G977" s="41" t="n"/>
    </row>
    <row r="978" ht="15.75" customHeight="1" s="60">
      <c r="A978" s="41" t="n"/>
      <c r="B978" s="41" t="n"/>
      <c r="C978" s="41" t="n"/>
      <c r="D978" s="41" t="n"/>
      <c r="E978" s="41" t="n"/>
      <c r="F978" s="41" t="n"/>
      <c r="G978" s="41" t="n"/>
    </row>
    <row r="979" ht="15.75" customHeight="1" s="60">
      <c r="A979" s="41" t="n"/>
      <c r="B979" s="41" t="n"/>
      <c r="C979" s="41" t="n"/>
      <c r="D979" s="41" t="n"/>
      <c r="E979" s="41" t="n"/>
      <c r="F979" s="41" t="n"/>
      <c r="G979" s="41" t="n"/>
    </row>
    <row r="980" ht="15.75" customHeight="1" s="60">
      <c r="A980" s="41" t="n"/>
      <c r="B980" s="41" t="n"/>
      <c r="C980" s="41" t="n"/>
      <c r="D980" s="41" t="n"/>
      <c r="E980" s="41" t="n"/>
      <c r="F980" s="41" t="n"/>
      <c r="G980" s="41" t="n"/>
    </row>
    <row r="981" ht="15.75" customHeight="1" s="60">
      <c r="A981" s="41" t="n"/>
      <c r="B981" s="41" t="n"/>
      <c r="C981" s="41" t="n"/>
      <c r="D981" s="41" t="n"/>
      <c r="E981" s="41" t="n"/>
      <c r="F981" s="41" t="n"/>
      <c r="G981" s="41" t="n"/>
    </row>
    <row r="982" ht="15.75" customHeight="1" s="60">
      <c r="A982" s="41" t="n"/>
      <c r="B982" s="41" t="n"/>
      <c r="C982" s="41" t="n"/>
      <c r="D982" s="41" t="n"/>
      <c r="E982" s="41" t="n"/>
      <c r="F982" s="41" t="n"/>
      <c r="G982" s="41" t="n"/>
    </row>
    <row r="983" ht="15.75" customHeight="1" s="60">
      <c r="A983" s="41" t="n"/>
      <c r="B983" s="41" t="n"/>
      <c r="C983" s="41" t="n"/>
      <c r="D983" s="41" t="n"/>
      <c r="E983" s="41" t="n"/>
      <c r="F983" s="41" t="n"/>
      <c r="G983" s="41" t="n"/>
    </row>
    <row r="984" ht="15.75" customHeight="1" s="60">
      <c r="A984" s="41" t="n"/>
      <c r="B984" s="41" t="n"/>
      <c r="C984" s="41" t="n"/>
      <c r="D984" s="41" t="n"/>
      <c r="E984" s="41" t="n"/>
      <c r="F984" s="41" t="n"/>
      <c r="G984" s="41" t="n"/>
    </row>
    <row r="985" ht="15.75" customHeight="1" s="60">
      <c r="A985" s="41" t="n"/>
      <c r="B985" s="41" t="n"/>
      <c r="C985" s="41" t="n"/>
      <c r="D985" s="41" t="n"/>
      <c r="E985" s="41" t="n"/>
      <c r="F985" s="41" t="n"/>
      <c r="G985" s="41" t="n"/>
    </row>
    <row r="986" ht="15.75" customHeight="1" s="60">
      <c r="A986" s="41" t="n"/>
      <c r="B986" s="41" t="n"/>
      <c r="C986" s="41" t="n"/>
      <c r="D986" s="41" t="n"/>
      <c r="E986" s="41" t="n"/>
      <c r="F986" s="41" t="n"/>
      <c r="G986" s="41" t="n"/>
    </row>
    <row r="987" ht="15.75" customHeight="1" s="60">
      <c r="A987" s="41" t="n"/>
      <c r="B987" s="41" t="n"/>
      <c r="C987" s="41" t="n"/>
      <c r="D987" s="41" t="n"/>
      <c r="E987" s="41" t="n"/>
      <c r="F987" s="41" t="n"/>
      <c r="G987" s="41" t="n"/>
    </row>
    <row r="988" ht="15.75" customHeight="1" s="60">
      <c r="A988" s="41" t="n"/>
      <c r="B988" s="41" t="n"/>
      <c r="C988" s="41" t="n"/>
      <c r="D988" s="41" t="n"/>
      <c r="E988" s="41" t="n"/>
      <c r="F988" s="41" t="n"/>
      <c r="G988" s="41" t="n"/>
    </row>
    <row r="989" ht="15.75" customHeight="1" s="60">
      <c r="A989" s="41" t="n"/>
      <c r="B989" s="41" t="n"/>
      <c r="C989" s="41" t="n"/>
      <c r="D989" s="41" t="n"/>
      <c r="E989" s="41" t="n"/>
      <c r="F989" s="41" t="n"/>
      <c r="G989" s="41" t="n"/>
    </row>
    <row r="990" ht="15.75" customHeight="1" s="60">
      <c r="A990" s="41" t="n"/>
      <c r="B990" s="41" t="n"/>
      <c r="C990" s="41" t="n"/>
      <c r="D990" s="41" t="n"/>
      <c r="E990" s="41" t="n"/>
      <c r="F990" s="41" t="n"/>
      <c r="G990" s="41" t="n"/>
    </row>
    <row r="991" ht="15.75" customHeight="1" s="60">
      <c r="A991" s="41" t="n"/>
      <c r="B991" s="41" t="n"/>
      <c r="C991" s="41" t="n"/>
      <c r="D991" s="41" t="n"/>
      <c r="E991" s="41" t="n"/>
      <c r="F991" s="41" t="n"/>
      <c r="G991" s="41" t="n"/>
    </row>
    <row r="992" ht="15.75" customHeight="1" s="60">
      <c r="A992" s="41" t="n"/>
      <c r="B992" s="41" t="n"/>
      <c r="C992" s="41" t="n"/>
      <c r="D992" s="41" t="n"/>
      <c r="E992" s="41" t="n"/>
      <c r="F992" s="41" t="n"/>
      <c r="G992" s="41" t="n"/>
    </row>
    <row r="993" ht="15.75" customHeight="1" s="60">
      <c r="A993" s="41" t="n"/>
      <c r="B993" s="41" t="n"/>
      <c r="C993" s="41" t="n"/>
      <c r="D993" s="41" t="n"/>
      <c r="E993" s="41" t="n"/>
      <c r="F993" s="41" t="n"/>
      <c r="G993" s="41" t="n"/>
    </row>
    <row r="994" ht="15.75" customHeight="1" s="60">
      <c r="A994" s="41" t="n"/>
      <c r="B994" s="41" t="n"/>
      <c r="C994" s="41" t="n"/>
      <c r="D994" s="41" t="n"/>
      <c r="E994" s="41" t="n"/>
      <c r="F994" s="41" t="n"/>
      <c r="G994" s="41" t="n"/>
    </row>
    <row r="995" ht="15.75" customHeight="1" s="60">
      <c r="A995" s="41" t="n"/>
      <c r="B995" s="41" t="n"/>
      <c r="C995" s="41" t="n"/>
      <c r="D995" s="41" t="n"/>
      <c r="E995" s="41" t="n"/>
      <c r="F995" s="41" t="n"/>
      <c r="G995" s="41" t="n"/>
    </row>
    <row r="996" ht="15.75" customHeight="1" s="60">
      <c r="A996" s="41" t="n"/>
      <c r="B996" s="41" t="n"/>
      <c r="C996" s="41" t="n"/>
      <c r="D996" s="41" t="n"/>
      <c r="E996" s="41" t="n"/>
      <c r="F996" s="41" t="n"/>
      <c r="G996" s="41" t="n"/>
    </row>
    <row r="997" ht="15.75" customHeight="1" s="60">
      <c r="A997" s="41" t="n"/>
      <c r="B997" s="41" t="n"/>
      <c r="C997" s="41" t="n"/>
      <c r="D997" s="41" t="n"/>
      <c r="E997" s="41" t="n"/>
      <c r="F997" s="41" t="n"/>
      <c r="G997" s="41" t="n"/>
    </row>
    <row r="998" ht="15.75" customHeight="1" s="60">
      <c r="A998" s="41" t="n"/>
      <c r="B998" s="41" t="n"/>
      <c r="C998" s="41" t="n"/>
      <c r="D998" s="41" t="n"/>
      <c r="E998" s="41" t="n"/>
      <c r="F998" s="41" t="n"/>
      <c r="G998" s="41" t="n"/>
    </row>
    <row r="999" ht="15.75" customHeight="1" s="60">
      <c r="A999" s="41" t="n"/>
      <c r="B999" s="41" t="n"/>
      <c r="C999" s="41" t="n"/>
      <c r="D999" s="41" t="n"/>
      <c r="E999" s="41" t="n"/>
      <c r="F999" s="41" t="n"/>
      <c r="G999" s="41" t="n"/>
    </row>
    <row r="1000" ht="15.75" customHeight="1" s="60">
      <c r="A1000" s="41" t="n"/>
      <c r="B1000" s="41" t="n"/>
      <c r="C1000" s="41" t="n"/>
      <c r="D1000" s="41" t="n"/>
      <c r="E1000" s="41" t="n"/>
      <c r="F1000" s="41" t="n"/>
      <c r="G1000" s="41" t="n"/>
    </row>
  </sheetData>
  <dataValidations count="2">
    <dataValidation sqref="F5:F1000" showDropDown="0" showInputMessage="0" showErrorMessage="0" allowBlank="1" type="list">
      <formula1>"Draf,Disahkan"</formula1>
    </dataValidation>
    <dataValidation sqref="E5:E1000" showDropDown="0" showInputMessage="0" showErrorMessage="0" allowBlank="1" type="list">
      <formula1>"Tunai,Bank,Online"</formula1>
    </dataValidation>
  </dataValidation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G100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60" min="1" max="1"/>
    <col width="14" customWidth="1" style="60" min="2" max="2"/>
    <col width="12" customWidth="1" style="60" min="3" max="3"/>
    <col width="16" customWidth="1" style="60" min="4" max="5"/>
    <col width="34" customWidth="1" style="60" min="6" max="6"/>
    <col width="20" customWidth="1" style="60" min="7" max="7"/>
    <col width="8.710000000000001" customWidth="1" style="60" min="8" max="26"/>
  </cols>
  <sheetData>
    <row r="1" ht="17.25" customHeight="1" s="60">
      <c r="A1" s="1" t="inlineStr">
        <is>
          <t>BARIS TRANSAKSI (LEDGER LINES)</t>
        </is>
      </c>
      <c r="B1" s="41" t="n"/>
      <c r="C1" s="41" t="n"/>
      <c r="D1" s="41" t="n"/>
      <c r="E1" s="41" t="n"/>
      <c r="F1" s="41" t="n"/>
      <c r="G1" s="41" t="n"/>
    </row>
    <row r="2" ht="15" customHeight="1" s="60">
      <c r="A2" s="5" t="inlineStr">
        <is>
          <t>Setiap transaksi ada 2+ baris. Jumlah Debit mesti sama dengan Jumlah Kredit bagi SETIAP ID Transaksi.</t>
        </is>
      </c>
      <c r="B2" s="41" t="n"/>
      <c r="C2" s="41" t="n"/>
      <c r="D2" s="41" t="n"/>
      <c r="E2" s="41" t="n"/>
      <c r="F2" s="41" t="n"/>
      <c r="G2" s="41" t="n"/>
    </row>
    <row r="3">
      <c r="A3" s="41" t="n"/>
      <c r="B3" s="41" t="n"/>
      <c r="C3" s="41" t="n"/>
      <c r="D3" s="41" t="n"/>
      <c r="E3" s="41" t="n"/>
      <c r="F3" s="41" t="n"/>
      <c r="G3" s="41" t="n"/>
    </row>
    <row r="4" ht="27.75" customHeight="1" s="60">
      <c r="A4" s="7" t="inlineStr">
        <is>
          <t>ID Baris</t>
        </is>
      </c>
      <c r="B4" s="7" t="inlineStr">
        <is>
          <t>ID Transaksi</t>
        </is>
      </c>
      <c r="C4" s="7" t="inlineStr">
        <is>
          <t>Kod Akaun</t>
        </is>
      </c>
      <c r="D4" s="7" t="inlineStr">
        <is>
          <t>Debit</t>
        </is>
      </c>
      <c r="E4" s="7" t="inlineStr">
        <is>
          <t>Kredit</t>
        </is>
      </c>
      <c r="F4" s="7" t="inlineStr">
        <is>
          <t>Memo</t>
        </is>
      </c>
      <c r="G4" s="7" t="inlineStr">
        <is>
          <t>Kumpulan Aliran Tunai (auto)</t>
        </is>
      </c>
    </row>
    <row r="5" ht="15" customHeight="1" s="60">
      <c r="A5" s="38" t="inlineStr">
        <is>
          <t>L-001</t>
        </is>
      </c>
      <c r="B5" s="38" t="inlineStr">
        <is>
          <t>CONTOH-0000</t>
        </is>
      </c>
      <c r="C5" s="38" t="n">
        <v>1010</v>
      </c>
      <c r="D5" s="40" t="n">
        <v>5000</v>
      </c>
      <c r="E5" s="40" t="n">
        <v>0</v>
      </c>
      <c r="F5" s="38" t="inlineStr">
        <is>
          <t>Baki awal tunai</t>
        </is>
      </c>
      <c r="G5" s="19">
        <f t="array" ref="G5">IF(C5="","",INDEX(Akaun!$F$5:$F$150,MATCH(C5,Akaun!$A$5:$A$150,0)))</f>
        <v/>
      </c>
    </row>
    <row r="6" ht="15" customHeight="1" s="60">
      <c r="A6" s="38" t="inlineStr">
        <is>
          <t>L-002</t>
        </is>
      </c>
      <c r="B6" s="38" t="inlineStr">
        <is>
          <t>CONTOH-0000</t>
        </is>
      </c>
      <c r="C6" s="38" t="n">
        <v>1020</v>
      </c>
      <c r="D6" s="40" t="n">
        <v>50000</v>
      </c>
      <c r="E6" s="40" t="n">
        <v>0</v>
      </c>
      <c r="F6" s="38" t="inlineStr">
        <is>
          <t>Baki awal bank</t>
        </is>
      </c>
      <c r="G6" s="19">
        <f t="array" ref="G6">IF(C6="","",INDEX(Akaun!$F$5:$F$150,MATCH(C6,Akaun!$A$5:$A$150,0)))</f>
        <v/>
      </c>
    </row>
    <row r="7" ht="15" customHeight="1" s="60">
      <c r="A7" s="38" t="inlineStr">
        <is>
          <t>L-003</t>
        </is>
      </c>
      <c r="B7" s="38" t="inlineStr">
        <is>
          <t>CONTOH-0000</t>
        </is>
      </c>
      <c r="C7" s="38" t="n">
        <v>1030</v>
      </c>
      <c r="D7" s="40" t="n">
        <v>20000</v>
      </c>
      <c r="E7" s="40" t="n">
        <v>0</v>
      </c>
      <c r="F7" s="38" t="inlineStr">
        <is>
          <t>Baki awal deposit tetap</t>
        </is>
      </c>
      <c r="G7" s="19">
        <f t="array" ref="G7">IF(C7="","",INDEX(Akaun!$F$5:$F$150,MATCH(C7,Akaun!$A$5:$A$150,0)))</f>
        <v/>
      </c>
    </row>
    <row r="8" ht="15" customHeight="1" s="60">
      <c r="A8" s="38" t="inlineStr">
        <is>
          <t>L-004</t>
        </is>
      </c>
      <c r="B8" s="38" t="inlineStr">
        <is>
          <t>CONTOH-0000</t>
        </is>
      </c>
      <c r="C8" s="38" t="n">
        <v>3010</v>
      </c>
      <c r="D8" s="40" t="n">
        <v>0</v>
      </c>
      <c r="E8" s="40" t="n">
        <v>60000</v>
      </c>
      <c r="F8" s="38" t="inlineStr">
        <is>
          <t>Baki awal modal syer</t>
        </is>
      </c>
      <c r="G8" s="19">
        <f t="array" ref="G8">IF(C8="","",INDEX(Akaun!$F$5:$F$150,MATCH(C8,Akaun!$A$5:$A$150,0)))</f>
        <v/>
      </c>
    </row>
    <row r="9" ht="15" customHeight="1" s="60">
      <c r="A9" s="38" t="inlineStr">
        <is>
          <t>L-005</t>
        </is>
      </c>
      <c r="B9" s="38" t="inlineStr">
        <is>
          <t>CONTOH-0000</t>
        </is>
      </c>
      <c r="C9" s="38" t="n">
        <v>3020</v>
      </c>
      <c r="D9" s="40" t="n">
        <v>0</v>
      </c>
      <c r="E9" s="40" t="n">
        <v>15000</v>
      </c>
      <c r="F9" s="38" t="inlineStr">
        <is>
          <t>Baki awal rizab statutori</t>
        </is>
      </c>
      <c r="G9" s="19">
        <f t="array" ref="G9">IF(C9="","",INDEX(Akaun!$F$5:$F$150,MATCH(C9,Akaun!$A$5:$A$150,0)))</f>
        <v/>
      </c>
    </row>
    <row r="10" ht="15" customHeight="1" s="60">
      <c r="A10" s="38" t="inlineStr">
        <is>
          <t>L-006</t>
        </is>
      </c>
      <c r="B10" s="38" t="inlineStr">
        <is>
          <t>CONTOH-0001</t>
        </is>
      </c>
      <c r="C10" s="38" t="n">
        <v>1010</v>
      </c>
      <c r="D10" s="40" t="n">
        <v>1200</v>
      </c>
      <c r="E10" s="40" t="n">
        <v>0</v>
      </c>
      <c r="F10" s="38" t="inlineStr">
        <is>
          <t>Terima fi masuk ahli baharu</t>
        </is>
      </c>
      <c r="G10" s="19">
        <f t="array" ref="G10">IF(C10="","",INDEX(Akaun!$F$5:$F$150,MATCH(C10,Akaun!$A$5:$A$150,0)))</f>
        <v/>
      </c>
    </row>
    <row r="11" ht="15" customHeight="1" s="60">
      <c r="A11" s="38" t="inlineStr">
        <is>
          <t>L-007</t>
        </is>
      </c>
      <c r="B11" s="38" t="inlineStr">
        <is>
          <t>CONTOH-0001</t>
        </is>
      </c>
      <c r="C11" s="38" t="n">
        <v>4010</v>
      </c>
      <c r="D11" s="40" t="n">
        <v>0</v>
      </c>
      <c r="E11" s="40" t="n">
        <v>1200</v>
      </c>
      <c r="F11" s="38" t="inlineStr">
        <is>
          <t>Fi masuk ahli baharu</t>
        </is>
      </c>
      <c r="G11" s="19">
        <f t="array" ref="G11">IF(C11="","",INDEX(Akaun!$F$5:$F$150,MATCH(C11,Akaun!$A$5:$A$150,0)))</f>
        <v/>
      </c>
    </row>
    <row r="12" ht="15" customHeight="1" s="60">
      <c r="A12" s="38" t="inlineStr">
        <is>
          <t>L-008</t>
        </is>
      </c>
      <c r="B12" s="38" t="inlineStr">
        <is>
          <t>CONTOH-0002</t>
        </is>
      </c>
      <c r="C12" s="38" t="n">
        <v>5010</v>
      </c>
      <c r="D12" s="40" t="n">
        <v>800</v>
      </c>
      <c r="E12" s="40" t="n">
        <v>0</v>
      </c>
      <c r="F12" s="38" t="inlineStr">
        <is>
          <t>Sewa pejabat Januari</t>
        </is>
      </c>
      <c r="G12" s="19">
        <f t="array" ref="G12">IF(C12="","",INDEX(Akaun!$F$5:$F$150,MATCH(C12,Akaun!$A$5:$A$150,0)))</f>
        <v/>
      </c>
    </row>
    <row r="13" ht="15" customHeight="1" s="60">
      <c r="A13" s="38" t="inlineStr">
        <is>
          <t>L-009</t>
        </is>
      </c>
      <c r="B13" s="38" t="inlineStr">
        <is>
          <t>CONTOH-0002</t>
        </is>
      </c>
      <c r="C13" s="38" t="n">
        <v>1020</v>
      </c>
      <c r="D13" s="40" t="n">
        <v>0</v>
      </c>
      <c r="E13" s="40" t="n">
        <v>800</v>
      </c>
      <c r="F13" s="38" t="inlineStr">
        <is>
          <t>Bayar melalui bank</t>
        </is>
      </c>
      <c r="G13" s="19">
        <f t="array" ref="G13">IF(C13="","",INDEX(Akaun!$F$5:$F$150,MATCH(C13,Akaun!$A$5:$A$150,0)))</f>
        <v/>
      </c>
    </row>
    <row r="14" ht="15" customHeight="1" s="60">
      <c r="A14" s="38" t="inlineStr">
        <is>
          <t>L-010</t>
        </is>
      </c>
      <c r="B14" s="38" t="inlineStr">
        <is>
          <t>CONTOH-0003</t>
        </is>
      </c>
      <c r="C14" s="38" t="n">
        <v>1020</v>
      </c>
      <c r="D14" s="40" t="n">
        <v>300</v>
      </c>
      <c r="E14" s="40" t="n">
        <v>0</v>
      </c>
      <c r="F14" s="38" t="inlineStr">
        <is>
          <t>Terima faedah</t>
        </is>
      </c>
      <c r="G14" s="19">
        <f t="array" ref="G14">IF(C14="","",INDEX(Akaun!$F$5:$F$150,MATCH(C14,Akaun!$A$5:$A$150,0)))</f>
        <v/>
      </c>
    </row>
    <row r="15" ht="15" customHeight="1" s="60">
      <c r="A15" s="38" t="inlineStr">
        <is>
          <t>L-011</t>
        </is>
      </c>
      <c r="B15" s="38" t="inlineStr">
        <is>
          <t>CONTOH-0003</t>
        </is>
      </c>
      <c r="C15" s="38" t="n">
        <v>4020</v>
      </c>
      <c r="D15" s="40" t="n">
        <v>0</v>
      </c>
      <c r="E15" s="40" t="n">
        <v>300</v>
      </c>
      <c r="F15" s="38" t="inlineStr">
        <is>
          <t>Faedah/Hibah bank atas baki deposit</t>
        </is>
      </c>
      <c r="G15" s="19">
        <f t="array" ref="G15">IF(C15="","",INDEX(Akaun!$F$5:$F$150,MATCH(C15,Akaun!$A$5:$A$150,0)))</f>
        <v/>
      </c>
    </row>
    <row r="16" ht="15" customHeight="1" s="60">
      <c r="A16" s="38" t="inlineStr">
        <is>
          <t>L-012</t>
        </is>
      </c>
      <c r="B16" s="38" t="inlineStr">
        <is>
          <t>CONTOH-0004</t>
        </is>
      </c>
      <c r="C16" s="38" t="n">
        <v>1020</v>
      </c>
      <c r="D16" s="40" t="n">
        <v>2000</v>
      </c>
      <c r="E16" s="40" t="n">
        <v>0</v>
      </c>
      <c r="F16" s="38" t="inlineStr">
        <is>
          <t>Kontra dari tunai</t>
        </is>
      </c>
      <c r="G16" s="19">
        <f t="array" ref="G16">IF(C16="","",INDEX(Akaun!$F$5:$F$150,MATCH(C16,Akaun!$A$5:$A$150,0)))</f>
        <v/>
      </c>
    </row>
    <row r="17" ht="15" customHeight="1" s="60">
      <c r="A17" s="38" t="inlineStr">
        <is>
          <t>L-013</t>
        </is>
      </c>
      <c r="B17" s="38" t="inlineStr">
        <is>
          <t>CONTOH-0004</t>
        </is>
      </c>
      <c r="C17" s="38" t="n">
        <v>1010</v>
      </c>
      <c r="D17" s="40" t="n">
        <v>0</v>
      </c>
      <c r="E17" s="40" t="n">
        <v>2000</v>
      </c>
      <c r="F17" s="38" t="inlineStr">
        <is>
          <t>Kontra ke bank</t>
        </is>
      </c>
      <c r="G17" s="19">
        <f t="array" ref="G17">IF(C17="","",INDEX(Akaun!$F$5:$F$150,MATCH(C17,Akaun!$A$5:$A$150,0)))</f>
        <v/>
      </c>
    </row>
    <row r="18" ht="15" customHeight="1" s="60">
      <c r="A18" s="41" t="inlineStr">
        <is>
          <t>L-014</t>
        </is>
      </c>
      <c r="B18" s="41" t="inlineStr">
        <is>
          <t>T-0000</t>
        </is>
      </c>
      <c r="C18" s="41" t="n">
        <v>1010</v>
      </c>
      <c r="D18" s="41" t="n">
        <v>300</v>
      </c>
      <c r="E18" s="41" t="n">
        <v>0</v>
      </c>
      <c r="F18" s="41" t="inlineStr">
        <is>
          <t>dfds</t>
        </is>
      </c>
      <c r="G18" s="41">
        <f t="array" ref="G18">IF(C18="","",INDEX(Akaun!$F$5:$F$150,MATCH(C18,Akaun!$A$5:$A$150,0)))</f>
        <v/>
      </c>
    </row>
    <row r="19" ht="15" customHeight="1" s="60">
      <c r="A19" s="41" t="inlineStr">
        <is>
          <t>L-015</t>
        </is>
      </c>
      <c r="B19" s="41" t="inlineStr">
        <is>
          <t>T-0000</t>
        </is>
      </c>
      <c r="C19" s="41" t="n">
        <v>1020</v>
      </c>
      <c r="D19" s="41" t="n">
        <v>0</v>
      </c>
      <c r="E19" s="41" t="n">
        <v>300</v>
      </c>
      <c r="F19" s="41" t="inlineStr">
        <is>
          <t>dfds</t>
        </is>
      </c>
      <c r="G19" s="41">
        <f t="array" ref="G19">IF(C19="","",INDEX(Akaun!$F$5:$F$150,MATCH(C19,Akaun!$A$5:$A$150,0)))</f>
        <v/>
      </c>
    </row>
    <row r="20" ht="15" customHeight="1" s="60">
      <c r="A20" s="41" t="inlineStr">
        <is>
          <t>L-016</t>
        </is>
      </c>
      <c r="B20" s="41" t="inlineStr">
        <is>
          <t>T-0001</t>
        </is>
      </c>
      <c r="C20" s="41" t="n">
        <v>1080</v>
      </c>
      <c r="D20" s="41" t="n">
        <v>34543</v>
      </c>
      <c r="E20" s="41" t="n">
        <v>0</v>
      </c>
      <c r="F20" s="41" t="n">
        <v>43</v>
      </c>
      <c r="G20" s="41">
        <f t="array" ref="G20">IF(C20="","",INDEX(Akaun!$F$5:$F$150,MATCH(C20,Akaun!$A$5:$A$150,0)))</f>
        <v/>
      </c>
    </row>
    <row r="21" ht="15" customHeight="1" s="60">
      <c r="A21" s="41" t="inlineStr">
        <is>
          <t>L-017</t>
        </is>
      </c>
      <c r="B21" s="41" t="inlineStr">
        <is>
          <t>T-0001</t>
        </is>
      </c>
      <c r="C21" s="41" t="n">
        <v>1010</v>
      </c>
      <c r="D21" s="41" t="n">
        <v>0</v>
      </c>
      <c r="E21" s="41" t="n">
        <v>34543</v>
      </c>
      <c r="F21" s="41" t="n">
        <v>43</v>
      </c>
      <c r="G21" s="41">
        <f t="array" ref="G21">IF(C21="","",INDEX(Akaun!$F$5:$F$150,MATCH(C21,Akaun!$A$5:$A$150,0)))</f>
        <v/>
      </c>
    </row>
    <row r="22" ht="15" customHeight="1" s="60">
      <c r="A22" s="41" t="n"/>
      <c r="B22" s="41" t="n"/>
      <c r="C22" s="41" t="n"/>
      <c r="D22" s="41" t="n"/>
      <c r="E22" s="41" t="n"/>
      <c r="F22" s="41" t="n"/>
      <c r="G22" s="41">
        <f t="array" ref="G22">IF(C22="","",INDEX(Akaun!$F$5:$F$150,MATCH(C22,Akaun!$A$5:$A$150,0)))</f>
        <v/>
      </c>
    </row>
    <row r="23" ht="15" customHeight="1" s="60">
      <c r="A23" s="41" t="n"/>
      <c r="B23" s="41" t="n"/>
      <c r="C23" s="41" t="n"/>
      <c r="D23" s="41" t="n"/>
      <c r="E23" s="41" t="n"/>
      <c r="F23" s="41" t="n"/>
      <c r="G23" s="41">
        <f t="array" ref="G23">IF(C23="","",INDEX(Akaun!$F$5:$F$150,MATCH(C23,Akaun!$A$5:$A$150,0)))</f>
        <v/>
      </c>
    </row>
    <row r="24" ht="15" customHeight="1" s="60">
      <c r="A24" s="41" t="n"/>
      <c r="B24" s="41" t="n"/>
      <c r="C24" s="41" t="n"/>
      <c r="D24" s="41" t="n"/>
      <c r="E24" s="41" t="n"/>
      <c r="F24" s="41" t="n"/>
      <c r="G24" s="41">
        <f t="array" ref="G24">IF(C24="","",INDEX(Akaun!$F$5:$F$150,MATCH(C24,Akaun!$A$5:$A$150,0)))</f>
        <v/>
      </c>
    </row>
    <row r="25" ht="15" customHeight="1" s="60">
      <c r="A25" s="41" t="n"/>
      <c r="B25" s="41" t="n"/>
      <c r="C25" s="41" t="n"/>
      <c r="D25" s="41" t="n"/>
      <c r="E25" s="41" t="n"/>
      <c r="F25" s="41" t="n"/>
      <c r="G25" s="41">
        <f t="array" ref="G25">IF(C25="","",INDEX(Akaun!$F$5:$F$150,MATCH(C25,Akaun!$A$5:$A$150,0)))</f>
        <v/>
      </c>
    </row>
    <row r="26" ht="15" customHeight="1" s="60">
      <c r="A26" s="41" t="n"/>
      <c r="B26" s="41" t="n"/>
      <c r="C26" s="41" t="n"/>
      <c r="D26" s="41" t="n"/>
      <c r="E26" s="41" t="n"/>
      <c r="F26" s="41" t="n"/>
      <c r="G26" s="41">
        <f t="array" ref="G26">IF(C26="","",INDEX(Akaun!$F$5:$F$150,MATCH(C26,Akaun!$A$5:$A$150,0)))</f>
        <v/>
      </c>
    </row>
    <row r="27" ht="15" customHeight="1" s="60">
      <c r="A27" s="41" t="n"/>
      <c r="B27" s="41" t="n"/>
      <c r="C27" s="41" t="n"/>
      <c r="D27" s="41" t="n"/>
      <c r="E27" s="41" t="n"/>
      <c r="F27" s="41" t="n"/>
      <c r="G27" s="41">
        <f t="array" ref="G27">IF(C27="","",INDEX(Akaun!$F$5:$F$150,MATCH(C27,Akaun!$A$5:$A$150,0)))</f>
        <v/>
      </c>
    </row>
    <row r="28" ht="15" customHeight="1" s="60">
      <c r="A28" s="41" t="n"/>
      <c r="B28" s="41" t="n"/>
      <c r="C28" s="41" t="n"/>
      <c r="D28" s="41" t="n"/>
      <c r="E28" s="41" t="n"/>
      <c r="F28" s="41" t="n"/>
      <c r="G28" s="41">
        <f t="array" ref="G28">IF(C28="","",INDEX(Akaun!$F$5:$F$150,MATCH(C28,Akaun!$A$5:$A$150,0)))</f>
        <v/>
      </c>
    </row>
    <row r="29" ht="15" customHeight="1" s="60">
      <c r="A29" s="41" t="n"/>
      <c r="B29" s="41" t="n"/>
      <c r="C29" s="41" t="n"/>
      <c r="D29" s="41" t="n"/>
      <c r="E29" s="41" t="n"/>
      <c r="F29" s="41" t="n"/>
      <c r="G29" s="41">
        <f t="array" ref="G29">IF(C29="","",INDEX(Akaun!$F$5:$F$150,MATCH(C29,Akaun!$A$5:$A$150,0)))</f>
        <v/>
      </c>
    </row>
    <row r="30" ht="15" customHeight="1" s="60">
      <c r="A30" s="41" t="n"/>
      <c r="B30" s="41" t="n"/>
      <c r="C30" s="41" t="n"/>
      <c r="D30" s="41" t="n"/>
      <c r="E30" s="41" t="n"/>
      <c r="F30" s="41" t="n"/>
      <c r="G30" s="41">
        <f t="array" ref="G30">IF(C30="","",INDEX(Akaun!$F$5:$F$150,MATCH(C30,Akaun!$A$5:$A$150,0)))</f>
        <v/>
      </c>
    </row>
    <row r="31" ht="15" customHeight="1" s="60">
      <c r="A31" s="41" t="n"/>
      <c r="B31" s="41" t="n"/>
      <c r="C31" s="41" t="n"/>
      <c r="D31" s="41" t="n"/>
      <c r="E31" s="41" t="n"/>
      <c r="F31" s="41" t="n"/>
      <c r="G31" s="41">
        <f t="array" ref="G31">IF(C31="","",INDEX(Akaun!$F$5:$F$150,MATCH(C31,Akaun!$A$5:$A$150,0)))</f>
        <v/>
      </c>
    </row>
    <row r="32" ht="15" customHeight="1" s="60">
      <c r="A32" s="41" t="n"/>
      <c r="B32" s="41" t="n"/>
      <c r="C32" s="41" t="n"/>
      <c r="D32" s="41" t="n"/>
      <c r="E32" s="41" t="n"/>
      <c r="F32" s="41" t="n"/>
      <c r="G32" s="41">
        <f t="array" ref="G32">IF(C32="","",INDEX(Akaun!$F$5:$F$150,MATCH(C32,Akaun!$A$5:$A$150,0)))</f>
        <v/>
      </c>
    </row>
    <row r="33" ht="15" customHeight="1" s="60">
      <c r="A33" s="41" t="n"/>
      <c r="B33" s="41" t="n"/>
      <c r="C33" s="41" t="n"/>
      <c r="D33" s="41" t="n"/>
      <c r="E33" s="41" t="n"/>
      <c r="F33" s="41" t="n"/>
      <c r="G33" s="41">
        <f t="array" ref="G33">IF(C33="","",INDEX(Akaun!$F$5:$F$150,MATCH(C33,Akaun!$A$5:$A$150,0)))</f>
        <v/>
      </c>
    </row>
    <row r="34" ht="15" customHeight="1" s="60">
      <c r="A34" s="41" t="n"/>
      <c r="B34" s="41" t="n"/>
      <c r="C34" s="41" t="n"/>
      <c r="D34" s="41" t="n"/>
      <c r="E34" s="41" t="n"/>
      <c r="F34" s="41" t="n"/>
      <c r="G34" s="41">
        <f t="array" ref="G34">IF(C34="","",INDEX(Akaun!$F$5:$F$150,MATCH(C34,Akaun!$A$5:$A$150,0)))</f>
        <v/>
      </c>
    </row>
    <row r="35" ht="15" customHeight="1" s="60">
      <c r="A35" s="41" t="n"/>
      <c r="B35" s="41" t="n"/>
      <c r="C35" s="41" t="n"/>
      <c r="D35" s="41" t="n"/>
      <c r="E35" s="41" t="n"/>
      <c r="F35" s="41" t="n"/>
      <c r="G35" s="41">
        <f t="array" ref="G35">IF(C35="","",INDEX(Akaun!$F$5:$F$150,MATCH(C35,Akaun!$A$5:$A$150,0)))</f>
        <v/>
      </c>
    </row>
    <row r="36" ht="15" customHeight="1" s="60">
      <c r="A36" s="41" t="n"/>
      <c r="B36" s="41" t="n"/>
      <c r="C36" s="41" t="n"/>
      <c r="D36" s="41" t="n"/>
      <c r="E36" s="41" t="n"/>
      <c r="F36" s="41" t="n"/>
      <c r="G36" s="41">
        <f t="array" ref="G36">IF(C36="","",INDEX(Akaun!$F$5:$F$150,MATCH(C36,Akaun!$A$5:$A$150,0)))</f>
        <v/>
      </c>
    </row>
    <row r="37" ht="15" customHeight="1" s="60">
      <c r="A37" s="41" t="n"/>
      <c r="B37" s="41" t="n"/>
      <c r="C37" s="41" t="n"/>
      <c r="D37" s="41" t="n"/>
      <c r="E37" s="41" t="n"/>
      <c r="F37" s="41" t="n"/>
      <c r="G37" s="41">
        <f t="array" ref="G37">IF(C37="","",INDEX(Akaun!$F$5:$F$150,MATCH(C37,Akaun!$A$5:$A$150,0)))</f>
        <v/>
      </c>
    </row>
    <row r="38" ht="15" customHeight="1" s="60">
      <c r="A38" s="41" t="n"/>
      <c r="B38" s="41" t="n"/>
      <c r="C38" s="41" t="n"/>
      <c r="D38" s="41" t="n"/>
      <c r="E38" s="41" t="n"/>
      <c r="F38" s="41" t="n"/>
      <c r="G38" s="41">
        <f t="array" ref="G38">IF(C38="","",INDEX(Akaun!$F$5:$F$150,MATCH(C38,Akaun!$A$5:$A$150,0)))</f>
        <v/>
      </c>
    </row>
    <row r="39" ht="15" customHeight="1" s="60">
      <c r="A39" s="41" t="n"/>
      <c r="B39" s="41" t="n"/>
      <c r="C39" s="41" t="n"/>
      <c r="D39" s="41" t="n"/>
      <c r="E39" s="41" t="n"/>
      <c r="F39" s="41" t="n"/>
      <c r="G39" s="41">
        <f t="array" ref="G39">IF(C39="","",INDEX(Akaun!$F$5:$F$150,MATCH(C39,Akaun!$A$5:$A$150,0)))</f>
        <v/>
      </c>
    </row>
    <row r="40" ht="15" customHeight="1" s="60">
      <c r="A40" s="41" t="n"/>
      <c r="B40" s="41" t="n"/>
      <c r="C40" s="41" t="n"/>
      <c r="D40" s="41" t="n"/>
      <c r="E40" s="41" t="n"/>
      <c r="F40" s="41" t="n"/>
      <c r="G40" s="41">
        <f t="array" ref="G40">IF(C40="","",INDEX(Akaun!$F$5:$F$150,MATCH(C40,Akaun!$A$5:$A$150,0)))</f>
        <v/>
      </c>
    </row>
    <row r="41" ht="15" customHeight="1" s="60">
      <c r="A41" s="41" t="n"/>
      <c r="B41" s="41" t="n"/>
      <c r="C41" s="41" t="n"/>
      <c r="D41" s="41" t="n"/>
      <c r="E41" s="41" t="n"/>
      <c r="F41" s="41" t="n"/>
      <c r="G41" s="41">
        <f t="array" ref="G41">IF(C41="","",INDEX(Akaun!$F$5:$F$150,MATCH(C41,Akaun!$A$5:$A$150,0)))</f>
        <v/>
      </c>
    </row>
    <row r="42" ht="15" customHeight="1" s="60">
      <c r="A42" s="41" t="n"/>
      <c r="B42" s="41" t="n"/>
      <c r="C42" s="41" t="n"/>
      <c r="D42" s="41" t="n"/>
      <c r="E42" s="41" t="n"/>
      <c r="F42" s="41" t="n"/>
      <c r="G42" s="41">
        <f t="array" ref="G42">IF(C42="","",INDEX(Akaun!$F$5:$F$150,MATCH(C42,Akaun!$A$5:$A$150,0)))</f>
        <v/>
      </c>
    </row>
    <row r="43" ht="15" customHeight="1" s="60">
      <c r="A43" s="41" t="n"/>
      <c r="B43" s="41" t="n"/>
      <c r="C43" s="41" t="n"/>
      <c r="D43" s="41" t="n"/>
      <c r="E43" s="41" t="n"/>
      <c r="F43" s="41" t="n"/>
      <c r="G43" s="41">
        <f t="array" ref="G43">IF(C43="","",INDEX(Akaun!$F$5:$F$150,MATCH(C43,Akaun!$A$5:$A$150,0)))</f>
        <v/>
      </c>
    </row>
    <row r="44" ht="15" customHeight="1" s="60">
      <c r="A44" s="41" t="n"/>
      <c r="B44" s="41" t="n"/>
      <c r="C44" s="41" t="n"/>
      <c r="D44" s="41" t="n"/>
      <c r="E44" s="41" t="n"/>
      <c r="F44" s="41" t="n"/>
      <c r="G44" s="41">
        <f t="array" ref="G44">IF(C44="","",INDEX(Akaun!$F$5:$F$150,MATCH(C44,Akaun!$A$5:$A$150,0)))</f>
        <v/>
      </c>
    </row>
    <row r="45" ht="15" customHeight="1" s="60">
      <c r="A45" s="41" t="n"/>
      <c r="B45" s="41" t="n"/>
      <c r="C45" s="41" t="n"/>
      <c r="D45" s="41" t="n"/>
      <c r="E45" s="41" t="n"/>
      <c r="F45" s="41" t="n"/>
      <c r="G45" s="41">
        <f t="array" ref="G45">IF(C45="","",INDEX(Akaun!$F$5:$F$150,MATCH(C45,Akaun!$A$5:$A$150,0)))</f>
        <v/>
      </c>
    </row>
    <row r="46" ht="15" customHeight="1" s="60">
      <c r="A46" s="41" t="n"/>
      <c r="B46" s="41" t="n"/>
      <c r="C46" s="41" t="n"/>
      <c r="D46" s="41" t="n"/>
      <c r="E46" s="41" t="n"/>
      <c r="F46" s="41" t="n"/>
      <c r="G46" s="41">
        <f t="array" ref="G46">IF(C46="","",INDEX(Akaun!$F$5:$F$150,MATCH(C46,Akaun!$A$5:$A$150,0)))</f>
        <v/>
      </c>
    </row>
    <row r="47" ht="15" customHeight="1" s="60">
      <c r="A47" s="41" t="n"/>
      <c r="B47" s="41" t="n"/>
      <c r="C47" s="41" t="n"/>
      <c r="D47" s="41" t="n"/>
      <c r="E47" s="41" t="n"/>
      <c r="F47" s="41" t="n"/>
      <c r="G47" s="41">
        <f t="array" ref="G47">IF(C47="","",INDEX(Akaun!$F$5:$F$150,MATCH(C47,Akaun!$A$5:$A$150,0)))</f>
        <v/>
      </c>
    </row>
    <row r="48" ht="15" customHeight="1" s="60">
      <c r="A48" s="41" t="n"/>
      <c r="B48" s="41" t="n"/>
      <c r="C48" s="41" t="n"/>
      <c r="D48" s="41" t="n"/>
      <c r="E48" s="41" t="n"/>
      <c r="F48" s="41" t="n"/>
      <c r="G48" s="41">
        <f t="array" ref="G48">IF(C48="","",INDEX(Akaun!$F$5:$F$150,MATCH(C48,Akaun!$A$5:$A$150,0)))</f>
        <v/>
      </c>
    </row>
    <row r="49" ht="15" customHeight="1" s="60">
      <c r="A49" s="41" t="n"/>
      <c r="B49" s="41" t="n"/>
      <c r="C49" s="41" t="n"/>
      <c r="D49" s="41" t="n"/>
      <c r="E49" s="41" t="n"/>
      <c r="F49" s="41" t="n"/>
      <c r="G49" s="41">
        <f t="array" ref="G49">IF(C49="","",INDEX(Akaun!$F$5:$F$150,MATCH(C49,Akaun!$A$5:$A$150,0)))</f>
        <v/>
      </c>
    </row>
    <row r="50" ht="15" customHeight="1" s="60">
      <c r="A50" s="41" t="n"/>
      <c r="B50" s="41" t="n"/>
      <c r="C50" s="41" t="n"/>
      <c r="D50" s="41" t="n"/>
      <c r="E50" s="41" t="n"/>
      <c r="F50" s="41" t="n"/>
      <c r="G50" s="41">
        <f t="array" ref="G50">IF(C50="","",INDEX(Akaun!$F$5:$F$150,MATCH(C50,Akaun!$A$5:$A$150,0)))</f>
        <v/>
      </c>
    </row>
    <row r="51" ht="15" customHeight="1" s="60">
      <c r="A51" s="41" t="n"/>
      <c r="B51" s="41" t="n"/>
      <c r="C51" s="41" t="n"/>
      <c r="D51" s="41" t="n"/>
      <c r="E51" s="41" t="n"/>
      <c r="F51" s="41" t="n"/>
      <c r="G51" s="41">
        <f t="array" ref="G51">IF(C51="","",INDEX(Akaun!$F$5:$F$150,MATCH(C51,Akaun!$A$5:$A$150,0)))</f>
        <v/>
      </c>
    </row>
    <row r="52" ht="15" customHeight="1" s="60">
      <c r="A52" s="41" t="n"/>
      <c r="B52" s="41" t="n"/>
      <c r="C52" s="41" t="n"/>
      <c r="D52" s="41" t="n"/>
      <c r="E52" s="41" t="n"/>
      <c r="F52" s="41" t="n"/>
      <c r="G52" s="41">
        <f t="array" ref="G52">IF(C52="","",INDEX(Akaun!$F$5:$F$150,MATCH(C52,Akaun!$A$5:$A$150,0)))</f>
        <v/>
      </c>
    </row>
    <row r="53" ht="15" customHeight="1" s="60">
      <c r="A53" s="41" t="n"/>
      <c r="B53" s="41" t="n"/>
      <c r="C53" s="41" t="n"/>
      <c r="D53" s="41" t="n"/>
      <c r="E53" s="41" t="n"/>
      <c r="F53" s="41" t="n"/>
      <c r="G53" s="41">
        <f t="array" ref="G53">IF(C53="","",INDEX(Akaun!$F$5:$F$150,MATCH(C53,Akaun!$A$5:$A$150,0)))</f>
        <v/>
      </c>
    </row>
    <row r="54" ht="15" customHeight="1" s="60">
      <c r="A54" s="41" t="n"/>
      <c r="B54" s="41" t="n"/>
      <c r="C54" s="41" t="n"/>
      <c r="D54" s="41" t="n"/>
      <c r="E54" s="41" t="n"/>
      <c r="F54" s="41" t="n"/>
      <c r="G54" s="41">
        <f t="array" ref="G54">IF(C54="","",INDEX(Akaun!$F$5:$F$150,MATCH(C54,Akaun!$A$5:$A$150,0)))</f>
        <v/>
      </c>
    </row>
    <row r="55" ht="15" customHeight="1" s="60">
      <c r="A55" s="41" t="n"/>
      <c r="B55" s="41" t="n"/>
      <c r="C55" s="41" t="n"/>
      <c r="D55" s="41" t="n"/>
      <c r="E55" s="41" t="n"/>
      <c r="F55" s="41" t="n"/>
      <c r="G55" s="41">
        <f t="array" ref="G55">IF(C55="","",INDEX(Akaun!$F$5:$F$150,MATCH(C55,Akaun!$A$5:$A$150,0)))</f>
        <v/>
      </c>
    </row>
    <row r="56" ht="15" customHeight="1" s="60">
      <c r="A56" s="41" t="n"/>
      <c r="B56" s="41" t="n"/>
      <c r="C56" s="41" t="n"/>
      <c r="D56" s="41" t="n"/>
      <c r="E56" s="41" t="n"/>
      <c r="F56" s="41" t="n"/>
      <c r="G56" s="41">
        <f t="array" ref="G56">IF(C56="","",INDEX(Akaun!$F$5:$F$150,MATCH(C56,Akaun!$A$5:$A$150,0)))</f>
        <v/>
      </c>
    </row>
    <row r="57" ht="15" customHeight="1" s="60">
      <c r="A57" s="41" t="n"/>
      <c r="B57" s="41" t="n"/>
      <c r="C57" s="41" t="n"/>
      <c r="D57" s="41" t="n"/>
      <c r="E57" s="41" t="n"/>
      <c r="F57" s="41" t="n"/>
      <c r="G57" s="41">
        <f t="array" ref="G57">IF(C57="","",INDEX(Akaun!$F$5:$F$150,MATCH(C57,Akaun!$A$5:$A$150,0)))</f>
        <v/>
      </c>
    </row>
    <row r="58" ht="15" customHeight="1" s="60">
      <c r="A58" s="41" t="n"/>
      <c r="B58" s="41" t="n"/>
      <c r="C58" s="41" t="n"/>
      <c r="D58" s="41" t="n"/>
      <c r="E58" s="41" t="n"/>
      <c r="F58" s="41" t="n"/>
      <c r="G58" s="41">
        <f t="array" ref="G58">IF(C58="","",INDEX(Akaun!$F$5:$F$150,MATCH(C58,Akaun!$A$5:$A$150,0)))</f>
        <v/>
      </c>
    </row>
    <row r="59" ht="15" customHeight="1" s="60">
      <c r="A59" s="41" t="n"/>
      <c r="B59" s="41" t="n"/>
      <c r="C59" s="41" t="n"/>
      <c r="D59" s="41" t="n"/>
      <c r="E59" s="41" t="n"/>
      <c r="F59" s="41" t="n"/>
      <c r="G59" s="41">
        <f t="array" ref="G59">IF(C59="","",INDEX(Akaun!$F$5:$F$150,MATCH(C59,Akaun!$A$5:$A$150,0)))</f>
        <v/>
      </c>
    </row>
    <row r="60" ht="15" customHeight="1" s="60">
      <c r="A60" s="41" t="n"/>
      <c r="B60" s="41" t="n"/>
      <c r="C60" s="41" t="n"/>
      <c r="D60" s="41" t="n"/>
      <c r="E60" s="41" t="n"/>
      <c r="F60" s="41" t="n"/>
      <c r="G60" s="41">
        <f t="array" ref="G60">IF(C60="","",INDEX(Akaun!$F$5:$F$150,MATCH(C60,Akaun!$A$5:$A$150,0)))</f>
        <v/>
      </c>
    </row>
    <row r="61" ht="15" customHeight="1" s="60">
      <c r="A61" s="41" t="n"/>
      <c r="B61" s="41" t="n"/>
      <c r="C61" s="41" t="n"/>
      <c r="D61" s="41" t="n"/>
      <c r="E61" s="41" t="n"/>
      <c r="F61" s="41" t="n"/>
      <c r="G61" s="41">
        <f t="array" ref="G61">IF(C61="","",INDEX(Akaun!$F$5:$F$150,MATCH(C61,Akaun!$A$5:$A$150,0)))</f>
        <v/>
      </c>
    </row>
    <row r="62" ht="15" customHeight="1" s="60">
      <c r="A62" s="41" t="n"/>
      <c r="B62" s="41" t="n"/>
      <c r="C62" s="41" t="n"/>
      <c r="D62" s="41" t="n"/>
      <c r="E62" s="41" t="n"/>
      <c r="F62" s="41" t="n"/>
      <c r="G62" s="41">
        <f t="array" ref="G62">IF(C62="","",INDEX(Akaun!$F$5:$F$150,MATCH(C62,Akaun!$A$5:$A$150,0)))</f>
        <v/>
      </c>
    </row>
    <row r="63" ht="15" customHeight="1" s="60">
      <c r="A63" s="41" t="n"/>
      <c r="B63" s="41" t="n"/>
      <c r="C63" s="41" t="n"/>
      <c r="D63" s="41" t="n"/>
      <c r="E63" s="41" t="n"/>
      <c r="F63" s="41" t="n"/>
      <c r="G63" s="41">
        <f t="array" ref="G63">IF(C63="","",INDEX(Akaun!$F$5:$F$150,MATCH(C63,Akaun!$A$5:$A$150,0)))</f>
        <v/>
      </c>
    </row>
    <row r="64" ht="15" customHeight="1" s="60">
      <c r="A64" s="41" t="n"/>
      <c r="B64" s="41" t="n"/>
      <c r="C64" s="41" t="n"/>
      <c r="D64" s="41" t="n"/>
      <c r="E64" s="41" t="n"/>
      <c r="F64" s="41" t="n"/>
      <c r="G64" s="41">
        <f t="array" ref="G64">IF(C64="","",INDEX(Akaun!$F$5:$F$150,MATCH(C64,Akaun!$A$5:$A$150,0)))</f>
        <v/>
      </c>
    </row>
    <row r="65" ht="15" customHeight="1" s="60">
      <c r="A65" s="41" t="n"/>
      <c r="B65" s="41" t="n"/>
      <c r="C65" s="41" t="n"/>
      <c r="D65" s="41" t="n"/>
      <c r="E65" s="41" t="n"/>
      <c r="F65" s="41" t="n"/>
      <c r="G65" s="41">
        <f t="array" ref="G65">IF(C65="","",INDEX(Akaun!$F$5:$F$150,MATCH(C65,Akaun!$A$5:$A$150,0)))</f>
        <v/>
      </c>
    </row>
    <row r="66" ht="15" customHeight="1" s="60">
      <c r="A66" s="41" t="n"/>
      <c r="B66" s="41" t="n"/>
      <c r="C66" s="41" t="n"/>
      <c r="D66" s="41" t="n"/>
      <c r="E66" s="41" t="n"/>
      <c r="F66" s="41" t="n"/>
      <c r="G66" s="41">
        <f t="array" ref="G66">IF(C66="","",INDEX(Akaun!$F$5:$F$150,MATCH(C66,Akaun!$A$5:$A$150,0)))</f>
        <v/>
      </c>
    </row>
    <row r="67" ht="15" customHeight="1" s="60">
      <c r="A67" s="41" t="n"/>
      <c r="B67" s="41" t="n"/>
      <c r="C67" s="41" t="n"/>
      <c r="D67" s="41" t="n"/>
      <c r="E67" s="41" t="n"/>
      <c r="F67" s="41" t="n"/>
      <c r="G67" s="41">
        <f t="array" ref="G67">IF(C67="","",INDEX(Akaun!$F$5:$F$150,MATCH(C67,Akaun!$A$5:$A$150,0)))</f>
        <v/>
      </c>
    </row>
    <row r="68" ht="15" customHeight="1" s="60">
      <c r="A68" s="41" t="n"/>
      <c r="B68" s="41" t="n"/>
      <c r="C68" s="41" t="n"/>
      <c r="D68" s="41" t="n"/>
      <c r="E68" s="41" t="n"/>
      <c r="F68" s="41" t="n"/>
      <c r="G68" s="41">
        <f t="array" ref="G68">IF(C68="","",INDEX(Akaun!$F$5:$F$150,MATCH(C68,Akaun!$A$5:$A$150,0)))</f>
        <v/>
      </c>
    </row>
    <row r="69" ht="15" customHeight="1" s="60">
      <c r="A69" s="41" t="n"/>
      <c r="B69" s="41" t="n"/>
      <c r="C69" s="41" t="n"/>
      <c r="D69" s="41" t="n"/>
      <c r="E69" s="41" t="n"/>
      <c r="F69" s="41" t="n"/>
      <c r="G69" s="41">
        <f t="array" ref="G69">IF(C69="","",INDEX(Akaun!$F$5:$F$150,MATCH(C69,Akaun!$A$5:$A$150,0)))</f>
        <v/>
      </c>
    </row>
    <row r="70" ht="15" customHeight="1" s="60">
      <c r="A70" s="41" t="n"/>
      <c r="B70" s="41" t="n"/>
      <c r="C70" s="41" t="n"/>
      <c r="D70" s="41" t="n"/>
      <c r="E70" s="41" t="n"/>
      <c r="F70" s="41" t="n"/>
      <c r="G70" s="41">
        <f t="array" ref="G70">IF(C70="","",INDEX(Akaun!$F$5:$F$150,MATCH(C70,Akaun!$A$5:$A$150,0)))</f>
        <v/>
      </c>
    </row>
    <row r="71" ht="15" customHeight="1" s="60">
      <c r="A71" s="41" t="n"/>
      <c r="B71" s="41" t="n"/>
      <c r="C71" s="41" t="n"/>
      <c r="D71" s="41" t="n"/>
      <c r="E71" s="41" t="n"/>
      <c r="F71" s="41" t="n"/>
      <c r="G71" s="41">
        <f t="array" ref="G71">IF(C71="","",INDEX(Akaun!$F$5:$F$150,MATCH(C71,Akaun!$A$5:$A$150,0)))</f>
        <v/>
      </c>
    </row>
    <row r="72" ht="15" customHeight="1" s="60">
      <c r="A72" s="41" t="n"/>
      <c r="B72" s="41" t="n"/>
      <c r="C72" s="41" t="n"/>
      <c r="D72" s="41" t="n"/>
      <c r="E72" s="41" t="n"/>
      <c r="F72" s="41" t="n"/>
      <c r="G72" s="41">
        <f t="array" ref="G72">IF(C72="","",INDEX(Akaun!$F$5:$F$150,MATCH(C72,Akaun!$A$5:$A$150,0)))</f>
        <v/>
      </c>
    </row>
    <row r="73" ht="15" customHeight="1" s="60">
      <c r="A73" s="41" t="n"/>
      <c r="B73" s="41" t="n"/>
      <c r="C73" s="41" t="n"/>
      <c r="D73" s="41" t="n"/>
      <c r="E73" s="41" t="n"/>
      <c r="F73" s="41" t="n"/>
      <c r="G73" s="41">
        <f t="array" ref="G73">IF(C73="","",INDEX(Akaun!$F$5:$F$150,MATCH(C73,Akaun!$A$5:$A$150,0)))</f>
        <v/>
      </c>
    </row>
    <row r="74" ht="15" customHeight="1" s="60">
      <c r="A74" s="41" t="n"/>
      <c r="B74" s="41" t="n"/>
      <c r="C74" s="41" t="n"/>
      <c r="D74" s="41" t="n"/>
      <c r="E74" s="41" t="n"/>
      <c r="F74" s="41" t="n"/>
      <c r="G74" s="41">
        <f t="array" ref="G74">IF(C74="","",INDEX(Akaun!$F$5:$F$150,MATCH(C74,Akaun!$A$5:$A$150,0)))</f>
        <v/>
      </c>
    </row>
    <row r="75" ht="15" customHeight="1" s="60">
      <c r="A75" s="41" t="n"/>
      <c r="B75" s="41" t="n"/>
      <c r="C75" s="41" t="n"/>
      <c r="D75" s="41" t="n"/>
      <c r="E75" s="41" t="n"/>
      <c r="F75" s="41" t="n"/>
      <c r="G75" s="41">
        <f t="array" ref="G75">IF(C75="","",INDEX(Akaun!$F$5:$F$150,MATCH(C75,Akaun!$A$5:$A$150,0)))</f>
        <v/>
      </c>
    </row>
    <row r="76" ht="15" customHeight="1" s="60">
      <c r="A76" s="41" t="n"/>
      <c r="B76" s="41" t="n"/>
      <c r="C76" s="41" t="n"/>
      <c r="D76" s="41" t="n"/>
      <c r="E76" s="41" t="n"/>
      <c r="F76" s="41" t="n"/>
      <c r="G76" s="41">
        <f t="array" ref="G76">IF(C76="","",INDEX(Akaun!$F$5:$F$150,MATCH(C76,Akaun!$A$5:$A$150,0)))</f>
        <v/>
      </c>
    </row>
    <row r="77" ht="15" customHeight="1" s="60">
      <c r="A77" s="41" t="n"/>
      <c r="B77" s="41" t="n"/>
      <c r="C77" s="41" t="n"/>
      <c r="D77" s="41" t="n"/>
      <c r="E77" s="41" t="n"/>
      <c r="F77" s="41" t="n"/>
      <c r="G77" s="41">
        <f t="array" ref="G77">IF(C77="","",INDEX(Akaun!$F$5:$F$150,MATCH(C77,Akaun!$A$5:$A$150,0)))</f>
        <v/>
      </c>
    </row>
    <row r="78" ht="15" customHeight="1" s="60">
      <c r="A78" s="41" t="n"/>
      <c r="B78" s="41" t="n"/>
      <c r="C78" s="41" t="n"/>
      <c r="D78" s="41" t="n"/>
      <c r="E78" s="41" t="n"/>
      <c r="F78" s="41" t="n"/>
      <c r="G78" s="41">
        <f t="array" ref="G78">IF(C78="","",INDEX(Akaun!$F$5:$F$150,MATCH(C78,Akaun!$A$5:$A$150,0)))</f>
        <v/>
      </c>
    </row>
    <row r="79" ht="15" customHeight="1" s="60">
      <c r="A79" s="41" t="n"/>
      <c r="B79" s="41" t="n"/>
      <c r="C79" s="41" t="n"/>
      <c r="D79" s="41" t="n"/>
      <c r="E79" s="41" t="n"/>
      <c r="F79" s="41" t="n"/>
      <c r="G79" s="41">
        <f t="array" ref="G79">IF(C79="","",INDEX(Akaun!$F$5:$F$150,MATCH(C79,Akaun!$A$5:$A$150,0)))</f>
        <v/>
      </c>
    </row>
    <row r="80" ht="15" customHeight="1" s="60">
      <c r="A80" s="41" t="n"/>
      <c r="B80" s="41" t="n"/>
      <c r="C80" s="41" t="n"/>
      <c r="D80" s="41" t="n"/>
      <c r="E80" s="41" t="n"/>
      <c r="F80" s="41" t="n"/>
      <c r="G80" s="41">
        <f t="array" ref="G80">IF(C80="","",INDEX(Akaun!$F$5:$F$150,MATCH(C80,Akaun!$A$5:$A$150,0)))</f>
        <v/>
      </c>
    </row>
    <row r="81" ht="15" customHeight="1" s="60">
      <c r="A81" s="41" t="n"/>
      <c r="B81" s="41" t="n"/>
      <c r="C81" s="41" t="n"/>
      <c r="D81" s="41" t="n"/>
      <c r="E81" s="41" t="n"/>
      <c r="F81" s="41" t="n"/>
      <c r="G81" s="41">
        <f t="array" ref="G81">IF(C81="","",INDEX(Akaun!$F$5:$F$150,MATCH(C81,Akaun!$A$5:$A$150,0)))</f>
        <v/>
      </c>
    </row>
    <row r="82" ht="15" customHeight="1" s="60">
      <c r="A82" s="41" t="n"/>
      <c r="B82" s="41" t="n"/>
      <c r="C82" s="41" t="n"/>
      <c r="D82" s="41" t="n"/>
      <c r="E82" s="41" t="n"/>
      <c r="F82" s="41" t="n"/>
      <c r="G82" s="41">
        <f t="array" ref="G82">IF(C82="","",INDEX(Akaun!$F$5:$F$150,MATCH(C82,Akaun!$A$5:$A$150,0)))</f>
        <v/>
      </c>
    </row>
    <row r="83" ht="15" customHeight="1" s="60">
      <c r="A83" s="41" t="n"/>
      <c r="B83" s="41" t="n"/>
      <c r="C83" s="41" t="n"/>
      <c r="D83" s="41" t="n"/>
      <c r="E83" s="41" t="n"/>
      <c r="F83" s="41" t="n"/>
      <c r="G83" s="41">
        <f t="array" ref="G83">IF(C83="","",INDEX(Akaun!$F$5:$F$150,MATCH(C83,Akaun!$A$5:$A$150,0)))</f>
        <v/>
      </c>
    </row>
    <row r="84" ht="15" customHeight="1" s="60">
      <c r="A84" s="41" t="n"/>
      <c r="B84" s="41" t="n"/>
      <c r="C84" s="41" t="n"/>
      <c r="D84" s="41" t="n"/>
      <c r="E84" s="41" t="n"/>
      <c r="F84" s="41" t="n"/>
      <c r="G84" s="41">
        <f t="array" ref="G84">IF(C84="","",INDEX(Akaun!$F$5:$F$150,MATCH(C84,Akaun!$A$5:$A$150,0)))</f>
        <v/>
      </c>
    </row>
    <row r="85" ht="15" customHeight="1" s="60">
      <c r="A85" s="41" t="n"/>
      <c r="B85" s="41" t="n"/>
      <c r="C85" s="41" t="n"/>
      <c r="D85" s="41" t="n"/>
      <c r="E85" s="41" t="n"/>
      <c r="F85" s="41" t="n"/>
      <c r="G85" s="41">
        <f t="array" ref="G85">IF(C85="","",INDEX(Akaun!$F$5:$F$150,MATCH(C85,Akaun!$A$5:$A$150,0)))</f>
        <v/>
      </c>
    </row>
    <row r="86" ht="15" customHeight="1" s="60">
      <c r="A86" s="41" t="n"/>
      <c r="B86" s="41" t="n"/>
      <c r="C86" s="41" t="n"/>
      <c r="D86" s="41" t="n"/>
      <c r="E86" s="41" t="n"/>
      <c r="F86" s="41" t="n"/>
      <c r="G86" s="41">
        <f t="array" ref="G86">IF(C86="","",INDEX(Akaun!$F$5:$F$150,MATCH(C86,Akaun!$A$5:$A$150,0)))</f>
        <v/>
      </c>
    </row>
    <row r="87" ht="15" customHeight="1" s="60">
      <c r="A87" s="41" t="n"/>
      <c r="B87" s="41" t="n"/>
      <c r="C87" s="41" t="n"/>
      <c r="D87" s="41" t="n"/>
      <c r="E87" s="41" t="n"/>
      <c r="F87" s="41" t="n"/>
      <c r="G87" s="41">
        <f t="array" ref="G87">IF(C87="","",INDEX(Akaun!$F$5:$F$150,MATCH(C87,Akaun!$A$5:$A$150,0)))</f>
        <v/>
      </c>
    </row>
    <row r="88" ht="15" customHeight="1" s="60">
      <c r="A88" s="41" t="n"/>
      <c r="B88" s="41" t="n"/>
      <c r="C88" s="41" t="n"/>
      <c r="D88" s="41" t="n"/>
      <c r="E88" s="41" t="n"/>
      <c r="F88" s="41" t="n"/>
      <c r="G88" s="41">
        <f t="array" ref="G88">IF(C88="","",INDEX(Akaun!$F$5:$F$150,MATCH(C88,Akaun!$A$5:$A$150,0)))</f>
        <v/>
      </c>
    </row>
    <row r="89" ht="15" customHeight="1" s="60">
      <c r="A89" s="41" t="n"/>
      <c r="B89" s="41" t="n"/>
      <c r="C89" s="41" t="n"/>
      <c r="D89" s="41" t="n"/>
      <c r="E89" s="41" t="n"/>
      <c r="F89" s="41" t="n"/>
      <c r="G89" s="41">
        <f t="array" ref="G89">IF(C89="","",INDEX(Akaun!$F$5:$F$150,MATCH(C89,Akaun!$A$5:$A$150,0)))</f>
        <v/>
      </c>
    </row>
    <row r="90" ht="15" customHeight="1" s="60">
      <c r="A90" s="41" t="n"/>
      <c r="B90" s="41" t="n"/>
      <c r="C90" s="41" t="n"/>
      <c r="D90" s="41" t="n"/>
      <c r="E90" s="41" t="n"/>
      <c r="F90" s="41" t="n"/>
      <c r="G90" s="41">
        <f t="array" ref="G90">IF(C90="","",INDEX(Akaun!$F$5:$F$150,MATCH(C90,Akaun!$A$5:$A$150,0)))</f>
        <v/>
      </c>
    </row>
    <row r="91" ht="15" customHeight="1" s="60">
      <c r="A91" s="41" t="n"/>
      <c r="B91" s="41" t="n"/>
      <c r="C91" s="41" t="n"/>
      <c r="D91" s="41" t="n"/>
      <c r="E91" s="41" t="n"/>
      <c r="F91" s="41" t="n"/>
      <c r="G91" s="41">
        <f t="array" ref="G91">IF(C91="","",INDEX(Akaun!$F$5:$F$150,MATCH(C91,Akaun!$A$5:$A$150,0)))</f>
        <v/>
      </c>
    </row>
    <row r="92" ht="15" customHeight="1" s="60">
      <c r="A92" s="41" t="n"/>
      <c r="B92" s="41" t="n"/>
      <c r="C92" s="41" t="n"/>
      <c r="D92" s="41" t="n"/>
      <c r="E92" s="41" t="n"/>
      <c r="F92" s="41" t="n"/>
      <c r="G92" s="41">
        <f t="array" ref="G92">IF(C92="","",INDEX(Akaun!$F$5:$F$150,MATCH(C92,Akaun!$A$5:$A$150,0)))</f>
        <v/>
      </c>
    </row>
    <row r="93" ht="15" customHeight="1" s="60">
      <c r="A93" s="41" t="n"/>
      <c r="B93" s="41" t="n"/>
      <c r="C93" s="41" t="n"/>
      <c r="D93" s="41" t="n"/>
      <c r="E93" s="41" t="n"/>
      <c r="F93" s="41" t="n"/>
      <c r="G93" s="41">
        <f t="array" ref="G93">IF(C93="","",INDEX(Akaun!$F$5:$F$150,MATCH(C93,Akaun!$A$5:$A$150,0)))</f>
        <v/>
      </c>
    </row>
    <row r="94" ht="15" customHeight="1" s="60">
      <c r="A94" s="41" t="n"/>
      <c r="B94" s="41" t="n"/>
      <c r="C94" s="41" t="n"/>
      <c r="D94" s="41" t="n"/>
      <c r="E94" s="41" t="n"/>
      <c r="F94" s="41" t="n"/>
      <c r="G94" s="41">
        <f t="array" ref="G94">IF(C94="","",INDEX(Akaun!$F$5:$F$150,MATCH(C94,Akaun!$A$5:$A$150,0)))</f>
        <v/>
      </c>
    </row>
    <row r="95" ht="15" customHeight="1" s="60">
      <c r="A95" s="41" t="n"/>
      <c r="B95" s="41" t="n"/>
      <c r="C95" s="41" t="n"/>
      <c r="D95" s="41" t="n"/>
      <c r="E95" s="41" t="n"/>
      <c r="F95" s="41" t="n"/>
      <c r="G95" s="41">
        <f t="array" ref="G95">IF(C95="","",INDEX(Akaun!$F$5:$F$150,MATCH(C95,Akaun!$A$5:$A$150,0)))</f>
        <v/>
      </c>
    </row>
    <row r="96" ht="15" customHeight="1" s="60">
      <c r="A96" s="41" t="n"/>
      <c r="B96" s="41" t="n"/>
      <c r="C96" s="41" t="n"/>
      <c r="D96" s="41" t="n"/>
      <c r="E96" s="41" t="n"/>
      <c r="F96" s="41" t="n"/>
      <c r="G96" s="41">
        <f t="array" ref="G96">IF(C96="","",INDEX(Akaun!$F$5:$F$150,MATCH(C96,Akaun!$A$5:$A$150,0)))</f>
        <v/>
      </c>
    </row>
    <row r="97" ht="15" customHeight="1" s="60">
      <c r="A97" s="41" t="n"/>
      <c r="B97" s="41" t="n"/>
      <c r="C97" s="41" t="n"/>
      <c r="D97" s="41" t="n"/>
      <c r="E97" s="41" t="n"/>
      <c r="F97" s="41" t="n"/>
      <c r="G97" s="41">
        <f t="array" ref="G97">IF(C97="","",INDEX(Akaun!$F$5:$F$150,MATCH(C97,Akaun!$A$5:$A$150,0)))</f>
        <v/>
      </c>
    </row>
    <row r="98" ht="15" customHeight="1" s="60">
      <c r="A98" s="41" t="n"/>
      <c r="B98" s="41" t="n"/>
      <c r="C98" s="41" t="n"/>
      <c r="D98" s="41" t="n"/>
      <c r="E98" s="41" t="n"/>
      <c r="F98" s="41" t="n"/>
      <c r="G98" s="41">
        <f t="array" ref="G98">IF(C98="","",INDEX(Akaun!$F$5:$F$150,MATCH(C98,Akaun!$A$5:$A$150,0)))</f>
        <v/>
      </c>
    </row>
    <row r="99" ht="15" customHeight="1" s="60">
      <c r="A99" s="41" t="n"/>
      <c r="B99" s="41" t="n"/>
      <c r="C99" s="41" t="n"/>
      <c r="D99" s="41" t="n"/>
      <c r="E99" s="41" t="n"/>
      <c r="F99" s="41" t="n"/>
      <c r="G99" s="41">
        <f t="array" ref="G99">IF(C99="","",INDEX(Akaun!$F$5:$F$150,MATCH(C99,Akaun!$A$5:$A$150,0)))</f>
        <v/>
      </c>
    </row>
    <row r="100" ht="15" customHeight="1" s="60">
      <c r="A100" s="41" t="n"/>
      <c r="B100" s="41" t="n"/>
      <c r="C100" s="41" t="n"/>
      <c r="D100" s="41" t="n"/>
      <c r="E100" s="41" t="n"/>
      <c r="F100" s="41" t="n"/>
      <c r="G100" s="41">
        <f t="array" ref="G100">IF(C100="","",INDEX(Akaun!$F$5:$F$150,MATCH(C100,Akaun!$A$5:$A$150,0)))</f>
        <v/>
      </c>
    </row>
    <row r="101" ht="15" customHeight="1" s="60">
      <c r="A101" s="41" t="n"/>
      <c r="B101" s="41" t="n"/>
      <c r="C101" s="41" t="n"/>
      <c r="D101" s="41" t="n"/>
      <c r="E101" s="41" t="n"/>
      <c r="F101" s="41" t="n"/>
      <c r="G101" s="41">
        <f t="array" ref="G101">IF(C101="","",INDEX(Akaun!$F$5:$F$150,MATCH(C101,Akaun!$A$5:$A$150,0)))</f>
        <v/>
      </c>
    </row>
    <row r="102" ht="15" customHeight="1" s="60">
      <c r="A102" s="41" t="n"/>
      <c r="B102" s="41" t="n"/>
      <c r="C102" s="41" t="n"/>
      <c r="D102" s="41" t="n"/>
      <c r="E102" s="41" t="n"/>
      <c r="F102" s="41" t="n"/>
      <c r="G102" s="41">
        <f t="array" ref="G102">IF(C102="","",INDEX(Akaun!$F$5:$F$150,MATCH(C102,Akaun!$A$5:$A$150,0)))</f>
        <v/>
      </c>
    </row>
    <row r="103" ht="15" customHeight="1" s="60">
      <c r="A103" s="41" t="n"/>
      <c r="B103" s="41" t="n"/>
      <c r="C103" s="41" t="n"/>
      <c r="D103" s="41" t="n"/>
      <c r="E103" s="41" t="n"/>
      <c r="F103" s="41" t="n"/>
      <c r="G103" s="41">
        <f t="array" ref="G103">IF(C103="","",INDEX(Akaun!$F$5:$F$150,MATCH(C103,Akaun!$A$5:$A$150,0)))</f>
        <v/>
      </c>
    </row>
    <row r="104" ht="15" customHeight="1" s="60">
      <c r="A104" s="41" t="n"/>
      <c r="B104" s="41" t="n"/>
      <c r="C104" s="41" t="n"/>
      <c r="D104" s="41" t="n"/>
      <c r="E104" s="41" t="n"/>
      <c r="F104" s="41" t="n"/>
      <c r="G104" s="41">
        <f t="array" ref="G104">IF(C104="","",INDEX(Akaun!$F$5:$F$150,MATCH(C104,Akaun!$A$5:$A$150,0)))</f>
        <v/>
      </c>
    </row>
    <row r="105" ht="15" customHeight="1" s="60">
      <c r="A105" s="41" t="n"/>
      <c r="B105" s="41" t="n"/>
      <c r="C105" s="41" t="n"/>
      <c r="D105" s="41" t="n"/>
      <c r="E105" s="41" t="n"/>
      <c r="F105" s="41" t="n"/>
      <c r="G105" s="41">
        <f t="array" ref="G105">IF(C105="","",INDEX(Akaun!$F$5:$F$150,MATCH(C105,Akaun!$A$5:$A$150,0)))</f>
        <v/>
      </c>
    </row>
    <row r="106" ht="15" customHeight="1" s="60">
      <c r="A106" s="41" t="n"/>
      <c r="B106" s="41" t="n"/>
      <c r="C106" s="41" t="n"/>
      <c r="D106" s="41" t="n"/>
      <c r="E106" s="41" t="n"/>
      <c r="F106" s="41" t="n"/>
      <c r="G106" s="41">
        <f t="array" ref="G106">IF(C106="","",INDEX(Akaun!$F$5:$F$150,MATCH(C106,Akaun!$A$5:$A$150,0)))</f>
        <v/>
      </c>
    </row>
    <row r="107" ht="15" customHeight="1" s="60">
      <c r="A107" s="41" t="n"/>
      <c r="B107" s="41" t="n"/>
      <c r="C107" s="41" t="n"/>
      <c r="D107" s="41" t="n"/>
      <c r="E107" s="41" t="n"/>
      <c r="F107" s="41" t="n"/>
      <c r="G107" s="41">
        <f t="array" ref="G107">IF(C107="","",INDEX(Akaun!$F$5:$F$150,MATCH(C107,Akaun!$A$5:$A$150,0)))</f>
        <v/>
      </c>
    </row>
    <row r="108" ht="15" customHeight="1" s="60">
      <c r="A108" s="41" t="n"/>
      <c r="B108" s="41" t="n"/>
      <c r="C108" s="41" t="n"/>
      <c r="D108" s="41" t="n"/>
      <c r="E108" s="41" t="n"/>
      <c r="F108" s="41" t="n"/>
      <c r="G108" s="41">
        <f t="array" ref="G108">IF(C108="","",INDEX(Akaun!$F$5:$F$150,MATCH(C108,Akaun!$A$5:$A$150,0)))</f>
        <v/>
      </c>
    </row>
    <row r="109" ht="15" customHeight="1" s="60">
      <c r="A109" s="41" t="n"/>
      <c r="B109" s="41" t="n"/>
      <c r="C109" s="41" t="n"/>
      <c r="D109" s="41" t="n"/>
      <c r="E109" s="41" t="n"/>
      <c r="F109" s="41" t="n"/>
      <c r="G109" s="41">
        <f t="array" ref="G109">IF(C109="","",INDEX(Akaun!$F$5:$F$150,MATCH(C109,Akaun!$A$5:$A$150,0)))</f>
        <v/>
      </c>
    </row>
    <row r="110" ht="15" customHeight="1" s="60">
      <c r="A110" s="41" t="n"/>
      <c r="B110" s="41" t="n"/>
      <c r="C110" s="41" t="n"/>
      <c r="D110" s="41" t="n"/>
      <c r="E110" s="41" t="n"/>
      <c r="F110" s="41" t="n"/>
      <c r="G110" s="41">
        <f t="array" ref="G110">IF(C110="","",INDEX(Akaun!$F$5:$F$150,MATCH(C110,Akaun!$A$5:$A$150,0)))</f>
        <v/>
      </c>
    </row>
    <row r="111" ht="15" customHeight="1" s="60">
      <c r="A111" s="41" t="n"/>
      <c r="B111" s="41" t="n"/>
      <c r="C111" s="41" t="n"/>
      <c r="D111" s="41" t="n"/>
      <c r="E111" s="41" t="n"/>
      <c r="F111" s="41" t="n"/>
      <c r="G111" s="41">
        <f t="array" ref="G111">IF(C111="","",INDEX(Akaun!$F$5:$F$150,MATCH(C111,Akaun!$A$5:$A$150,0)))</f>
        <v/>
      </c>
    </row>
    <row r="112" ht="15" customHeight="1" s="60">
      <c r="A112" s="41" t="n"/>
      <c r="B112" s="41" t="n"/>
      <c r="C112" s="41" t="n"/>
      <c r="D112" s="41" t="n"/>
      <c r="E112" s="41" t="n"/>
      <c r="F112" s="41" t="n"/>
      <c r="G112" s="41">
        <f t="array" ref="G112">IF(C112="","",INDEX(Akaun!$F$5:$F$150,MATCH(C112,Akaun!$A$5:$A$150,0)))</f>
        <v/>
      </c>
    </row>
    <row r="113" ht="15" customHeight="1" s="60">
      <c r="A113" s="41" t="n"/>
      <c r="B113" s="41" t="n"/>
      <c r="C113" s="41" t="n"/>
      <c r="D113" s="41" t="n"/>
      <c r="E113" s="41" t="n"/>
      <c r="F113" s="41" t="n"/>
      <c r="G113" s="41">
        <f t="array" ref="G113">IF(C113="","",INDEX(Akaun!$F$5:$F$150,MATCH(C113,Akaun!$A$5:$A$150,0)))</f>
        <v/>
      </c>
    </row>
    <row r="114" ht="15" customHeight="1" s="60">
      <c r="A114" s="41" t="n"/>
      <c r="B114" s="41" t="n"/>
      <c r="C114" s="41" t="n"/>
      <c r="D114" s="41" t="n"/>
      <c r="E114" s="41" t="n"/>
      <c r="F114" s="41" t="n"/>
      <c r="G114" s="41">
        <f t="array" ref="G114">IF(C114="","",INDEX(Akaun!$F$5:$F$150,MATCH(C114,Akaun!$A$5:$A$150,0)))</f>
        <v/>
      </c>
    </row>
    <row r="115" ht="15" customHeight="1" s="60">
      <c r="A115" s="41" t="n"/>
      <c r="B115" s="41" t="n"/>
      <c r="C115" s="41" t="n"/>
      <c r="D115" s="41" t="n"/>
      <c r="E115" s="41" t="n"/>
      <c r="F115" s="41" t="n"/>
      <c r="G115" s="41">
        <f t="array" ref="G115">IF(C115="","",INDEX(Akaun!$F$5:$F$150,MATCH(C115,Akaun!$A$5:$A$150,0)))</f>
        <v/>
      </c>
    </row>
    <row r="116" ht="15" customHeight="1" s="60">
      <c r="A116" s="41" t="n"/>
      <c r="B116" s="41" t="n"/>
      <c r="C116" s="41" t="n"/>
      <c r="D116" s="41" t="n"/>
      <c r="E116" s="41" t="n"/>
      <c r="F116" s="41" t="n"/>
      <c r="G116" s="41">
        <f t="array" ref="G116">IF(C116="","",INDEX(Akaun!$F$5:$F$150,MATCH(C116,Akaun!$A$5:$A$150,0)))</f>
        <v/>
      </c>
    </row>
    <row r="117" ht="15" customHeight="1" s="60">
      <c r="A117" s="41" t="n"/>
      <c r="B117" s="41" t="n"/>
      <c r="C117" s="41" t="n"/>
      <c r="D117" s="41" t="n"/>
      <c r="E117" s="41" t="n"/>
      <c r="F117" s="41" t="n"/>
      <c r="G117" s="41">
        <f t="array" ref="G117">IF(C117="","",INDEX(Akaun!$F$5:$F$150,MATCH(C117,Akaun!$A$5:$A$150,0)))</f>
        <v/>
      </c>
    </row>
    <row r="118" ht="15" customHeight="1" s="60">
      <c r="A118" s="41" t="n"/>
      <c r="B118" s="41" t="n"/>
      <c r="C118" s="41" t="n"/>
      <c r="D118" s="41" t="n"/>
      <c r="E118" s="41" t="n"/>
      <c r="F118" s="41" t="n"/>
      <c r="G118" s="41">
        <f t="array" ref="G118">IF(C118="","",INDEX(Akaun!$F$5:$F$150,MATCH(C118,Akaun!$A$5:$A$150,0)))</f>
        <v/>
      </c>
    </row>
    <row r="119" ht="15" customHeight="1" s="60">
      <c r="A119" s="41" t="n"/>
      <c r="B119" s="41" t="n"/>
      <c r="C119" s="41" t="n"/>
      <c r="D119" s="41" t="n"/>
      <c r="E119" s="41" t="n"/>
      <c r="F119" s="41" t="n"/>
      <c r="G119" s="41">
        <f t="array" ref="G119">IF(C119="","",INDEX(Akaun!$F$5:$F$150,MATCH(C119,Akaun!$A$5:$A$150,0)))</f>
        <v/>
      </c>
    </row>
    <row r="120" ht="15" customHeight="1" s="60">
      <c r="A120" s="41" t="n"/>
      <c r="B120" s="41" t="n"/>
      <c r="C120" s="41" t="n"/>
      <c r="D120" s="41" t="n"/>
      <c r="E120" s="41" t="n"/>
      <c r="F120" s="41" t="n"/>
      <c r="G120" s="41">
        <f t="array" ref="G120">IF(C120="","",INDEX(Akaun!$F$5:$F$150,MATCH(C120,Akaun!$A$5:$A$150,0)))</f>
        <v/>
      </c>
    </row>
    <row r="121" ht="15" customHeight="1" s="60">
      <c r="A121" s="41" t="n"/>
      <c r="B121" s="41" t="n"/>
      <c r="C121" s="41" t="n"/>
      <c r="D121" s="41" t="n"/>
      <c r="E121" s="41" t="n"/>
      <c r="F121" s="41" t="n"/>
      <c r="G121" s="41">
        <f t="array" ref="G121">IF(C121="","",INDEX(Akaun!$F$5:$F$150,MATCH(C121,Akaun!$A$5:$A$150,0)))</f>
        <v/>
      </c>
    </row>
    <row r="122" ht="15" customHeight="1" s="60">
      <c r="A122" s="41" t="n"/>
      <c r="B122" s="41" t="n"/>
      <c r="C122" s="41" t="n"/>
      <c r="D122" s="41" t="n"/>
      <c r="E122" s="41" t="n"/>
      <c r="F122" s="41" t="n"/>
      <c r="G122" s="41">
        <f t="array" ref="G122">IF(C122="","",INDEX(Akaun!$F$5:$F$150,MATCH(C122,Akaun!$A$5:$A$150,0)))</f>
        <v/>
      </c>
    </row>
    <row r="123" ht="15" customHeight="1" s="60">
      <c r="A123" s="41" t="n"/>
      <c r="B123" s="41" t="n"/>
      <c r="C123" s="41" t="n"/>
      <c r="D123" s="41" t="n"/>
      <c r="E123" s="41" t="n"/>
      <c r="F123" s="41" t="n"/>
      <c r="G123" s="41">
        <f t="array" ref="G123">IF(C123="","",INDEX(Akaun!$F$5:$F$150,MATCH(C123,Akaun!$A$5:$A$150,0)))</f>
        <v/>
      </c>
    </row>
    <row r="124" ht="15" customHeight="1" s="60">
      <c r="A124" s="41" t="n"/>
      <c r="B124" s="41" t="n"/>
      <c r="C124" s="41" t="n"/>
      <c r="D124" s="41" t="n"/>
      <c r="E124" s="41" t="n"/>
      <c r="F124" s="41" t="n"/>
      <c r="G124" s="41">
        <f t="array" ref="G124">IF(C124="","",INDEX(Akaun!$F$5:$F$150,MATCH(C124,Akaun!$A$5:$A$150,0)))</f>
        <v/>
      </c>
    </row>
    <row r="125" ht="15" customHeight="1" s="60">
      <c r="A125" s="41" t="n"/>
      <c r="B125" s="41" t="n"/>
      <c r="C125" s="41" t="n"/>
      <c r="D125" s="41" t="n"/>
      <c r="E125" s="41" t="n"/>
      <c r="F125" s="41" t="n"/>
      <c r="G125" s="41">
        <f t="array" ref="G125">IF(C125="","",INDEX(Akaun!$F$5:$F$150,MATCH(C125,Akaun!$A$5:$A$150,0)))</f>
        <v/>
      </c>
    </row>
    <row r="126" ht="15" customHeight="1" s="60">
      <c r="A126" s="41" t="n"/>
      <c r="B126" s="41" t="n"/>
      <c r="C126" s="41" t="n"/>
      <c r="D126" s="41" t="n"/>
      <c r="E126" s="41" t="n"/>
      <c r="F126" s="41" t="n"/>
      <c r="G126" s="41">
        <f t="array" ref="G126">IF(C126="","",INDEX(Akaun!$F$5:$F$150,MATCH(C126,Akaun!$A$5:$A$150,0)))</f>
        <v/>
      </c>
    </row>
    <row r="127" ht="15" customHeight="1" s="60">
      <c r="A127" s="41" t="n"/>
      <c r="B127" s="41" t="n"/>
      <c r="C127" s="41" t="n"/>
      <c r="D127" s="41" t="n"/>
      <c r="E127" s="41" t="n"/>
      <c r="F127" s="41" t="n"/>
      <c r="G127" s="41">
        <f t="array" ref="G127">IF(C127="","",INDEX(Akaun!$F$5:$F$150,MATCH(C127,Akaun!$A$5:$A$150,0)))</f>
        <v/>
      </c>
    </row>
    <row r="128" ht="15" customHeight="1" s="60">
      <c r="A128" s="41" t="n"/>
      <c r="B128" s="41" t="n"/>
      <c r="C128" s="41" t="n"/>
      <c r="D128" s="41" t="n"/>
      <c r="E128" s="41" t="n"/>
      <c r="F128" s="41" t="n"/>
      <c r="G128" s="41">
        <f t="array" ref="G128">IF(C128="","",INDEX(Akaun!$F$5:$F$150,MATCH(C128,Akaun!$A$5:$A$150,0)))</f>
        <v/>
      </c>
    </row>
    <row r="129" ht="15" customHeight="1" s="60">
      <c r="A129" s="41" t="n"/>
      <c r="B129" s="41" t="n"/>
      <c r="C129" s="41" t="n"/>
      <c r="D129" s="41" t="n"/>
      <c r="E129" s="41" t="n"/>
      <c r="F129" s="41" t="n"/>
      <c r="G129" s="41">
        <f t="array" ref="G129">IF(C129="","",INDEX(Akaun!$F$5:$F$150,MATCH(C129,Akaun!$A$5:$A$150,0)))</f>
        <v/>
      </c>
    </row>
    <row r="130" ht="15" customHeight="1" s="60">
      <c r="A130" s="41" t="n"/>
      <c r="B130" s="41" t="n"/>
      <c r="C130" s="41" t="n"/>
      <c r="D130" s="41" t="n"/>
      <c r="E130" s="41" t="n"/>
      <c r="F130" s="41" t="n"/>
      <c r="G130" s="41">
        <f t="array" ref="G130">IF(C130="","",INDEX(Akaun!$F$5:$F$150,MATCH(C130,Akaun!$A$5:$A$150,0)))</f>
        <v/>
      </c>
    </row>
    <row r="131" ht="15" customHeight="1" s="60">
      <c r="A131" s="41" t="n"/>
      <c r="B131" s="41" t="n"/>
      <c r="C131" s="41" t="n"/>
      <c r="D131" s="41" t="n"/>
      <c r="E131" s="41" t="n"/>
      <c r="F131" s="41" t="n"/>
      <c r="G131" s="41">
        <f t="array" ref="G131">IF(C131="","",INDEX(Akaun!$F$5:$F$150,MATCH(C131,Akaun!$A$5:$A$150,0)))</f>
        <v/>
      </c>
    </row>
    <row r="132" ht="15" customHeight="1" s="60">
      <c r="A132" s="41" t="n"/>
      <c r="B132" s="41" t="n"/>
      <c r="C132" s="41" t="n"/>
      <c r="D132" s="41" t="n"/>
      <c r="E132" s="41" t="n"/>
      <c r="F132" s="41" t="n"/>
      <c r="G132" s="41">
        <f t="array" ref="G132">IF(C132="","",INDEX(Akaun!$F$5:$F$150,MATCH(C132,Akaun!$A$5:$A$150,0)))</f>
        <v/>
      </c>
    </row>
    <row r="133" ht="15" customHeight="1" s="60">
      <c r="A133" s="41" t="n"/>
      <c r="B133" s="41" t="n"/>
      <c r="C133" s="41" t="n"/>
      <c r="D133" s="41" t="n"/>
      <c r="E133" s="41" t="n"/>
      <c r="F133" s="41" t="n"/>
      <c r="G133" s="41">
        <f t="array" ref="G133">IF(C133="","",INDEX(Akaun!$F$5:$F$150,MATCH(C133,Akaun!$A$5:$A$150,0)))</f>
        <v/>
      </c>
    </row>
    <row r="134" ht="15" customHeight="1" s="60">
      <c r="A134" s="41" t="n"/>
      <c r="B134" s="41" t="n"/>
      <c r="C134" s="41" t="n"/>
      <c r="D134" s="41" t="n"/>
      <c r="E134" s="41" t="n"/>
      <c r="F134" s="41" t="n"/>
      <c r="G134" s="41">
        <f t="array" ref="G134">IF(C134="","",INDEX(Akaun!$F$5:$F$150,MATCH(C134,Akaun!$A$5:$A$150,0)))</f>
        <v/>
      </c>
    </row>
    <row r="135" ht="15" customHeight="1" s="60">
      <c r="A135" s="41" t="n"/>
      <c r="B135" s="41" t="n"/>
      <c r="C135" s="41" t="n"/>
      <c r="D135" s="41" t="n"/>
      <c r="E135" s="41" t="n"/>
      <c r="F135" s="41" t="n"/>
      <c r="G135" s="41">
        <f t="array" ref="G135">IF(C135="","",INDEX(Akaun!$F$5:$F$150,MATCH(C135,Akaun!$A$5:$A$150,0)))</f>
        <v/>
      </c>
    </row>
    <row r="136" ht="15" customHeight="1" s="60">
      <c r="A136" s="41" t="n"/>
      <c r="B136" s="41" t="n"/>
      <c r="C136" s="41" t="n"/>
      <c r="D136" s="41" t="n"/>
      <c r="E136" s="41" t="n"/>
      <c r="F136" s="41" t="n"/>
      <c r="G136" s="41">
        <f t="array" ref="G136">IF(C136="","",INDEX(Akaun!$F$5:$F$150,MATCH(C136,Akaun!$A$5:$A$150,0)))</f>
        <v/>
      </c>
    </row>
    <row r="137" ht="15" customHeight="1" s="60">
      <c r="A137" s="41" t="n"/>
      <c r="B137" s="41" t="n"/>
      <c r="C137" s="41" t="n"/>
      <c r="D137" s="41" t="n"/>
      <c r="E137" s="41" t="n"/>
      <c r="F137" s="41" t="n"/>
      <c r="G137" s="41">
        <f t="array" ref="G137">IF(C137="","",INDEX(Akaun!$F$5:$F$150,MATCH(C137,Akaun!$A$5:$A$150,0)))</f>
        <v/>
      </c>
    </row>
    <row r="138" ht="15" customHeight="1" s="60">
      <c r="A138" s="41" t="n"/>
      <c r="B138" s="41" t="n"/>
      <c r="C138" s="41" t="n"/>
      <c r="D138" s="41" t="n"/>
      <c r="E138" s="41" t="n"/>
      <c r="F138" s="41" t="n"/>
      <c r="G138" s="41">
        <f t="array" ref="G138">IF(C138="","",INDEX(Akaun!$F$5:$F$150,MATCH(C138,Akaun!$A$5:$A$150,0)))</f>
        <v/>
      </c>
    </row>
    <row r="139" ht="15" customHeight="1" s="60">
      <c r="A139" s="41" t="n"/>
      <c r="B139" s="41" t="n"/>
      <c r="C139" s="41" t="n"/>
      <c r="D139" s="41" t="n"/>
      <c r="E139" s="41" t="n"/>
      <c r="F139" s="41" t="n"/>
      <c r="G139" s="41">
        <f t="array" ref="G139">IF(C139="","",INDEX(Akaun!$F$5:$F$150,MATCH(C139,Akaun!$A$5:$A$150,0)))</f>
        <v/>
      </c>
    </row>
    <row r="140" ht="15" customHeight="1" s="60">
      <c r="A140" s="41" t="n"/>
      <c r="B140" s="41" t="n"/>
      <c r="C140" s="41" t="n"/>
      <c r="D140" s="41" t="n"/>
      <c r="E140" s="41" t="n"/>
      <c r="F140" s="41" t="n"/>
      <c r="G140" s="41">
        <f t="array" ref="G140">IF(C140="","",INDEX(Akaun!$F$5:$F$150,MATCH(C140,Akaun!$A$5:$A$150,0)))</f>
        <v/>
      </c>
    </row>
    <row r="141" ht="15" customHeight="1" s="60">
      <c r="A141" s="41" t="n"/>
      <c r="B141" s="41" t="n"/>
      <c r="C141" s="41" t="n"/>
      <c r="D141" s="41" t="n"/>
      <c r="E141" s="41" t="n"/>
      <c r="F141" s="41" t="n"/>
      <c r="G141" s="41">
        <f t="array" ref="G141">IF(C141="","",INDEX(Akaun!$F$5:$F$150,MATCH(C141,Akaun!$A$5:$A$150,0)))</f>
        <v/>
      </c>
    </row>
    <row r="142" ht="15" customHeight="1" s="60">
      <c r="A142" s="41" t="n"/>
      <c r="B142" s="41" t="n"/>
      <c r="C142" s="41" t="n"/>
      <c r="D142" s="41" t="n"/>
      <c r="E142" s="41" t="n"/>
      <c r="F142" s="41" t="n"/>
      <c r="G142" s="41">
        <f t="array" ref="G142">IF(C142="","",INDEX(Akaun!$F$5:$F$150,MATCH(C142,Akaun!$A$5:$A$150,0)))</f>
        <v/>
      </c>
    </row>
    <row r="143" ht="15" customHeight="1" s="60">
      <c r="A143" s="41" t="n"/>
      <c r="B143" s="41" t="n"/>
      <c r="C143" s="41" t="n"/>
      <c r="D143" s="41" t="n"/>
      <c r="E143" s="41" t="n"/>
      <c r="F143" s="41" t="n"/>
      <c r="G143" s="41">
        <f t="array" ref="G143">IF(C143="","",INDEX(Akaun!$F$5:$F$150,MATCH(C143,Akaun!$A$5:$A$150,0)))</f>
        <v/>
      </c>
    </row>
    <row r="144" ht="15" customHeight="1" s="60">
      <c r="A144" s="41" t="n"/>
      <c r="B144" s="41" t="n"/>
      <c r="C144" s="41" t="n"/>
      <c r="D144" s="41" t="n"/>
      <c r="E144" s="41" t="n"/>
      <c r="F144" s="41" t="n"/>
      <c r="G144" s="41">
        <f t="array" ref="G144">IF(C144="","",INDEX(Akaun!$F$5:$F$150,MATCH(C144,Akaun!$A$5:$A$150,0)))</f>
        <v/>
      </c>
    </row>
    <row r="145" ht="15" customHeight="1" s="60">
      <c r="A145" s="41" t="n"/>
      <c r="B145" s="41" t="n"/>
      <c r="C145" s="41" t="n"/>
      <c r="D145" s="41" t="n"/>
      <c r="E145" s="41" t="n"/>
      <c r="F145" s="41" t="n"/>
      <c r="G145" s="41">
        <f t="array" ref="G145">IF(C145="","",INDEX(Akaun!$F$5:$F$150,MATCH(C145,Akaun!$A$5:$A$150,0)))</f>
        <v/>
      </c>
    </row>
    <row r="146" ht="15" customHeight="1" s="60">
      <c r="A146" s="41" t="n"/>
      <c r="B146" s="41" t="n"/>
      <c r="C146" s="41" t="n"/>
      <c r="D146" s="41" t="n"/>
      <c r="E146" s="41" t="n"/>
      <c r="F146" s="41" t="n"/>
      <c r="G146" s="41">
        <f t="array" ref="G146">IF(C146="","",INDEX(Akaun!$F$5:$F$150,MATCH(C146,Akaun!$A$5:$A$150,0)))</f>
        <v/>
      </c>
    </row>
    <row r="147" ht="15" customHeight="1" s="60">
      <c r="A147" s="41" t="n"/>
      <c r="B147" s="41" t="n"/>
      <c r="C147" s="41" t="n"/>
      <c r="D147" s="41" t="n"/>
      <c r="E147" s="41" t="n"/>
      <c r="F147" s="41" t="n"/>
      <c r="G147" s="41">
        <f t="array" ref="G147">IF(C147="","",INDEX(Akaun!$F$5:$F$150,MATCH(C147,Akaun!$A$5:$A$150,0)))</f>
        <v/>
      </c>
    </row>
    <row r="148" ht="15" customHeight="1" s="60">
      <c r="A148" s="41" t="n"/>
      <c r="B148" s="41" t="n"/>
      <c r="C148" s="41" t="n"/>
      <c r="D148" s="41" t="n"/>
      <c r="E148" s="41" t="n"/>
      <c r="F148" s="41" t="n"/>
      <c r="G148" s="41">
        <f t="array" ref="G148">IF(C148="","",INDEX(Akaun!$F$5:$F$150,MATCH(C148,Akaun!$A$5:$A$150,0)))</f>
        <v/>
      </c>
    </row>
    <row r="149" ht="15" customHeight="1" s="60">
      <c r="A149" s="41" t="n"/>
      <c r="B149" s="41" t="n"/>
      <c r="C149" s="41" t="n"/>
      <c r="D149" s="41" t="n"/>
      <c r="E149" s="41" t="n"/>
      <c r="F149" s="41" t="n"/>
      <c r="G149" s="41">
        <f t="array" ref="G149">IF(C149="","",INDEX(Akaun!$F$5:$F$150,MATCH(C149,Akaun!$A$5:$A$150,0)))</f>
        <v/>
      </c>
    </row>
    <row r="150" ht="15" customHeight="1" s="60">
      <c r="A150" s="41" t="n"/>
      <c r="B150" s="41" t="n"/>
      <c r="C150" s="41" t="n"/>
      <c r="D150" s="41" t="n"/>
      <c r="E150" s="41" t="n"/>
      <c r="F150" s="41" t="n"/>
      <c r="G150" s="41">
        <f t="array" ref="G150">IF(C150="","",INDEX(Akaun!$F$5:$F$150,MATCH(C150,Akaun!$A$5:$A$150,0)))</f>
        <v/>
      </c>
    </row>
    <row r="151" ht="15" customHeight="1" s="60">
      <c r="A151" s="41" t="n"/>
      <c r="B151" s="41" t="n"/>
      <c r="C151" s="41" t="n"/>
      <c r="D151" s="41" t="n"/>
      <c r="E151" s="41" t="n"/>
      <c r="F151" s="41" t="n"/>
      <c r="G151" s="41">
        <f t="array" ref="G151">IF(C151="","",INDEX(Akaun!$F$5:$F$150,MATCH(C151,Akaun!$A$5:$A$150,0)))</f>
        <v/>
      </c>
    </row>
    <row r="152" ht="15" customHeight="1" s="60">
      <c r="A152" s="41" t="n"/>
      <c r="B152" s="41" t="n"/>
      <c r="C152" s="41" t="n"/>
      <c r="D152" s="41" t="n"/>
      <c r="E152" s="41" t="n"/>
      <c r="F152" s="41" t="n"/>
      <c r="G152" s="41">
        <f t="array" ref="G152">IF(C152="","",INDEX(Akaun!$F$5:$F$150,MATCH(C152,Akaun!$A$5:$A$150,0)))</f>
        <v/>
      </c>
    </row>
    <row r="153" ht="15" customHeight="1" s="60">
      <c r="A153" s="41" t="n"/>
      <c r="B153" s="41" t="n"/>
      <c r="C153" s="41" t="n"/>
      <c r="D153" s="41" t="n"/>
      <c r="E153" s="41" t="n"/>
      <c r="F153" s="41" t="n"/>
      <c r="G153" s="41">
        <f t="array" ref="G153">IF(C153="","",INDEX(Akaun!$F$5:$F$150,MATCH(C153,Akaun!$A$5:$A$150,0)))</f>
        <v/>
      </c>
    </row>
    <row r="154" ht="15" customHeight="1" s="60">
      <c r="A154" s="41" t="n"/>
      <c r="B154" s="41" t="n"/>
      <c r="C154" s="41" t="n"/>
      <c r="D154" s="41" t="n"/>
      <c r="E154" s="41" t="n"/>
      <c r="F154" s="41" t="n"/>
      <c r="G154" s="41">
        <f t="array" ref="G154">IF(C154="","",INDEX(Akaun!$F$5:$F$150,MATCH(C154,Akaun!$A$5:$A$150,0)))</f>
        <v/>
      </c>
    </row>
    <row r="155" ht="15" customHeight="1" s="60">
      <c r="A155" s="41" t="n"/>
      <c r="B155" s="41" t="n"/>
      <c r="C155" s="41" t="n"/>
      <c r="D155" s="41" t="n"/>
      <c r="E155" s="41" t="n"/>
      <c r="F155" s="41" t="n"/>
      <c r="G155" s="41">
        <f t="array" ref="G155">IF(C155="","",INDEX(Akaun!$F$5:$F$150,MATCH(C155,Akaun!$A$5:$A$150,0)))</f>
        <v/>
      </c>
    </row>
    <row r="156" ht="15" customHeight="1" s="60">
      <c r="A156" s="41" t="n"/>
      <c r="B156" s="41" t="n"/>
      <c r="C156" s="41" t="n"/>
      <c r="D156" s="41" t="n"/>
      <c r="E156" s="41" t="n"/>
      <c r="F156" s="41" t="n"/>
      <c r="G156" s="41">
        <f t="array" ref="G156">IF(C156="","",INDEX(Akaun!$F$5:$F$150,MATCH(C156,Akaun!$A$5:$A$150,0)))</f>
        <v/>
      </c>
    </row>
    <row r="157" ht="15" customHeight="1" s="60">
      <c r="A157" s="41" t="n"/>
      <c r="B157" s="41" t="n"/>
      <c r="C157" s="41" t="n"/>
      <c r="D157" s="41" t="n"/>
      <c r="E157" s="41" t="n"/>
      <c r="F157" s="41" t="n"/>
      <c r="G157" s="41">
        <f t="array" ref="G157">IF(C157="","",INDEX(Akaun!$F$5:$F$150,MATCH(C157,Akaun!$A$5:$A$150,0)))</f>
        <v/>
      </c>
    </row>
    <row r="158" ht="15" customHeight="1" s="60">
      <c r="A158" s="41" t="n"/>
      <c r="B158" s="41" t="n"/>
      <c r="C158" s="41" t="n"/>
      <c r="D158" s="41" t="n"/>
      <c r="E158" s="41" t="n"/>
      <c r="F158" s="41" t="n"/>
      <c r="G158" s="41">
        <f t="array" ref="G158">IF(C158="","",INDEX(Akaun!$F$5:$F$150,MATCH(C158,Akaun!$A$5:$A$150,0)))</f>
        <v/>
      </c>
    </row>
    <row r="159" ht="15" customHeight="1" s="60">
      <c r="A159" s="41" t="n"/>
      <c r="B159" s="41" t="n"/>
      <c r="C159" s="41" t="n"/>
      <c r="D159" s="41" t="n"/>
      <c r="E159" s="41" t="n"/>
      <c r="F159" s="41" t="n"/>
      <c r="G159" s="41">
        <f t="array" ref="G159">IF(C159="","",INDEX(Akaun!$F$5:$F$150,MATCH(C159,Akaun!$A$5:$A$150,0)))</f>
        <v/>
      </c>
    </row>
    <row r="160" ht="15" customHeight="1" s="60">
      <c r="A160" s="41" t="n"/>
      <c r="B160" s="41" t="n"/>
      <c r="C160" s="41" t="n"/>
      <c r="D160" s="41" t="n"/>
      <c r="E160" s="41" t="n"/>
      <c r="F160" s="41" t="n"/>
      <c r="G160" s="41">
        <f t="array" ref="G160">IF(C160="","",INDEX(Akaun!$F$5:$F$150,MATCH(C160,Akaun!$A$5:$A$150,0)))</f>
        <v/>
      </c>
    </row>
    <row r="161" ht="15" customHeight="1" s="60">
      <c r="A161" s="41" t="n"/>
      <c r="B161" s="41" t="n"/>
      <c r="C161" s="41" t="n"/>
      <c r="D161" s="41" t="n"/>
      <c r="E161" s="41" t="n"/>
      <c r="F161" s="41" t="n"/>
      <c r="G161" s="41">
        <f t="array" ref="G161">IF(C161="","",INDEX(Akaun!$F$5:$F$150,MATCH(C161,Akaun!$A$5:$A$150,0)))</f>
        <v/>
      </c>
    </row>
    <row r="162" ht="15" customHeight="1" s="60">
      <c r="A162" s="41" t="n"/>
      <c r="B162" s="41" t="n"/>
      <c r="C162" s="41" t="n"/>
      <c r="D162" s="41" t="n"/>
      <c r="E162" s="41" t="n"/>
      <c r="F162" s="41" t="n"/>
      <c r="G162" s="41">
        <f t="array" ref="G162">IF(C162="","",INDEX(Akaun!$F$5:$F$150,MATCH(C162,Akaun!$A$5:$A$150,0)))</f>
        <v/>
      </c>
    </row>
    <row r="163" ht="15" customHeight="1" s="60">
      <c r="A163" s="41" t="n"/>
      <c r="B163" s="41" t="n"/>
      <c r="C163" s="41" t="n"/>
      <c r="D163" s="41" t="n"/>
      <c r="E163" s="41" t="n"/>
      <c r="F163" s="41" t="n"/>
      <c r="G163" s="41">
        <f t="array" ref="G163">IF(C163="","",INDEX(Akaun!$F$5:$F$150,MATCH(C163,Akaun!$A$5:$A$150,0)))</f>
        <v/>
      </c>
    </row>
    <row r="164" ht="15" customHeight="1" s="60">
      <c r="A164" s="41" t="n"/>
      <c r="B164" s="41" t="n"/>
      <c r="C164" s="41" t="n"/>
      <c r="D164" s="41" t="n"/>
      <c r="E164" s="41" t="n"/>
      <c r="F164" s="41" t="n"/>
      <c r="G164" s="41">
        <f t="array" ref="G164">IF(C164="","",INDEX(Akaun!$F$5:$F$150,MATCH(C164,Akaun!$A$5:$A$150,0)))</f>
        <v/>
      </c>
    </row>
    <row r="165" ht="15" customHeight="1" s="60">
      <c r="A165" s="41" t="n"/>
      <c r="B165" s="41" t="n"/>
      <c r="C165" s="41" t="n"/>
      <c r="D165" s="41" t="n"/>
      <c r="E165" s="41" t="n"/>
      <c r="F165" s="41" t="n"/>
      <c r="G165" s="41">
        <f t="array" ref="G165">IF(C165="","",INDEX(Akaun!$F$5:$F$150,MATCH(C165,Akaun!$A$5:$A$150,0)))</f>
        <v/>
      </c>
    </row>
    <row r="166" ht="15" customHeight="1" s="60">
      <c r="A166" s="41" t="n"/>
      <c r="B166" s="41" t="n"/>
      <c r="C166" s="41" t="n"/>
      <c r="D166" s="41" t="n"/>
      <c r="E166" s="41" t="n"/>
      <c r="F166" s="41" t="n"/>
      <c r="G166" s="41">
        <f t="array" ref="G166">IF(C166="","",INDEX(Akaun!$F$5:$F$150,MATCH(C166,Akaun!$A$5:$A$150,0)))</f>
        <v/>
      </c>
    </row>
    <row r="167" ht="15" customHeight="1" s="60">
      <c r="A167" s="41" t="n"/>
      <c r="B167" s="41" t="n"/>
      <c r="C167" s="41" t="n"/>
      <c r="D167" s="41" t="n"/>
      <c r="E167" s="41" t="n"/>
      <c r="F167" s="41" t="n"/>
      <c r="G167" s="41">
        <f t="array" ref="G167">IF(C167="","",INDEX(Akaun!$F$5:$F$150,MATCH(C167,Akaun!$A$5:$A$150,0)))</f>
        <v/>
      </c>
    </row>
    <row r="168" ht="15" customHeight="1" s="60">
      <c r="A168" s="41" t="n"/>
      <c r="B168" s="41" t="n"/>
      <c r="C168" s="41" t="n"/>
      <c r="D168" s="41" t="n"/>
      <c r="E168" s="41" t="n"/>
      <c r="F168" s="41" t="n"/>
      <c r="G168" s="41">
        <f t="array" ref="G168">IF(C168="","",INDEX(Akaun!$F$5:$F$150,MATCH(C168,Akaun!$A$5:$A$150,0)))</f>
        <v/>
      </c>
    </row>
    <row r="169" ht="15" customHeight="1" s="60">
      <c r="A169" s="41" t="n"/>
      <c r="B169" s="41" t="n"/>
      <c r="C169" s="41" t="n"/>
      <c r="D169" s="41" t="n"/>
      <c r="E169" s="41" t="n"/>
      <c r="F169" s="41" t="n"/>
      <c r="G169" s="41">
        <f t="array" ref="G169">IF(C169="","",INDEX(Akaun!$F$5:$F$150,MATCH(C169,Akaun!$A$5:$A$150,0)))</f>
        <v/>
      </c>
    </row>
    <row r="170" ht="15" customHeight="1" s="60">
      <c r="A170" s="41" t="n"/>
      <c r="B170" s="41" t="n"/>
      <c r="C170" s="41" t="n"/>
      <c r="D170" s="41" t="n"/>
      <c r="E170" s="41" t="n"/>
      <c r="F170" s="41" t="n"/>
      <c r="G170" s="41">
        <f t="array" ref="G170">IF(C170="","",INDEX(Akaun!$F$5:$F$150,MATCH(C170,Akaun!$A$5:$A$150,0)))</f>
        <v/>
      </c>
    </row>
    <row r="171" ht="15" customHeight="1" s="60">
      <c r="A171" s="41" t="n"/>
      <c r="B171" s="41" t="n"/>
      <c r="C171" s="41" t="n"/>
      <c r="D171" s="41" t="n"/>
      <c r="E171" s="41" t="n"/>
      <c r="F171" s="41" t="n"/>
      <c r="G171" s="41">
        <f t="array" ref="G171">IF(C171="","",INDEX(Akaun!$F$5:$F$150,MATCH(C171,Akaun!$A$5:$A$150,0)))</f>
        <v/>
      </c>
    </row>
    <row r="172" ht="15" customHeight="1" s="60">
      <c r="A172" s="41" t="n"/>
      <c r="B172" s="41" t="n"/>
      <c r="C172" s="41" t="n"/>
      <c r="D172" s="41" t="n"/>
      <c r="E172" s="41" t="n"/>
      <c r="F172" s="41" t="n"/>
      <c r="G172" s="41">
        <f t="array" ref="G172">IF(C172="","",INDEX(Akaun!$F$5:$F$150,MATCH(C172,Akaun!$A$5:$A$150,0)))</f>
        <v/>
      </c>
    </row>
    <row r="173" ht="15" customHeight="1" s="60">
      <c r="A173" s="41" t="n"/>
      <c r="B173" s="41" t="n"/>
      <c r="C173" s="41" t="n"/>
      <c r="D173" s="41" t="n"/>
      <c r="E173" s="41" t="n"/>
      <c r="F173" s="41" t="n"/>
      <c r="G173" s="41">
        <f t="array" ref="G173">IF(C173="","",INDEX(Akaun!$F$5:$F$150,MATCH(C173,Akaun!$A$5:$A$150,0)))</f>
        <v/>
      </c>
    </row>
    <row r="174" ht="15" customHeight="1" s="60">
      <c r="A174" s="41" t="n"/>
      <c r="B174" s="41" t="n"/>
      <c r="C174" s="41" t="n"/>
      <c r="D174" s="41" t="n"/>
      <c r="E174" s="41" t="n"/>
      <c r="F174" s="41" t="n"/>
      <c r="G174" s="41">
        <f t="array" ref="G174">IF(C174="","",INDEX(Akaun!$F$5:$F$150,MATCH(C174,Akaun!$A$5:$A$150,0)))</f>
        <v/>
      </c>
    </row>
    <row r="175" ht="15" customHeight="1" s="60">
      <c r="A175" s="41" t="n"/>
      <c r="B175" s="41" t="n"/>
      <c r="C175" s="41" t="n"/>
      <c r="D175" s="41" t="n"/>
      <c r="E175" s="41" t="n"/>
      <c r="F175" s="41" t="n"/>
      <c r="G175" s="41">
        <f t="array" ref="G175">IF(C175="","",INDEX(Akaun!$F$5:$F$150,MATCH(C175,Akaun!$A$5:$A$150,0)))</f>
        <v/>
      </c>
    </row>
    <row r="176" ht="15" customHeight="1" s="60">
      <c r="A176" s="41" t="n"/>
      <c r="B176" s="41" t="n"/>
      <c r="C176" s="41" t="n"/>
      <c r="D176" s="41" t="n"/>
      <c r="E176" s="41" t="n"/>
      <c r="F176" s="41" t="n"/>
      <c r="G176" s="41">
        <f t="array" ref="G176">IF(C176="","",INDEX(Akaun!$F$5:$F$150,MATCH(C176,Akaun!$A$5:$A$150,0)))</f>
        <v/>
      </c>
    </row>
    <row r="177" ht="15" customHeight="1" s="60">
      <c r="A177" s="41" t="n"/>
      <c r="B177" s="41" t="n"/>
      <c r="C177" s="41" t="n"/>
      <c r="D177" s="41" t="n"/>
      <c r="E177" s="41" t="n"/>
      <c r="F177" s="41" t="n"/>
      <c r="G177" s="41">
        <f t="array" ref="G177">IF(C177="","",INDEX(Akaun!$F$5:$F$150,MATCH(C177,Akaun!$A$5:$A$150,0)))</f>
        <v/>
      </c>
    </row>
    <row r="178" ht="15" customHeight="1" s="60">
      <c r="A178" s="41" t="n"/>
      <c r="B178" s="41" t="n"/>
      <c r="C178" s="41" t="n"/>
      <c r="D178" s="41" t="n"/>
      <c r="E178" s="41" t="n"/>
      <c r="F178" s="41" t="n"/>
      <c r="G178" s="41">
        <f t="array" ref="G178">IF(C178="","",INDEX(Akaun!$F$5:$F$150,MATCH(C178,Akaun!$A$5:$A$150,0)))</f>
        <v/>
      </c>
    </row>
    <row r="179" ht="15" customHeight="1" s="60">
      <c r="A179" s="41" t="n"/>
      <c r="B179" s="41" t="n"/>
      <c r="C179" s="41" t="n"/>
      <c r="D179" s="41" t="n"/>
      <c r="E179" s="41" t="n"/>
      <c r="F179" s="41" t="n"/>
      <c r="G179" s="41">
        <f t="array" ref="G179">IF(C179="","",INDEX(Akaun!$F$5:$F$150,MATCH(C179,Akaun!$A$5:$A$150,0)))</f>
        <v/>
      </c>
    </row>
    <row r="180" ht="15" customHeight="1" s="60">
      <c r="A180" s="41" t="n"/>
      <c r="B180" s="41" t="n"/>
      <c r="C180" s="41" t="n"/>
      <c r="D180" s="41" t="n"/>
      <c r="E180" s="41" t="n"/>
      <c r="F180" s="41" t="n"/>
      <c r="G180" s="41">
        <f t="array" ref="G180">IF(C180="","",INDEX(Akaun!$F$5:$F$150,MATCH(C180,Akaun!$A$5:$A$150,0)))</f>
        <v/>
      </c>
    </row>
    <row r="181" ht="15" customHeight="1" s="60">
      <c r="A181" s="41" t="n"/>
      <c r="B181" s="41" t="n"/>
      <c r="C181" s="41" t="n"/>
      <c r="D181" s="41" t="n"/>
      <c r="E181" s="41" t="n"/>
      <c r="F181" s="41" t="n"/>
      <c r="G181" s="41">
        <f t="array" ref="G181">IF(C181="","",INDEX(Akaun!$F$5:$F$150,MATCH(C181,Akaun!$A$5:$A$150,0)))</f>
        <v/>
      </c>
    </row>
    <row r="182" ht="15" customHeight="1" s="60">
      <c r="A182" s="41" t="n"/>
      <c r="B182" s="41" t="n"/>
      <c r="C182" s="41" t="n"/>
      <c r="D182" s="41" t="n"/>
      <c r="E182" s="41" t="n"/>
      <c r="F182" s="41" t="n"/>
      <c r="G182" s="41">
        <f t="array" ref="G182">IF(C182="","",INDEX(Akaun!$F$5:$F$150,MATCH(C182,Akaun!$A$5:$A$150,0)))</f>
        <v/>
      </c>
    </row>
    <row r="183" ht="15" customHeight="1" s="60">
      <c r="A183" s="41" t="n"/>
      <c r="B183" s="41" t="n"/>
      <c r="C183" s="41" t="n"/>
      <c r="D183" s="41" t="n"/>
      <c r="E183" s="41" t="n"/>
      <c r="F183" s="41" t="n"/>
      <c r="G183" s="41">
        <f t="array" ref="G183">IF(C183="","",INDEX(Akaun!$F$5:$F$150,MATCH(C183,Akaun!$A$5:$A$150,0)))</f>
        <v/>
      </c>
    </row>
    <row r="184" ht="15" customHeight="1" s="60">
      <c r="A184" s="41" t="n"/>
      <c r="B184" s="41" t="n"/>
      <c r="C184" s="41" t="n"/>
      <c r="D184" s="41" t="n"/>
      <c r="E184" s="41" t="n"/>
      <c r="F184" s="41" t="n"/>
      <c r="G184" s="41">
        <f t="array" ref="G184">IF(C184="","",INDEX(Akaun!$F$5:$F$150,MATCH(C184,Akaun!$A$5:$A$150,0)))</f>
        <v/>
      </c>
    </row>
    <row r="185" ht="15" customHeight="1" s="60">
      <c r="A185" s="41" t="n"/>
      <c r="B185" s="41" t="n"/>
      <c r="C185" s="41" t="n"/>
      <c r="D185" s="41" t="n"/>
      <c r="E185" s="41" t="n"/>
      <c r="F185" s="41" t="n"/>
      <c r="G185" s="41">
        <f t="array" ref="G185">IF(C185="","",INDEX(Akaun!$F$5:$F$150,MATCH(C185,Akaun!$A$5:$A$150,0)))</f>
        <v/>
      </c>
    </row>
    <row r="186" ht="15" customHeight="1" s="60">
      <c r="A186" s="41" t="n"/>
      <c r="B186" s="41" t="n"/>
      <c r="C186" s="41" t="n"/>
      <c r="D186" s="41" t="n"/>
      <c r="E186" s="41" t="n"/>
      <c r="F186" s="41" t="n"/>
      <c r="G186" s="41">
        <f t="array" ref="G186">IF(C186="","",INDEX(Akaun!$F$5:$F$150,MATCH(C186,Akaun!$A$5:$A$150,0)))</f>
        <v/>
      </c>
    </row>
    <row r="187" ht="15" customHeight="1" s="60">
      <c r="A187" s="41" t="n"/>
      <c r="B187" s="41" t="n"/>
      <c r="C187" s="41" t="n"/>
      <c r="D187" s="41" t="n"/>
      <c r="E187" s="41" t="n"/>
      <c r="F187" s="41" t="n"/>
      <c r="G187" s="41">
        <f t="array" ref="G187">IF(C187="","",INDEX(Akaun!$F$5:$F$150,MATCH(C187,Akaun!$A$5:$A$150,0)))</f>
        <v/>
      </c>
    </row>
    <row r="188" ht="15" customHeight="1" s="60">
      <c r="A188" s="41" t="n"/>
      <c r="B188" s="41" t="n"/>
      <c r="C188" s="41" t="n"/>
      <c r="D188" s="41" t="n"/>
      <c r="E188" s="41" t="n"/>
      <c r="F188" s="41" t="n"/>
      <c r="G188" s="41">
        <f t="array" ref="G188">IF(C188="","",INDEX(Akaun!$F$5:$F$150,MATCH(C188,Akaun!$A$5:$A$150,0)))</f>
        <v/>
      </c>
    </row>
    <row r="189" ht="15" customHeight="1" s="60">
      <c r="A189" s="41" t="n"/>
      <c r="B189" s="41" t="n"/>
      <c r="C189" s="41" t="n"/>
      <c r="D189" s="41" t="n"/>
      <c r="E189" s="41" t="n"/>
      <c r="F189" s="41" t="n"/>
      <c r="G189" s="41">
        <f t="array" ref="G189">IF(C189="","",INDEX(Akaun!$F$5:$F$150,MATCH(C189,Akaun!$A$5:$A$150,0)))</f>
        <v/>
      </c>
    </row>
    <row r="190" ht="15" customHeight="1" s="60">
      <c r="A190" s="41" t="n"/>
      <c r="B190" s="41" t="n"/>
      <c r="C190" s="41" t="n"/>
      <c r="D190" s="41" t="n"/>
      <c r="E190" s="41" t="n"/>
      <c r="F190" s="41" t="n"/>
      <c r="G190" s="41">
        <f t="array" ref="G190">IF(C190="","",INDEX(Akaun!$F$5:$F$150,MATCH(C190,Akaun!$A$5:$A$150,0)))</f>
        <v/>
      </c>
    </row>
    <row r="191" ht="15" customHeight="1" s="60">
      <c r="A191" s="41" t="n"/>
      <c r="B191" s="41" t="n"/>
      <c r="C191" s="41" t="n"/>
      <c r="D191" s="41" t="n"/>
      <c r="E191" s="41" t="n"/>
      <c r="F191" s="41" t="n"/>
      <c r="G191" s="41">
        <f t="array" ref="G191">IF(C191="","",INDEX(Akaun!$F$5:$F$150,MATCH(C191,Akaun!$A$5:$A$150,0)))</f>
        <v/>
      </c>
    </row>
    <row r="192" ht="15" customHeight="1" s="60">
      <c r="A192" s="41" t="n"/>
      <c r="B192" s="41" t="n"/>
      <c r="C192" s="41" t="n"/>
      <c r="D192" s="41" t="n"/>
      <c r="E192" s="41" t="n"/>
      <c r="F192" s="41" t="n"/>
      <c r="G192" s="41">
        <f t="array" ref="G192">IF(C192="","",INDEX(Akaun!$F$5:$F$150,MATCH(C192,Akaun!$A$5:$A$150,0)))</f>
        <v/>
      </c>
    </row>
    <row r="193" ht="15" customHeight="1" s="60">
      <c r="A193" s="41" t="n"/>
      <c r="B193" s="41" t="n"/>
      <c r="C193" s="41" t="n"/>
      <c r="D193" s="41" t="n"/>
      <c r="E193" s="41" t="n"/>
      <c r="F193" s="41" t="n"/>
      <c r="G193" s="41">
        <f t="array" ref="G193">IF(C193="","",INDEX(Akaun!$F$5:$F$150,MATCH(C193,Akaun!$A$5:$A$150,0)))</f>
        <v/>
      </c>
    </row>
    <row r="194" ht="15" customHeight="1" s="60">
      <c r="A194" s="41" t="n"/>
      <c r="B194" s="41" t="n"/>
      <c r="C194" s="41" t="n"/>
      <c r="D194" s="41" t="n"/>
      <c r="E194" s="41" t="n"/>
      <c r="F194" s="41" t="n"/>
      <c r="G194" s="41">
        <f t="array" ref="G194">IF(C194="","",INDEX(Akaun!$F$5:$F$150,MATCH(C194,Akaun!$A$5:$A$150,0)))</f>
        <v/>
      </c>
    </row>
    <row r="195" ht="15" customHeight="1" s="60">
      <c r="A195" s="41" t="n"/>
      <c r="B195" s="41" t="n"/>
      <c r="C195" s="41" t="n"/>
      <c r="D195" s="41" t="n"/>
      <c r="E195" s="41" t="n"/>
      <c r="F195" s="41" t="n"/>
      <c r="G195" s="41">
        <f t="array" ref="G195">IF(C195="","",INDEX(Akaun!$F$5:$F$150,MATCH(C195,Akaun!$A$5:$A$150,0)))</f>
        <v/>
      </c>
    </row>
    <row r="196" ht="15" customHeight="1" s="60">
      <c r="A196" s="41" t="n"/>
      <c r="B196" s="41" t="n"/>
      <c r="C196" s="41" t="n"/>
      <c r="D196" s="41" t="n"/>
      <c r="E196" s="41" t="n"/>
      <c r="F196" s="41" t="n"/>
      <c r="G196" s="41">
        <f t="array" ref="G196">IF(C196="","",INDEX(Akaun!$F$5:$F$150,MATCH(C196,Akaun!$A$5:$A$150,0)))</f>
        <v/>
      </c>
    </row>
    <row r="197" ht="15" customHeight="1" s="60">
      <c r="A197" s="41" t="n"/>
      <c r="B197" s="41" t="n"/>
      <c r="C197" s="41" t="n"/>
      <c r="D197" s="41" t="n"/>
      <c r="E197" s="41" t="n"/>
      <c r="F197" s="41" t="n"/>
      <c r="G197" s="41">
        <f t="array" ref="G197">IF(C197="","",INDEX(Akaun!$F$5:$F$150,MATCH(C197,Akaun!$A$5:$A$150,0)))</f>
        <v/>
      </c>
    </row>
    <row r="198" ht="15" customHeight="1" s="60">
      <c r="A198" s="41" t="n"/>
      <c r="B198" s="41" t="n"/>
      <c r="C198" s="41" t="n"/>
      <c r="D198" s="41" t="n"/>
      <c r="E198" s="41" t="n"/>
      <c r="F198" s="41" t="n"/>
      <c r="G198" s="41">
        <f t="array" ref="G198">IF(C198="","",INDEX(Akaun!$F$5:$F$150,MATCH(C198,Akaun!$A$5:$A$150,0)))</f>
        <v/>
      </c>
    </row>
    <row r="199" ht="15" customHeight="1" s="60">
      <c r="A199" s="41" t="n"/>
      <c r="B199" s="41" t="n"/>
      <c r="C199" s="41" t="n"/>
      <c r="D199" s="41" t="n"/>
      <c r="E199" s="41" t="n"/>
      <c r="F199" s="41" t="n"/>
      <c r="G199" s="41">
        <f t="array" ref="G199">IF(C199="","",INDEX(Akaun!$F$5:$F$150,MATCH(C199,Akaun!$A$5:$A$150,0)))</f>
        <v/>
      </c>
    </row>
    <row r="200" ht="15" customHeight="1" s="60">
      <c r="A200" s="41" t="n"/>
      <c r="B200" s="41" t="n"/>
      <c r="C200" s="41" t="n"/>
      <c r="D200" s="41" t="n"/>
      <c r="E200" s="41" t="n"/>
      <c r="F200" s="41" t="n"/>
      <c r="G200" s="41">
        <f t="array" ref="G200">IF(C200="","",INDEX(Akaun!$F$5:$F$150,MATCH(C200,Akaun!$A$5:$A$150,0)))</f>
        <v/>
      </c>
    </row>
    <row r="201" ht="15" customHeight="1" s="60">
      <c r="A201" s="41" t="n"/>
      <c r="B201" s="41" t="n"/>
      <c r="C201" s="41" t="n"/>
      <c r="D201" s="41" t="n"/>
      <c r="E201" s="41" t="n"/>
      <c r="F201" s="41" t="n"/>
      <c r="G201" s="41">
        <f t="array" ref="G201">IF(C201="","",INDEX(Akaun!$F$5:$F$150,MATCH(C201,Akaun!$A$5:$A$150,0)))</f>
        <v/>
      </c>
    </row>
    <row r="202" ht="15" customHeight="1" s="60">
      <c r="A202" s="41" t="n"/>
      <c r="B202" s="41" t="n"/>
      <c r="C202" s="41" t="n"/>
      <c r="D202" s="41" t="n"/>
      <c r="E202" s="41" t="n"/>
      <c r="F202" s="41" t="n"/>
      <c r="G202" s="41">
        <f t="array" ref="G202">IF(C202="","",INDEX(Akaun!$F$5:$F$150,MATCH(C202,Akaun!$A$5:$A$150,0)))</f>
        <v/>
      </c>
    </row>
    <row r="203" ht="15" customHeight="1" s="60">
      <c r="A203" s="41" t="n"/>
      <c r="B203" s="41" t="n"/>
      <c r="C203" s="41" t="n"/>
      <c r="D203" s="41" t="n"/>
      <c r="E203" s="41" t="n"/>
      <c r="F203" s="41" t="n"/>
      <c r="G203" s="41">
        <f t="array" ref="G203">IF(C203="","",INDEX(Akaun!$F$5:$F$150,MATCH(C203,Akaun!$A$5:$A$150,0)))</f>
        <v/>
      </c>
    </row>
    <row r="204" ht="15" customHeight="1" s="60">
      <c r="A204" s="41" t="n"/>
      <c r="B204" s="41" t="n"/>
      <c r="C204" s="41" t="n"/>
      <c r="D204" s="41" t="n"/>
      <c r="E204" s="41" t="n"/>
      <c r="F204" s="41" t="n"/>
      <c r="G204" s="41">
        <f t="array" ref="G204">IF(C204="","",INDEX(Akaun!$F$5:$F$150,MATCH(C204,Akaun!$A$5:$A$150,0)))</f>
        <v/>
      </c>
    </row>
    <row r="205" ht="15" customHeight="1" s="60">
      <c r="A205" s="41" t="n"/>
      <c r="B205" s="41" t="n"/>
      <c r="C205" s="41" t="n"/>
      <c r="D205" s="41" t="n"/>
      <c r="E205" s="41" t="n"/>
      <c r="F205" s="41" t="n"/>
      <c r="G205" s="41">
        <f t="array" ref="G205">IF(C205="","",INDEX(Akaun!$F$5:$F$150,MATCH(C205,Akaun!$A$5:$A$150,0)))</f>
        <v/>
      </c>
    </row>
    <row r="206" ht="15" customHeight="1" s="60">
      <c r="A206" s="41" t="n"/>
      <c r="B206" s="41" t="n"/>
      <c r="C206" s="41" t="n"/>
      <c r="D206" s="41" t="n"/>
      <c r="E206" s="41" t="n"/>
      <c r="F206" s="41" t="n"/>
      <c r="G206" s="41">
        <f t="array" ref="G206">IF(C206="","",INDEX(Akaun!$F$5:$F$150,MATCH(C206,Akaun!$A$5:$A$150,0)))</f>
        <v/>
      </c>
    </row>
    <row r="207" ht="15" customHeight="1" s="60">
      <c r="A207" s="41" t="n"/>
      <c r="B207" s="41" t="n"/>
      <c r="C207" s="41" t="n"/>
      <c r="D207" s="41" t="n"/>
      <c r="E207" s="41" t="n"/>
      <c r="F207" s="41" t="n"/>
      <c r="G207" s="41">
        <f t="array" ref="G207">IF(C207="","",INDEX(Akaun!$F$5:$F$150,MATCH(C207,Akaun!$A$5:$A$150,0)))</f>
        <v/>
      </c>
    </row>
    <row r="208" ht="15" customHeight="1" s="60">
      <c r="A208" s="41" t="n"/>
      <c r="B208" s="41" t="n"/>
      <c r="C208" s="41" t="n"/>
      <c r="D208" s="41" t="n"/>
      <c r="E208" s="41" t="n"/>
      <c r="F208" s="41" t="n"/>
      <c r="G208" s="41">
        <f t="array" ref="G208">IF(C208="","",INDEX(Akaun!$F$5:$F$150,MATCH(C208,Akaun!$A$5:$A$150,0)))</f>
        <v/>
      </c>
    </row>
    <row r="209" ht="15" customHeight="1" s="60">
      <c r="A209" s="41" t="n"/>
      <c r="B209" s="41" t="n"/>
      <c r="C209" s="41" t="n"/>
      <c r="D209" s="41" t="n"/>
      <c r="E209" s="41" t="n"/>
      <c r="F209" s="41" t="n"/>
      <c r="G209" s="41">
        <f t="array" ref="G209">IF(C209="","",INDEX(Akaun!$F$5:$F$150,MATCH(C209,Akaun!$A$5:$A$150,0)))</f>
        <v/>
      </c>
    </row>
    <row r="210" ht="15" customHeight="1" s="60">
      <c r="A210" s="41" t="n"/>
      <c r="B210" s="41" t="n"/>
      <c r="C210" s="41" t="n"/>
      <c r="D210" s="41" t="n"/>
      <c r="E210" s="41" t="n"/>
      <c r="F210" s="41" t="n"/>
      <c r="G210" s="41">
        <f t="array" ref="G210">IF(C210="","",INDEX(Akaun!$F$5:$F$150,MATCH(C210,Akaun!$A$5:$A$150,0)))</f>
        <v/>
      </c>
    </row>
    <row r="211" ht="15" customHeight="1" s="60">
      <c r="A211" s="41" t="n"/>
      <c r="B211" s="41" t="n"/>
      <c r="C211" s="41" t="n"/>
      <c r="D211" s="41" t="n"/>
      <c r="E211" s="41" t="n"/>
      <c r="F211" s="41" t="n"/>
      <c r="G211" s="41">
        <f t="array" ref="G211">IF(C211="","",INDEX(Akaun!$F$5:$F$150,MATCH(C211,Akaun!$A$5:$A$150,0)))</f>
        <v/>
      </c>
    </row>
    <row r="212" ht="15" customHeight="1" s="60">
      <c r="A212" s="41" t="n"/>
      <c r="B212" s="41" t="n"/>
      <c r="C212" s="41" t="n"/>
      <c r="D212" s="41" t="n"/>
      <c r="E212" s="41" t="n"/>
      <c r="F212" s="41" t="n"/>
      <c r="G212" s="41">
        <f t="array" ref="G212">IF(C212="","",INDEX(Akaun!$F$5:$F$150,MATCH(C212,Akaun!$A$5:$A$150,0)))</f>
        <v/>
      </c>
    </row>
    <row r="213" ht="15" customHeight="1" s="60">
      <c r="A213" s="41" t="n"/>
      <c r="B213" s="41" t="n"/>
      <c r="C213" s="41" t="n"/>
      <c r="D213" s="41" t="n"/>
      <c r="E213" s="41" t="n"/>
      <c r="F213" s="41" t="n"/>
      <c r="G213" s="41">
        <f t="array" ref="G213">IF(C213="","",INDEX(Akaun!$F$5:$F$150,MATCH(C213,Akaun!$A$5:$A$150,0)))</f>
        <v/>
      </c>
    </row>
    <row r="214" ht="15" customHeight="1" s="60">
      <c r="A214" s="41" t="n"/>
      <c r="B214" s="41" t="n"/>
      <c r="C214" s="41" t="n"/>
      <c r="D214" s="41" t="n"/>
      <c r="E214" s="41" t="n"/>
      <c r="F214" s="41" t="n"/>
      <c r="G214" s="41">
        <f t="array" ref="G214">IF(C214="","",INDEX(Akaun!$F$5:$F$150,MATCH(C214,Akaun!$A$5:$A$150,0)))</f>
        <v/>
      </c>
    </row>
    <row r="215" ht="15" customHeight="1" s="60">
      <c r="A215" s="41" t="n"/>
      <c r="B215" s="41" t="n"/>
      <c r="C215" s="41" t="n"/>
      <c r="D215" s="41" t="n"/>
      <c r="E215" s="41" t="n"/>
      <c r="F215" s="41" t="n"/>
      <c r="G215" s="41">
        <f t="array" ref="G215">IF(C215="","",INDEX(Akaun!$F$5:$F$150,MATCH(C215,Akaun!$A$5:$A$150,0)))</f>
        <v/>
      </c>
    </row>
    <row r="216" ht="15" customHeight="1" s="60">
      <c r="A216" s="41" t="n"/>
      <c r="B216" s="41" t="n"/>
      <c r="C216" s="41" t="n"/>
      <c r="D216" s="41" t="n"/>
      <c r="E216" s="41" t="n"/>
      <c r="F216" s="41" t="n"/>
      <c r="G216" s="41">
        <f t="array" ref="G216">IF(C216="","",INDEX(Akaun!$F$5:$F$150,MATCH(C216,Akaun!$A$5:$A$150,0)))</f>
        <v/>
      </c>
    </row>
    <row r="217" ht="15" customHeight="1" s="60">
      <c r="A217" s="41" t="n"/>
      <c r="B217" s="41" t="n"/>
      <c r="C217" s="41" t="n"/>
      <c r="D217" s="41" t="n"/>
      <c r="E217" s="41" t="n"/>
      <c r="F217" s="41" t="n"/>
      <c r="G217" s="41">
        <f t="array" ref="G217">IF(C217="","",INDEX(Akaun!$F$5:$F$150,MATCH(C217,Akaun!$A$5:$A$150,0)))</f>
        <v/>
      </c>
    </row>
    <row r="218" ht="15" customHeight="1" s="60">
      <c r="A218" s="41" t="n"/>
      <c r="B218" s="41" t="n"/>
      <c r="C218" s="41" t="n"/>
      <c r="D218" s="41" t="n"/>
      <c r="E218" s="41" t="n"/>
      <c r="F218" s="41" t="n"/>
      <c r="G218" s="41">
        <f t="array" ref="G218">IF(C218="","",INDEX(Akaun!$F$5:$F$150,MATCH(C218,Akaun!$A$5:$A$150,0)))</f>
        <v/>
      </c>
    </row>
    <row r="219" ht="15" customHeight="1" s="60">
      <c r="A219" s="41" t="n"/>
      <c r="B219" s="41" t="n"/>
      <c r="C219" s="41" t="n"/>
      <c r="D219" s="41" t="n"/>
      <c r="E219" s="41" t="n"/>
      <c r="F219" s="41" t="n"/>
      <c r="G219" s="41">
        <f t="array" ref="G219">IF(C219="","",INDEX(Akaun!$F$5:$F$150,MATCH(C219,Akaun!$A$5:$A$150,0)))</f>
        <v/>
      </c>
    </row>
    <row r="220" ht="15" customHeight="1" s="60">
      <c r="A220" s="41" t="n"/>
      <c r="B220" s="41" t="n"/>
      <c r="C220" s="41" t="n"/>
      <c r="D220" s="41" t="n"/>
      <c r="E220" s="41" t="n"/>
      <c r="F220" s="41" t="n"/>
      <c r="G220" s="41">
        <f t="array" ref="G220">IF(C220="","",INDEX(Akaun!$F$5:$F$150,MATCH(C220,Akaun!$A$5:$A$150,0)))</f>
        <v/>
      </c>
    </row>
    <row r="221" ht="15" customHeight="1" s="60">
      <c r="A221" s="41" t="n"/>
      <c r="B221" s="41" t="n"/>
      <c r="C221" s="41" t="n"/>
      <c r="D221" s="41" t="n"/>
      <c r="E221" s="41" t="n"/>
      <c r="F221" s="41" t="n"/>
      <c r="G221" s="41">
        <f t="array" ref="G221">IF(C221="","",INDEX(Akaun!$F$5:$F$150,MATCH(C221,Akaun!$A$5:$A$150,0)))</f>
        <v/>
      </c>
    </row>
    <row r="222" ht="15" customHeight="1" s="60">
      <c r="A222" s="41" t="n"/>
      <c r="B222" s="41" t="n"/>
      <c r="C222" s="41" t="n"/>
      <c r="D222" s="41" t="n"/>
      <c r="E222" s="41" t="n"/>
      <c r="F222" s="41" t="n"/>
      <c r="G222" s="41">
        <f t="array" ref="G222">IF(C222="","",INDEX(Akaun!$F$5:$F$150,MATCH(C222,Akaun!$A$5:$A$150,0)))</f>
        <v/>
      </c>
    </row>
    <row r="223" ht="15" customHeight="1" s="60">
      <c r="A223" s="41" t="n"/>
      <c r="B223" s="41" t="n"/>
      <c r="C223" s="41" t="n"/>
      <c r="D223" s="41" t="n"/>
      <c r="E223" s="41" t="n"/>
      <c r="F223" s="41" t="n"/>
      <c r="G223" s="41">
        <f t="array" ref="G223">IF(C223="","",INDEX(Akaun!$F$5:$F$150,MATCH(C223,Akaun!$A$5:$A$150,0)))</f>
        <v/>
      </c>
    </row>
    <row r="224" ht="15" customHeight="1" s="60">
      <c r="A224" s="41" t="n"/>
      <c r="B224" s="41" t="n"/>
      <c r="C224" s="41" t="n"/>
      <c r="D224" s="41" t="n"/>
      <c r="E224" s="41" t="n"/>
      <c r="F224" s="41" t="n"/>
      <c r="G224" s="41">
        <f t="array" ref="G224">IF(C224="","",INDEX(Akaun!$F$5:$F$150,MATCH(C224,Akaun!$A$5:$A$150,0)))</f>
        <v/>
      </c>
    </row>
    <row r="225" ht="15" customHeight="1" s="60">
      <c r="A225" s="41" t="n"/>
      <c r="B225" s="41" t="n"/>
      <c r="C225" s="41" t="n"/>
      <c r="D225" s="41" t="n"/>
      <c r="E225" s="41" t="n"/>
      <c r="F225" s="41" t="n"/>
      <c r="G225" s="41">
        <f t="array" ref="G225">IF(C225="","",INDEX(Akaun!$F$5:$F$150,MATCH(C225,Akaun!$A$5:$A$150,0)))</f>
        <v/>
      </c>
    </row>
    <row r="226" ht="15" customHeight="1" s="60">
      <c r="A226" s="41" t="n"/>
      <c r="B226" s="41" t="n"/>
      <c r="C226" s="41" t="n"/>
      <c r="D226" s="41" t="n"/>
      <c r="E226" s="41" t="n"/>
      <c r="F226" s="41" t="n"/>
      <c r="G226" s="41">
        <f t="array" ref="G226">IF(C226="","",INDEX(Akaun!$F$5:$F$150,MATCH(C226,Akaun!$A$5:$A$150,0)))</f>
        <v/>
      </c>
    </row>
    <row r="227" ht="15" customHeight="1" s="60">
      <c r="A227" s="41" t="n"/>
      <c r="B227" s="41" t="n"/>
      <c r="C227" s="41" t="n"/>
      <c r="D227" s="41" t="n"/>
      <c r="E227" s="41" t="n"/>
      <c r="F227" s="41" t="n"/>
      <c r="G227" s="41">
        <f t="array" ref="G227">IF(C227="","",INDEX(Akaun!$F$5:$F$150,MATCH(C227,Akaun!$A$5:$A$150,0)))</f>
        <v/>
      </c>
    </row>
    <row r="228" ht="15" customHeight="1" s="60">
      <c r="A228" s="41" t="n"/>
      <c r="B228" s="41" t="n"/>
      <c r="C228" s="41" t="n"/>
      <c r="D228" s="41" t="n"/>
      <c r="E228" s="41" t="n"/>
      <c r="F228" s="41" t="n"/>
      <c r="G228" s="41">
        <f t="array" ref="G228">IF(C228="","",INDEX(Akaun!$F$5:$F$150,MATCH(C228,Akaun!$A$5:$A$150,0)))</f>
        <v/>
      </c>
    </row>
    <row r="229" ht="15" customHeight="1" s="60">
      <c r="A229" s="41" t="n"/>
      <c r="B229" s="41" t="n"/>
      <c r="C229" s="41" t="n"/>
      <c r="D229" s="41" t="n"/>
      <c r="E229" s="41" t="n"/>
      <c r="F229" s="41" t="n"/>
      <c r="G229" s="41">
        <f t="array" ref="G229">IF(C229="","",INDEX(Akaun!$F$5:$F$150,MATCH(C229,Akaun!$A$5:$A$150,0)))</f>
        <v/>
      </c>
    </row>
    <row r="230" ht="15" customHeight="1" s="60">
      <c r="A230" s="41" t="n"/>
      <c r="B230" s="41" t="n"/>
      <c r="C230" s="41" t="n"/>
      <c r="D230" s="41" t="n"/>
      <c r="E230" s="41" t="n"/>
      <c r="F230" s="41" t="n"/>
      <c r="G230" s="41">
        <f t="array" ref="G230">IF(C230="","",INDEX(Akaun!$F$5:$F$150,MATCH(C230,Akaun!$A$5:$A$150,0)))</f>
        <v/>
      </c>
    </row>
    <row r="231" ht="15" customHeight="1" s="60">
      <c r="A231" s="41" t="n"/>
      <c r="B231" s="41" t="n"/>
      <c r="C231" s="41" t="n"/>
      <c r="D231" s="41" t="n"/>
      <c r="E231" s="41" t="n"/>
      <c r="F231" s="41" t="n"/>
      <c r="G231" s="41">
        <f t="array" ref="G231">IF(C231="","",INDEX(Akaun!$F$5:$F$150,MATCH(C231,Akaun!$A$5:$A$150,0)))</f>
        <v/>
      </c>
    </row>
    <row r="232" ht="15" customHeight="1" s="60">
      <c r="A232" s="41" t="n"/>
      <c r="B232" s="41" t="n"/>
      <c r="C232" s="41" t="n"/>
      <c r="D232" s="41" t="n"/>
      <c r="E232" s="41" t="n"/>
      <c r="F232" s="41" t="n"/>
      <c r="G232" s="41">
        <f t="array" ref="G232">IF(C232="","",INDEX(Akaun!$F$5:$F$150,MATCH(C232,Akaun!$A$5:$A$150,0)))</f>
        <v/>
      </c>
    </row>
    <row r="233" ht="15" customHeight="1" s="60">
      <c r="A233" s="41" t="n"/>
      <c r="B233" s="41" t="n"/>
      <c r="C233" s="41" t="n"/>
      <c r="D233" s="41" t="n"/>
      <c r="E233" s="41" t="n"/>
      <c r="F233" s="41" t="n"/>
      <c r="G233" s="41">
        <f t="array" ref="G233">IF(C233="","",INDEX(Akaun!$F$5:$F$150,MATCH(C233,Akaun!$A$5:$A$150,0)))</f>
        <v/>
      </c>
    </row>
    <row r="234" ht="15" customHeight="1" s="60">
      <c r="A234" s="41" t="n"/>
      <c r="B234" s="41" t="n"/>
      <c r="C234" s="41" t="n"/>
      <c r="D234" s="41" t="n"/>
      <c r="E234" s="41" t="n"/>
      <c r="F234" s="41" t="n"/>
      <c r="G234" s="41">
        <f t="array" ref="G234">IF(C234="","",INDEX(Akaun!$F$5:$F$150,MATCH(C234,Akaun!$A$5:$A$150,0)))</f>
        <v/>
      </c>
    </row>
    <row r="235" ht="15" customHeight="1" s="60">
      <c r="A235" s="41" t="n"/>
      <c r="B235" s="41" t="n"/>
      <c r="C235" s="41" t="n"/>
      <c r="D235" s="41" t="n"/>
      <c r="E235" s="41" t="n"/>
      <c r="F235" s="41" t="n"/>
      <c r="G235" s="41">
        <f t="array" ref="G235">IF(C235="","",INDEX(Akaun!$F$5:$F$150,MATCH(C235,Akaun!$A$5:$A$150,0)))</f>
        <v/>
      </c>
    </row>
    <row r="236" ht="15" customHeight="1" s="60">
      <c r="A236" s="41" t="n"/>
      <c r="B236" s="41" t="n"/>
      <c r="C236" s="41" t="n"/>
      <c r="D236" s="41" t="n"/>
      <c r="E236" s="41" t="n"/>
      <c r="F236" s="41" t="n"/>
      <c r="G236" s="41">
        <f t="array" ref="G236">IF(C236="","",INDEX(Akaun!$F$5:$F$150,MATCH(C236,Akaun!$A$5:$A$150,0)))</f>
        <v/>
      </c>
    </row>
    <row r="237" ht="15" customHeight="1" s="60">
      <c r="A237" s="41" t="n"/>
      <c r="B237" s="41" t="n"/>
      <c r="C237" s="41" t="n"/>
      <c r="D237" s="41" t="n"/>
      <c r="E237" s="41" t="n"/>
      <c r="F237" s="41" t="n"/>
      <c r="G237" s="41">
        <f t="array" ref="G237">IF(C237="","",INDEX(Akaun!$F$5:$F$150,MATCH(C237,Akaun!$A$5:$A$150,0)))</f>
        <v/>
      </c>
    </row>
    <row r="238" ht="15" customHeight="1" s="60">
      <c r="A238" s="41" t="n"/>
      <c r="B238" s="41" t="n"/>
      <c r="C238" s="41" t="n"/>
      <c r="D238" s="41" t="n"/>
      <c r="E238" s="41" t="n"/>
      <c r="F238" s="41" t="n"/>
      <c r="G238" s="41">
        <f t="array" ref="G238">IF(C238="","",INDEX(Akaun!$F$5:$F$150,MATCH(C238,Akaun!$A$5:$A$150,0)))</f>
        <v/>
      </c>
    </row>
    <row r="239" ht="15" customHeight="1" s="60">
      <c r="A239" s="41" t="n"/>
      <c r="B239" s="41" t="n"/>
      <c r="C239" s="41" t="n"/>
      <c r="D239" s="41" t="n"/>
      <c r="E239" s="41" t="n"/>
      <c r="F239" s="41" t="n"/>
      <c r="G239" s="41">
        <f t="array" ref="G239">IF(C239="","",INDEX(Akaun!$F$5:$F$150,MATCH(C239,Akaun!$A$5:$A$150,0)))</f>
        <v/>
      </c>
    </row>
    <row r="240" ht="15" customHeight="1" s="60">
      <c r="A240" s="41" t="n"/>
      <c r="B240" s="41" t="n"/>
      <c r="C240" s="41" t="n"/>
      <c r="D240" s="41" t="n"/>
      <c r="E240" s="41" t="n"/>
      <c r="F240" s="41" t="n"/>
      <c r="G240" s="41">
        <f t="array" ref="G240">IF(C240="","",INDEX(Akaun!$F$5:$F$150,MATCH(C240,Akaun!$A$5:$A$150,0)))</f>
        <v/>
      </c>
    </row>
    <row r="241" ht="15" customHeight="1" s="60">
      <c r="A241" s="41" t="n"/>
      <c r="B241" s="41" t="n"/>
      <c r="C241" s="41" t="n"/>
      <c r="D241" s="41" t="n"/>
      <c r="E241" s="41" t="n"/>
      <c r="F241" s="41" t="n"/>
      <c r="G241" s="41">
        <f t="array" ref="G241">IF(C241="","",INDEX(Akaun!$F$5:$F$150,MATCH(C241,Akaun!$A$5:$A$150,0)))</f>
        <v/>
      </c>
    </row>
    <row r="242" ht="15" customHeight="1" s="60">
      <c r="A242" s="41" t="n"/>
      <c r="B242" s="41" t="n"/>
      <c r="C242" s="41" t="n"/>
      <c r="D242" s="41" t="n"/>
      <c r="E242" s="41" t="n"/>
      <c r="F242" s="41" t="n"/>
      <c r="G242" s="41">
        <f t="array" ref="G242">IF(C242="","",INDEX(Akaun!$F$5:$F$150,MATCH(C242,Akaun!$A$5:$A$150,0)))</f>
        <v/>
      </c>
    </row>
    <row r="243" ht="15" customHeight="1" s="60">
      <c r="A243" s="41" t="n"/>
      <c r="B243" s="41" t="n"/>
      <c r="C243" s="41" t="n"/>
      <c r="D243" s="41" t="n"/>
      <c r="E243" s="41" t="n"/>
      <c r="F243" s="41" t="n"/>
      <c r="G243" s="41">
        <f t="array" ref="G243">IF(C243="","",INDEX(Akaun!$F$5:$F$150,MATCH(C243,Akaun!$A$5:$A$150,0)))</f>
        <v/>
      </c>
    </row>
    <row r="244" ht="15" customHeight="1" s="60">
      <c r="A244" s="41" t="n"/>
      <c r="B244" s="41" t="n"/>
      <c r="C244" s="41" t="n"/>
      <c r="D244" s="41" t="n"/>
      <c r="E244" s="41" t="n"/>
      <c r="F244" s="41" t="n"/>
      <c r="G244" s="41">
        <f t="array" ref="G244">IF(C244="","",INDEX(Akaun!$F$5:$F$150,MATCH(C244,Akaun!$A$5:$A$150,0)))</f>
        <v/>
      </c>
    </row>
    <row r="245" ht="15" customHeight="1" s="60">
      <c r="A245" s="41" t="n"/>
      <c r="B245" s="41" t="n"/>
      <c r="C245" s="41" t="n"/>
      <c r="D245" s="41" t="n"/>
      <c r="E245" s="41" t="n"/>
      <c r="F245" s="41" t="n"/>
      <c r="G245" s="41">
        <f t="array" ref="G245">IF(C245="","",INDEX(Akaun!$F$5:$F$150,MATCH(C245,Akaun!$A$5:$A$150,0)))</f>
        <v/>
      </c>
    </row>
    <row r="246" ht="15" customHeight="1" s="60">
      <c r="A246" s="41" t="n"/>
      <c r="B246" s="41" t="n"/>
      <c r="C246" s="41" t="n"/>
      <c r="D246" s="41" t="n"/>
      <c r="E246" s="41" t="n"/>
      <c r="F246" s="41" t="n"/>
      <c r="G246" s="41">
        <f t="array" ref="G246">IF(C246="","",INDEX(Akaun!$F$5:$F$150,MATCH(C246,Akaun!$A$5:$A$150,0)))</f>
        <v/>
      </c>
    </row>
    <row r="247" ht="15" customHeight="1" s="60">
      <c r="A247" s="41" t="n"/>
      <c r="B247" s="41" t="n"/>
      <c r="C247" s="41" t="n"/>
      <c r="D247" s="41" t="n"/>
      <c r="E247" s="41" t="n"/>
      <c r="F247" s="41" t="n"/>
      <c r="G247" s="41">
        <f t="array" ref="G247">IF(C247="","",INDEX(Akaun!$F$5:$F$150,MATCH(C247,Akaun!$A$5:$A$150,0)))</f>
        <v/>
      </c>
    </row>
    <row r="248" ht="15" customHeight="1" s="60">
      <c r="A248" s="41" t="n"/>
      <c r="B248" s="41" t="n"/>
      <c r="C248" s="41" t="n"/>
      <c r="D248" s="41" t="n"/>
      <c r="E248" s="41" t="n"/>
      <c r="F248" s="41" t="n"/>
      <c r="G248" s="41">
        <f t="array" ref="G248">IF(C248="","",INDEX(Akaun!$F$5:$F$150,MATCH(C248,Akaun!$A$5:$A$150,0)))</f>
        <v/>
      </c>
    </row>
    <row r="249" ht="15" customHeight="1" s="60">
      <c r="A249" s="41" t="n"/>
      <c r="B249" s="41" t="n"/>
      <c r="C249" s="41" t="n"/>
      <c r="D249" s="41" t="n"/>
      <c r="E249" s="41" t="n"/>
      <c r="F249" s="41" t="n"/>
      <c r="G249" s="41">
        <f t="array" ref="G249">IF(C249="","",INDEX(Akaun!$F$5:$F$150,MATCH(C249,Akaun!$A$5:$A$150,0)))</f>
        <v/>
      </c>
    </row>
    <row r="250" ht="15" customHeight="1" s="60">
      <c r="A250" s="41" t="n"/>
      <c r="B250" s="41" t="n"/>
      <c r="C250" s="41" t="n"/>
      <c r="D250" s="41" t="n"/>
      <c r="E250" s="41" t="n"/>
      <c r="F250" s="41" t="n"/>
      <c r="G250" s="41">
        <f t="array" ref="G250">IF(C250="","",INDEX(Akaun!$F$5:$F$150,MATCH(C250,Akaun!$A$5:$A$150,0)))</f>
        <v/>
      </c>
    </row>
    <row r="251" ht="15" customHeight="1" s="60">
      <c r="A251" s="41" t="n"/>
      <c r="B251" s="41" t="n"/>
      <c r="C251" s="41" t="n"/>
      <c r="D251" s="41" t="n"/>
      <c r="E251" s="41" t="n"/>
      <c r="F251" s="41" t="n"/>
      <c r="G251" s="41">
        <f t="array" ref="G251">IF(C251="","",INDEX(Akaun!$F$5:$F$150,MATCH(C251,Akaun!$A$5:$A$150,0)))</f>
        <v/>
      </c>
    </row>
    <row r="252" ht="15" customHeight="1" s="60">
      <c r="A252" s="41" t="n"/>
      <c r="B252" s="41" t="n"/>
      <c r="C252" s="41" t="n"/>
      <c r="D252" s="41" t="n"/>
      <c r="E252" s="41" t="n"/>
      <c r="F252" s="41" t="n"/>
      <c r="G252" s="41">
        <f t="array" ref="G252">IF(C252="","",INDEX(Akaun!$F$5:$F$150,MATCH(C252,Akaun!$A$5:$A$150,0)))</f>
        <v/>
      </c>
    </row>
    <row r="253" ht="15" customHeight="1" s="60">
      <c r="A253" s="41" t="n"/>
      <c r="B253" s="41" t="n"/>
      <c r="C253" s="41" t="n"/>
      <c r="D253" s="41" t="n"/>
      <c r="E253" s="41" t="n"/>
      <c r="F253" s="41" t="n"/>
      <c r="G253" s="41">
        <f t="array" ref="G253">IF(C253="","",INDEX(Akaun!$F$5:$F$150,MATCH(C253,Akaun!$A$5:$A$150,0)))</f>
        <v/>
      </c>
    </row>
    <row r="254" ht="15" customHeight="1" s="60">
      <c r="A254" s="41" t="n"/>
      <c r="B254" s="41" t="n"/>
      <c r="C254" s="41" t="n"/>
      <c r="D254" s="41" t="n"/>
      <c r="E254" s="41" t="n"/>
      <c r="F254" s="41" t="n"/>
      <c r="G254" s="41">
        <f t="array" ref="G254">IF(C254="","",INDEX(Akaun!$F$5:$F$150,MATCH(C254,Akaun!$A$5:$A$150,0)))</f>
        <v/>
      </c>
    </row>
    <row r="255" ht="15" customHeight="1" s="60">
      <c r="A255" s="41" t="n"/>
      <c r="B255" s="41" t="n"/>
      <c r="C255" s="41" t="n"/>
      <c r="D255" s="41" t="n"/>
      <c r="E255" s="41" t="n"/>
      <c r="F255" s="41" t="n"/>
      <c r="G255" s="41">
        <f t="array" ref="G255">IF(C255="","",INDEX(Akaun!$F$5:$F$150,MATCH(C255,Akaun!$A$5:$A$150,0)))</f>
        <v/>
      </c>
    </row>
    <row r="256" ht="15" customHeight="1" s="60">
      <c r="A256" s="41" t="n"/>
      <c r="B256" s="41" t="n"/>
      <c r="C256" s="41" t="n"/>
      <c r="D256" s="41" t="n"/>
      <c r="E256" s="41" t="n"/>
      <c r="F256" s="41" t="n"/>
      <c r="G256" s="41">
        <f t="array" ref="G256">IF(C256="","",INDEX(Akaun!$F$5:$F$150,MATCH(C256,Akaun!$A$5:$A$150,0)))</f>
        <v/>
      </c>
    </row>
    <row r="257" ht="15" customHeight="1" s="60">
      <c r="A257" s="41" t="n"/>
      <c r="B257" s="41" t="n"/>
      <c r="C257" s="41" t="n"/>
      <c r="D257" s="41" t="n"/>
      <c r="E257" s="41" t="n"/>
      <c r="F257" s="41" t="n"/>
      <c r="G257" s="41">
        <f t="array" ref="G257">IF(C257="","",INDEX(Akaun!$F$5:$F$150,MATCH(C257,Akaun!$A$5:$A$150,0)))</f>
        <v/>
      </c>
    </row>
    <row r="258" ht="15" customHeight="1" s="60">
      <c r="A258" s="41" t="n"/>
      <c r="B258" s="41" t="n"/>
      <c r="C258" s="41" t="n"/>
      <c r="D258" s="41" t="n"/>
      <c r="E258" s="41" t="n"/>
      <c r="F258" s="41" t="n"/>
      <c r="G258" s="41">
        <f t="array" ref="G258">IF(C258="","",INDEX(Akaun!$F$5:$F$150,MATCH(C258,Akaun!$A$5:$A$150,0)))</f>
        <v/>
      </c>
    </row>
    <row r="259" ht="15" customHeight="1" s="60">
      <c r="A259" s="41" t="n"/>
      <c r="B259" s="41" t="n"/>
      <c r="C259" s="41" t="n"/>
      <c r="D259" s="41" t="n"/>
      <c r="E259" s="41" t="n"/>
      <c r="F259" s="41" t="n"/>
      <c r="G259" s="41">
        <f t="array" ref="G259">IF(C259="","",INDEX(Akaun!$F$5:$F$150,MATCH(C259,Akaun!$A$5:$A$150,0)))</f>
        <v/>
      </c>
    </row>
    <row r="260" ht="15" customHeight="1" s="60">
      <c r="A260" s="41" t="n"/>
      <c r="B260" s="41" t="n"/>
      <c r="C260" s="41" t="n"/>
      <c r="D260" s="41" t="n"/>
      <c r="E260" s="41" t="n"/>
      <c r="F260" s="41" t="n"/>
      <c r="G260" s="41">
        <f t="array" ref="G260">IF(C260="","",INDEX(Akaun!$F$5:$F$150,MATCH(C260,Akaun!$A$5:$A$150,0)))</f>
        <v/>
      </c>
    </row>
    <row r="261" ht="15" customHeight="1" s="60">
      <c r="A261" s="41" t="n"/>
      <c r="B261" s="41" t="n"/>
      <c r="C261" s="41" t="n"/>
      <c r="D261" s="41" t="n"/>
      <c r="E261" s="41" t="n"/>
      <c r="F261" s="41" t="n"/>
      <c r="G261" s="41">
        <f t="array" ref="G261">IF(C261="","",INDEX(Akaun!$F$5:$F$150,MATCH(C261,Akaun!$A$5:$A$150,0)))</f>
        <v/>
      </c>
    </row>
    <row r="262" ht="15" customHeight="1" s="60">
      <c r="A262" s="41" t="n"/>
      <c r="B262" s="41" t="n"/>
      <c r="C262" s="41" t="n"/>
      <c r="D262" s="41" t="n"/>
      <c r="E262" s="41" t="n"/>
      <c r="F262" s="41" t="n"/>
      <c r="G262" s="41">
        <f t="array" ref="G262">IF(C262="","",INDEX(Akaun!$F$5:$F$150,MATCH(C262,Akaun!$A$5:$A$150,0)))</f>
        <v/>
      </c>
    </row>
    <row r="263" ht="15" customHeight="1" s="60">
      <c r="A263" s="41" t="n"/>
      <c r="B263" s="41" t="n"/>
      <c r="C263" s="41" t="n"/>
      <c r="D263" s="41" t="n"/>
      <c r="E263" s="41" t="n"/>
      <c r="F263" s="41" t="n"/>
      <c r="G263" s="41">
        <f t="array" ref="G263">IF(C263="","",INDEX(Akaun!$F$5:$F$150,MATCH(C263,Akaun!$A$5:$A$150,0)))</f>
        <v/>
      </c>
    </row>
    <row r="264" ht="15" customHeight="1" s="60">
      <c r="A264" s="41" t="n"/>
      <c r="B264" s="41" t="n"/>
      <c r="C264" s="41" t="n"/>
      <c r="D264" s="41" t="n"/>
      <c r="E264" s="41" t="n"/>
      <c r="F264" s="41" t="n"/>
      <c r="G264" s="41">
        <f t="array" ref="G264">IF(C264="","",INDEX(Akaun!$F$5:$F$150,MATCH(C264,Akaun!$A$5:$A$150,0)))</f>
        <v/>
      </c>
    </row>
    <row r="265" ht="15" customHeight="1" s="60">
      <c r="A265" s="41" t="n"/>
      <c r="B265" s="41" t="n"/>
      <c r="C265" s="41" t="n"/>
      <c r="D265" s="41" t="n"/>
      <c r="E265" s="41" t="n"/>
      <c r="F265" s="41" t="n"/>
      <c r="G265" s="41">
        <f t="array" ref="G265">IF(C265="","",INDEX(Akaun!$F$5:$F$150,MATCH(C265,Akaun!$A$5:$A$150,0)))</f>
        <v/>
      </c>
    </row>
    <row r="266" ht="15" customHeight="1" s="60">
      <c r="A266" s="41" t="n"/>
      <c r="B266" s="41" t="n"/>
      <c r="C266" s="41" t="n"/>
      <c r="D266" s="41" t="n"/>
      <c r="E266" s="41" t="n"/>
      <c r="F266" s="41" t="n"/>
      <c r="G266" s="41">
        <f t="array" ref="G266">IF(C266="","",INDEX(Akaun!$F$5:$F$150,MATCH(C266,Akaun!$A$5:$A$150,0)))</f>
        <v/>
      </c>
    </row>
    <row r="267" ht="15" customHeight="1" s="60">
      <c r="A267" s="41" t="n"/>
      <c r="B267" s="41" t="n"/>
      <c r="C267" s="41" t="n"/>
      <c r="D267" s="41" t="n"/>
      <c r="E267" s="41" t="n"/>
      <c r="F267" s="41" t="n"/>
      <c r="G267" s="41">
        <f t="array" ref="G267">IF(C267="","",INDEX(Akaun!$F$5:$F$150,MATCH(C267,Akaun!$A$5:$A$150,0)))</f>
        <v/>
      </c>
    </row>
    <row r="268" ht="15" customHeight="1" s="60">
      <c r="A268" s="41" t="n"/>
      <c r="B268" s="41" t="n"/>
      <c r="C268" s="41" t="n"/>
      <c r="D268" s="41" t="n"/>
      <c r="E268" s="41" t="n"/>
      <c r="F268" s="41" t="n"/>
      <c r="G268" s="41">
        <f t="array" ref="G268">IF(C268="","",INDEX(Akaun!$F$5:$F$150,MATCH(C268,Akaun!$A$5:$A$150,0)))</f>
        <v/>
      </c>
    </row>
    <row r="269" ht="15" customHeight="1" s="60">
      <c r="A269" s="41" t="n"/>
      <c r="B269" s="41" t="n"/>
      <c r="C269" s="41" t="n"/>
      <c r="D269" s="41" t="n"/>
      <c r="E269" s="41" t="n"/>
      <c r="F269" s="41" t="n"/>
      <c r="G269" s="41">
        <f t="array" ref="G269">IF(C269="","",INDEX(Akaun!$F$5:$F$150,MATCH(C269,Akaun!$A$5:$A$150,0)))</f>
        <v/>
      </c>
    </row>
    <row r="270" ht="15" customHeight="1" s="60">
      <c r="A270" s="41" t="n"/>
      <c r="B270" s="41" t="n"/>
      <c r="C270" s="41" t="n"/>
      <c r="D270" s="41" t="n"/>
      <c r="E270" s="41" t="n"/>
      <c r="F270" s="41" t="n"/>
      <c r="G270" s="41">
        <f t="array" ref="G270">IF(C270="","",INDEX(Akaun!$F$5:$F$150,MATCH(C270,Akaun!$A$5:$A$150,0)))</f>
        <v/>
      </c>
    </row>
    <row r="271" ht="15" customHeight="1" s="60">
      <c r="A271" s="41" t="n"/>
      <c r="B271" s="41" t="n"/>
      <c r="C271" s="41" t="n"/>
      <c r="D271" s="41" t="n"/>
      <c r="E271" s="41" t="n"/>
      <c r="F271" s="41" t="n"/>
      <c r="G271" s="41">
        <f t="array" ref="G271">IF(C271="","",INDEX(Akaun!$F$5:$F$150,MATCH(C271,Akaun!$A$5:$A$150,0)))</f>
        <v/>
      </c>
    </row>
    <row r="272" ht="15" customHeight="1" s="60">
      <c r="A272" s="41" t="n"/>
      <c r="B272" s="41" t="n"/>
      <c r="C272" s="41" t="n"/>
      <c r="D272" s="41" t="n"/>
      <c r="E272" s="41" t="n"/>
      <c r="F272" s="41" t="n"/>
      <c r="G272" s="41">
        <f t="array" ref="G272">IF(C272="","",INDEX(Akaun!$F$5:$F$150,MATCH(C272,Akaun!$A$5:$A$150,0)))</f>
        <v/>
      </c>
    </row>
    <row r="273" ht="15" customHeight="1" s="60">
      <c r="A273" s="41" t="n"/>
      <c r="B273" s="41" t="n"/>
      <c r="C273" s="41" t="n"/>
      <c r="D273" s="41" t="n"/>
      <c r="E273" s="41" t="n"/>
      <c r="F273" s="41" t="n"/>
      <c r="G273" s="41">
        <f t="array" ref="G273">IF(C273="","",INDEX(Akaun!$F$5:$F$150,MATCH(C273,Akaun!$A$5:$A$150,0)))</f>
        <v/>
      </c>
    </row>
    <row r="274" ht="15" customHeight="1" s="60">
      <c r="A274" s="41" t="n"/>
      <c r="B274" s="41" t="n"/>
      <c r="C274" s="41" t="n"/>
      <c r="D274" s="41" t="n"/>
      <c r="E274" s="41" t="n"/>
      <c r="F274" s="41" t="n"/>
      <c r="G274" s="41">
        <f t="array" ref="G274">IF(C274="","",INDEX(Akaun!$F$5:$F$150,MATCH(C274,Akaun!$A$5:$A$150,0)))</f>
        <v/>
      </c>
    </row>
    <row r="275" ht="15" customHeight="1" s="60">
      <c r="A275" s="41" t="n"/>
      <c r="B275" s="41" t="n"/>
      <c r="C275" s="41" t="n"/>
      <c r="D275" s="41" t="n"/>
      <c r="E275" s="41" t="n"/>
      <c r="F275" s="41" t="n"/>
      <c r="G275" s="41">
        <f t="array" ref="G275">IF(C275="","",INDEX(Akaun!$F$5:$F$150,MATCH(C275,Akaun!$A$5:$A$150,0)))</f>
        <v/>
      </c>
    </row>
    <row r="276" ht="15" customHeight="1" s="60">
      <c r="A276" s="41" t="n"/>
      <c r="B276" s="41" t="n"/>
      <c r="C276" s="41" t="n"/>
      <c r="D276" s="41" t="n"/>
      <c r="E276" s="41" t="n"/>
      <c r="F276" s="41" t="n"/>
      <c r="G276" s="41">
        <f t="array" ref="G276">IF(C276="","",INDEX(Akaun!$F$5:$F$150,MATCH(C276,Akaun!$A$5:$A$150,0)))</f>
        <v/>
      </c>
    </row>
    <row r="277" ht="15" customHeight="1" s="60">
      <c r="A277" s="41" t="n"/>
      <c r="B277" s="41" t="n"/>
      <c r="C277" s="41" t="n"/>
      <c r="D277" s="41" t="n"/>
      <c r="E277" s="41" t="n"/>
      <c r="F277" s="41" t="n"/>
      <c r="G277" s="41">
        <f t="array" ref="G277">IF(C277="","",INDEX(Akaun!$F$5:$F$150,MATCH(C277,Akaun!$A$5:$A$150,0)))</f>
        <v/>
      </c>
    </row>
    <row r="278" ht="15" customHeight="1" s="60">
      <c r="A278" s="41" t="n"/>
      <c r="B278" s="41" t="n"/>
      <c r="C278" s="41" t="n"/>
      <c r="D278" s="41" t="n"/>
      <c r="E278" s="41" t="n"/>
      <c r="F278" s="41" t="n"/>
      <c r="G278" s="41">
        <f t="array" ref="G278">IF(C278="","",INDEX(Akaun!$F$5:$F$150,MATCH(C278,Akaun!$A$5:$A$150,0)))</f>
        <v/>
      </c>
    </row>
    <row r="279" ht="15" customHeight="1" s="60">
      <c r="A279" s="41" t="n"/>
      <c r="B279" s="41" t="n"/>
      <c r="C279" s="41" t="n"/>
      <c r="D279" s="41" t="n"/>
      <c r="E279" s="41" t="n"/>
      <c r="F279" s="41" t="n"/>
      <c r="G279" s="41">
        <f t="array" ref="G279">IF(C279="","",INDEX(Akaun!$F$5:$F$150,MATCH(C279,Akaun!$A$5:$A$150,0)))</f>
        <v/>
      </c>
    </row>
    <row r="280" ht="15" customHeight="1" s="60">
      <c r="A280" s="41" t="n"/>
      <c r="B280" s="41" t="n"/>
      <c r="C280" s="41" t="n"/>
      <c r="D280" s="41" t="n"/>
      <c r="E280" s="41" t="n"/>
      <c r="F280" s="41" t="n"/>
      <c r="G280" s="41">
        <f t="array" ref="G280">IF(C280="","",INDEX(Akaun!$F$5:$F$150,MATCH(C280,Akaun!$A$5:$A$150,0)))</f>
        <v/>
      </c>
    </row>
    <row r="281" ht="15" customHeight="1" s="60">
      <c r="A281" s="41" t="n"/>
      <c r="B281" s="41" t="n"/>
      <c r="C281" s="41" t="n"/>
      <c r="D281" s="41" t="n"/>
      <c r="E281" s="41" t="n"/>
      <c r="F281" s="41" t="n"/>
      <c r="G281" s="41">
        <f t="array" ref="G281">IF(C281="","",INDEX(Akaun!$F$5:$F$150,MATCH(C281,Akaun!$A$5:$A$150,0)))</f>
        <v/>
      </c>
    </row>
    <row r="282" ht="15" customHeight="1" s="60">
      <c r="A282" s="41" t="n"/>
      <c r="B282" s="41" t="n"/>
      <c r="C282" s="41" t="n"/>
      <c r="D282" s="41" t="n"/>
      <c r="E282" s="41" t="n"/>
      <c r="F282" s="41" t="n"/>
      <c r="G282" s="41">
        <f t="array" ref="G282">IF(C282="","",INDEX(Akaun!$F$5:$F$150,MATCH(C282,Akaun!$A$5:$A$150,0)))</f>
        <v/>
      </c>
    </row>
    <row r="283" ht="15" customHeight="1" s="60">
      <c r="A283" s="41" t="n"/>
      <c r="B283" s="41" t="n"/>
      <c r="C283" s="41" t="n"/>
      <c r="D283" s="41" t="n"/>
      <c r="E283" s="41" t="n"/>
      <c r="F283" s="41" t="n"/>
      <c r="G283" s="41">
        <f t="array" ref="G283">IF(C283="","",INDEX(Akaun!$F$5:$F$150,MATCH(C283,Akaun!$A$5:$A$150,0)))</f>
        <v/>
      </c>
    </row>
    <row r="284" ht="15" customHeight="1" s="60">
      <c r="A284" s="41" t="n"/>
      <c r="B284" s="41" t="n"/>
      <c r="C284" s="41" t="n"/>
      <c r="D284" s="41" t="n"/>
      <c r="E284" s="41" t="n"/>
      <c r="F284" s="41" t="n"/>
      <c r="G284" s="41">
        <f t="array" ref="G284">IF(C284="","",INDEX(Akaun!$F$5:$F$150,MATCH(C284,Akaun!$A$5:$A$150,0)))</f>
        <v/>
      </c>
    </row>
    <row r="285" ht="15" customHeight="1" s="60">
      <c r="A285" s="41" t="n"/>
      <c r="B285" s="41" t="n"/>
      <c r="C285" s="41" t="n"/>
      <c r="D285" s="41" t="n"/>
      <c r="E285" s="41" t="n"/>
      <c r="F285" s="41" t="n"/>
      <c r="G285" s="41">
        <f t="array" ref="G285">IF(C285="","",INDEX(Akaun!$F$5:$F$150,MATCH(C285,Akaun!$A$5:$A$150,0)))</f>
        <v/>
      </c>
    </row>
    <row r="286" ht="15" customHeight="1" s="60">
      <c r="A286" s="41" t="n"/>
      <c r="B286" s="41" t="n"/>
      <c r="C286" s="41" t="n"/>
      <c r="D286" s="41" t="n"/>
      <c r="E286" s="41" t="n"/>
      <c r="F286" s="41" t="n"/>
      <c r="G286" s="41">
        <f t="array" ref="G286">IF(C286="","",INDEX(Akaun!$F$5:$F$150,MATCH(C286,Akaun!$A$5:$A$150,0)))</f>
        <v/>
      </c>
    </row>
    <row r="287" ht="15" customHeight="1" s="60">
      <c r="A287" s="41" t="n"/>
      <c r="B287" s="41" t="n"/>
      <c r="C287" s="41" t="n"/>
      <c r="D287" s="41" t="n"/>
      <c r="E287" s="41" t="n"/>
      <c r="F287" s="41" t="n"/>
      <c r="G287" s="41">
        <f t="array" ref="G287">IF(C287="","",INDEX(Akaun!$F$5:$F$150,MATCH(C287,Akaun!$A$5:$A$150,0)))</f>
        <v/>
      </c>
    </row>
    <row r="288" ht="15" customHeight="1" s="60">
      <c r="A288" s="41" t="n"/>
      <c r="B288" s="41" t="n"/>
      <c r="C288" s="41" t="n"/>
      <c r="D288" s="41" t="n"/>
      <c r="E288" s="41" t="n"/>
      <c r="F288" s="41" t="n"/>
      <c r="G288" s="41">
        <f t="array" ref="G288">IF(C288="","",INDEX(Akaun!$F$5:$F$150,MATCH(C288,Akaun!$A$5:$A$150,0)))</f>
        <v/>
      </c>
    </row>
    <row r="289" ht="15" customHeight="1" s="60">
      <c r="A289" s="41" t="n"/>
      <c r="B289" s="41" t="n"/>
      <c r="C289" s="41" t="n"/>
      <c r="D289" s="41" t="n"/>
      <c r="E289" s="41" t="n"/>
      <c r="F289" s="41" t="n"/>
      <c r="G289" s="41">
        <f t="array" ref="G289">IF(C289="","",INDEX(Akaun!$F$5:$F$150,MATCH(C289,Akaun!$A$5:$A$150,0)))</f>
        <v/>
      </c>
    </row>
    <row r="290" ht="15" customHeight="1" s="60">
      <c r="A290" s="41" t="n"/>
      <c r="B290" s="41" t="n"/>
      <c r="C290" s="41" t="n"/>
      <c r="D290" s="41" t="n"/>
      <c r="E290" s="41" t="n"/>
      <c r="F290" s="41" t="n"/>
      <c r="G290" s="41">
        <f t="array" ref="G290">IF(C290="","",INDEX(Akaun!$F$5:$F$150,MATCH(C290,Akaun!$A$5:$A$150,0)))</f>
        <v/>
      </c>
    </row>
    <row r="291" ht="15" customHeight="1" s="60">
      <c r="A291" s="41" t="n"/>
      <c r="B291" s="41" t="n"/>
      <c r="C291" s="41" t="n"/>
      <c r="D291" s="41" t="n"/>
      <c r="E291" s="41" t="n"/>
      <c r="F291" s="41" t="n"/>
      <c r="G291" s="41">
        <f t="array" ref="G291">IF(C291="","",INDEX(Akaun!$F$5:$F$150,MATCH(C291,Akaun!$A$5:$A$150,0)))</f>
        <v/>
      </c>
    </row>
    <row r="292" ht="15" customHeight="1" s="60">
      <c r="A292" s="41" t="n"/>
      <c r="B292" s="41" t="n"/>
      <c r="C292" s="41" t="n"/>
      <c r="D292" s="41" t="n"/>
      <c r="E292" s="41" t="n"/>
      <c r="F292" s="41" t="n"/>
      <c r="G292" s="41">
        <f t="array" ref="G292">IF(C292="","",INDEX(Akaun!$F$5:$F$150,MATCH(C292,Akaun!$A$5:$A$150,0)))</f>
        <v/>
      </c>
    </row>
    <row r="293" ht="15" customHeight="1" s="60">
      <c r="A293" s="41" t="n"/>
      <c r="B293" s="41" t="n"/>
      <c r="C293" s="41" t="n"/>
      <c r="D293" s="41" t="n"/>
      <c r="E293" s="41" t="n"/>
      <c r="F293" s="41" t="n"/>
      <c r="G293" s="41">
        <f t="array" ref="G293">IF(C293="","",INDEX(Akaun!$F$5:$F$150,MATCH(C293,Akaun!$A$5:$A$150,0)))</f>
        <v/>
      </c>
    </row>
    <row r="294" ht="15" customHeight="1" s="60">
      <c r="A294" s="41" t="n"/>
      <c r="B294" s="41" t="n"/>
      <c r="C294" s="41" t="n"/>
      <c r="D294" s="41" t="n"/>
      <c r="E294" s="41" t="n"/>
      <c r="F294" s="41" t="n"/>
      <c r="G294" s="41">
        <f t="array" ref="G294">IF(C294="","",INDEX(Akaun!$F$5:$F$150,MATCH(C294,Akaun!$A$5:$A$150,0)))</f>
        <v/>
      </c>
    </row>
    <row r="295" ht="15" customHeight="1" s="60">
      <c r="A295" s="41" t="n"/>
      <c r="B295" s="41" t="n"/>
      <c r="C295" s="41" t="n"/>
      <c r="D295" s="41" t="n"/>
      <c r="E295" s="41" t="n"/>
      <c r="F295" s="41" t="n"/>
      <c r="G295" s="41">
        <f t="array" ref="G295">IF(C295="","",INDEX(Akaun!$F$5:$F$150,MATCH(C295,Akaun!$A$5:$A$150,0)))</f>
        <v/>
      </c>
    </row>
    <row r="296" ht="15" customHeight="1" s="60">
      <c r="A296" s="41" t="n"/>
      <c r="B296" s="41" t="n"/>
      <c r="C296" s="41" t="n"/>
      <c r="D296" s="41" t="n"/>
      <c r="E296" s="41" t="n"/>
      <c r="F296" s="41" t="n"/>
      <c r="G296" s="41">
        <f t="array" ref="G296">IF(C296="","",INDEX(Akaun!$F$5:$F$150,MATCH(C296,Akaun!$A$5:$A$150,0)))</f>
        <v/>
      </c>
    </row>
    <row r="297" ht="15" customHeight="1" s="60">
      <c r="A297" s="41" t="n"/>
      <c r="B297" s="41" t="n"/>
      <c r="C297" s="41" t="n"/>
      <c r="D297" s="41" t="n"/>
      <c r="E297" s="41" t="n"/>
      <c r="F297" s="41" t="n"/>
      <c r="G297" s="41">
        <f t="array" ref="G297">IF(C297="","",INDEX(Akaun!$F$5:$F$150,MATCH(C297,Akaun!$A$5:$A$150,0)))</f>
        <v/>
      </c>
    </row>
    <row r="298" ht="15" customHeight="1" s="60">
      <c r="A298" s="41" t="n"/>
      <c r="B298" s="41" t="n"/>
      <c r="C298" s="41" t="n"/>
      <c r="D298" s="41" t="n"/>
      <c r="E298" s="41" t="n"/>
      <c r="F298" s="41" t="n"/>
      <c r="G298" s="41">
        <f t="array" ref="G298">IF(C298="","",INDEX(Akaun!$F$5:$F$150,MATCH(C298,Akaun!$A$5:$A$150,0)))</f>
        <v/>
      </c>
    </row>
    <row r="299" ht="15" customHeight="1" s="60">
      <c r="A299" s="41" t="n"/>
      <c r="B299" s="41" t="n"/>
      <c r="C299" s="41" t="n"/>
      <c r="D299" s="41" t="n"/>
      <c r="E299" s="41" t="n"/>
      <c r="F299" s="41" t="n"/>
      <c r="G299" s="41">
        <f t="array" ref="G299">IF(C299="","",INDEX(Akaun!$F$5:$F$150,MATCH(C299,Akaun!$A$5:$A$150,0)))</f>
        <v/>
      </c>
    </row>
    <row r="300" ht="15" customHeight="1" s="60">
      <c r="A300" s="41" t="n"/>
      <c r="B300" s="41" t="n"/>
      <c r="C300" s="41" t="n"/>
      <c r="D300" s="41" t="n"/>
      <c r="E300" s="41" t="n"/>
      <c r="F300" s="41" t="n"/>
      <c r="G300" s="41">
        <f t="array" ref="G300">IF(C300="","",INDEX(Akaun!$F$5:$F$150,MATCH(C300,Akaun!$A$5:$A$150,0)))</f>
        <v/>
      </c>
    </row>
    <row r="301" ht="15" customHeight="1" s="60">
      <c r="A301" s="41" t="n"/>
      <c r="B301" s="41" t="n"/>
      <c r="C301" s="41" t="n"/>
      <c r="D301" s="41" t="n"/>
      <c r="E301" s="41" t="n"/>
      <c r="F301" s="41" t="n"/>
      <c r="G301" s="41">
        <f t="array" ref="G301">IF(C301="","",INDEX(Akaun!$F$5:$F$150,MATCH(C301,Akaun!$A$5:$A$150,0)))</f>
        <v/>
      </c>
    </row>
    <row r="302" ht="15" customHeight="1" s="60">
      <c r="A302" s="41" t="n"/>
      <c r="B302" s="41" t="n"/>
      <c r="C302" s="41" t="n"/>
      <c r="D302" s="41" t="n"/>
      <c r="E302" s="41" t="n"/>
      <c r="F302" s="41" t="n"/>
      <c r="G302" s="41">
        <f t="array" ref="G302">IF(C302="","",INDEX(Akaun!$F$5:$F$150,MATCH(C302,Akaun!$A$5:$A$150,0)))</f>
        <v/>
      </c>
    </row>
    <row r="303" ht="15" customHeight="1" s="60">
      <c r="A303" s="41" t="n"/>
      <c r="B303" s="41" t="n"/>
      <c r="C303" s="41" t="n"/>
      <c r="D303" s="41" t="n"/>
      <c r="E303" s="41" t="n"/>
      <c r="F303" s="41" t="n"/>
      <c r="G303" s="41">
        <f t="array" ref="G303">IF(C303="","",INDEX(Akaun!$F$5:$F$150,MATCH(C303,Akaun!$A$5:$A$150,0)))</f>
        <v/>
      </c>
    </row>
    <row r="304" ht="15" customHeight="1" s="60">
      <c r="A304" s="41" t="n"/>
      <c r="B304" s="41" t="n"/>
      <c r="C304" s="41" t="n"/>
      <c r="D304" s="41" t="n"/>
      <c r="E304" s="41" t="n"/>
      <c r="F304" s="41" t="n"/>
      <c r="G304" s="41">
        <f t="array" ref="G304">IF(C304="","",INDEX(Akaun!$F$5:$F$150,MATCH(C304,Akaun!$A$5:$A$150,0)))</f>
        <v/>
      </c>
    </row>
    <row r="305" ht="15" customHeight="1" s="60">
      <c r="A305" s="41" t="n"/>
      <c r="B305" s="41" t="n"/>
      <c r="C305" s="41" t="n"/>
      <c r="D305" s="41" t="n"/>
      <c r="E305" s="41" t="n"/>
      <c r="F305" s="41" t="n"/>
      <c r="G305" s="41">
        <f t="array" ref="G305">IF(C305="","",INDEX(Akaun!$F$5:$F$150,MATCH(C305,Akaun!$A$5:$A$150,0)))</f>
        <v/>
      </c>
    </row>
    <row r="306" ht="15" customHeight="1" s="60">
      <c r="A306" s="41" t="n"/>
      <c r="B306" s="41" t="n"/>
      <c r="C306" s="41" t="n"/>
      <c r="D306" s="41" t="n"/>
      <c r="E306" s="41" t="n"/>
      <c r="F306" s="41" t="n"/>
      <c r="G306" s="41">
        <f t="array" ref="G306">IF(C306="","",INDEX(Akaun!$F$5:$F$150,MATCH(C306,Akaun!$A$5:$A$150,0)))</f>
        <v/>
      </c>
    </row>
    <row r="307" ht="15" customHeight="1" s="60">
      <c r="A307" s="41" t="n"/>
      <c r="B307" s="41" t="n"/>
      <c r="C307" s="41" t="n"/>
      <c r="D307" s="41" t="n"/>
      <c r="E307" s="41" t="n"/>
      <c r="F307" s="41" t="n"/>
      <c r="G307" s="41">
        <f t="array" ref="G307">IF(C307="","",INDEX(Akaun!$F$5:$F$150,MATCH(C307,Akaun!$A$5:$A$150,0)))</f>
        <v/>
      </c>
    </row>
    <row r="308" ht="15" customHeight="1" s="60">
      <c r="A308" s="41" t="n"/>
      <c r="B308" s="41" t="n"/>
      <c r="C308" s="41" t="n"/>
      <c r="D308" s="41" t="n"/>
      <c r="E308" s="41" t="n"/>
      <c r="F308" s="41" t="n"/>
      <c r="G308" s="41">
        <f t="array" ref="G308">IF(C308="","",INDEX(Akaun!$F$5:$F$150,MATCH(C308,Akaun!$A$5:$A$150,0)))</f>
        <v/>
      </c>
    </row>
    <row r="309" ht="15" customHeight="1" s="60">
      <c r="A309" s="41" t="n"/>
      <c r="B309" s="41" t="n"/>
      <c r="C309" s="41" t="n"/>
      <c r="D309" s="41" t="n"/>
      <c r="E309" s="41" t="n"/>
      <c r="F309" s="41" t="n"/>
      <c r="G309" s="41">
        <f t="array" ref="G309">IF(C309="","",INDEX(Akaun!$F$5:$F$150,MATCH(C309,Akaun!$A$5:$A$150,0)))</f>
        <v/>
      </c>
    </row>
    <row r="310" ht="15" customHeight="1" s="60">
      <c r="A310" s="41" t="n"/>
      <c r="B310" s="41" t="n"/>
      <c r="C310" s="41" t="n"/>
      <c r="D310" s="41" t="n"/>
      <c r="E310" s="41" t="n"/>
      <c r="F310" s="41" t="n"/>
      <c r="G310" s="41">
        <f t="array" ref="G310">IF(C310="","",INDEX(Akaun!$F$5:$F$150,MATCH(C310,Akaun!$A$5:$A$150,0)))</f>
        <v/>
      </c>
    </row>
    <row r="311" ht="15" customHeight="1" s="60">
      <c r="A311" s="41" t="n"/>
      <c r="B311" s="41" t="n"/>
      <c r="C311" s="41" t="n"/>
      <c r="D311" s="41" t="n"/>
      <c r="E311" s="41" t="n"/>
      <c r="F311" s="41" t="n"/>
      <c r="G311" s="41">
        <f t="array" ref="G311">IF(C311="","",INDEX(Akaun!$F$5:$F$150,MATCH(C311,Akaun!$A$5:$A$150,0)))</f>
        <v/>
      </c>
    </row>
    <row r="312" ht="15" customHeight="1" s="60">
      <c r="A312" s="41" t="n"/>
      <c r="B312" s="41" t="n"/>
      <c r="C312" s="41" t="n"/>
      <c r="D312" s="41" t="n"/>
      <c r="E312" s="41" t="n"/>
      <c r="F312" s="41" t="n"/>
      <c r="G312" s="41">
        <f t="array" ref="G312">IF(C312="","",INDEX(Akaun!$F$5:$F$150,MATCH(C312,Akaun!$A$5:$A$150,0)))</f>
        <v/>
      </c>
    </row>
    <row r="313" ht="15" customHeight="1" s="60">
      <c r="A313" s="41" t="n"/>
      <c r="B313" s="41" t="n"/>
      <c r="C313" s="41" t="n"/>
      <c r="D313" s="41" t="n"/>
      <c r="E313" s="41" t="n"/>
      <c r="F313" s="41" t="n"/>
      <c r="G313" s="41">
        <f t="array" ref="G313">IF(C313="","",INDEX(Akaun!$F$5:$F$150,MATCH(C313,Akaun!$A$5:$A$150,0)))</f>
        <v/>
      </c>
    </row>
    <row r="314" ht="15" customHeight="1" s="60">
      <c r="A314" s="41" t="n"/>
      <c r="B314" s="41" t="n"/>
      <c r="C314" s="41" t="n"/>
      <c r="D314" s="41" t="n"/>
      <c r="E314" s="41" t="n"/>
      <c r="F314" s="41" t="n"/>
      <c r="G314" s="41">
        <f t="array" ref="G314">IF(C314="","",INDEX(Akaun!$F$5:$F$150,MATCH(C314,Akaun!$A$5:$A$150,0)))</f>
        <v/>
      </c>
    </row>
    <row r="315" ht="15" customHeight="1" s="60">
      <c r="A315" s="41" t="n"/>
      <c r="B315" s="41" t="n"/>
      <c r="C315" s="41" t="n"/>
      <c r="D315" s="41" t="n"/>
      <c r="E315" s="41" t="n"/>
      <c r="F315" s="41" t="n"/>
      <c r="G315" s="41">
        <f t="array" ref="G315">IF(C315="","",INDEX(Akaun!$F$5:$F$150,MATCH(C315,Akaun!$A$5:$A$150,0)))</f>
        <v/>
      </c>
    </row>
    <row r="316" ht="15" customHeight="1" s="60">
      <c r="A316" s="41" t="n"/>
      <c r="B316" s="41" t="n"/>
      <c r="C316" s="41" t="n"/>
      <c r="D316" s="41" t="n"/>
      <c r="E316" s="41" t="n"/>
      <c r="F316" s="41" t="n"/>
      <c r="G316" s="41">
        <f t="array" ref="G316">IF(C316="","",INDEX(Akaun!$F$5:$F$150,MATCH(C316,Akaun!$A$5:$A$150,0)))</f>
        <v/>
      </c>
    </row>
    <row r="317" ht="15" customHeight="1" s="60">
      <c r="A317" s="41" t="n"/>
      <c r="B317" s="41" t="n"/>
      <c r="C317" s="41" t="n"/>
      <c r="D317" s="41" t="n"/>
      <c r="E317" s="41" t="n"/>
      <c r="F317" s="41" t="n"/>
      <c r="G317" s="41">
        <f t="array" ref="G317">IF(C317="","",INDEX(Akaun!$F$5:$F$150,MATCH(C317,Akaun!$A$5:$A$150,0)))</f>
        <v/>
      </c>
    </row>
    <row r="318" ht="15" customHeight="1" s="60">
      <c r="A318" s="41" t="n"/>
      <c r="B318" s="41" t="n"/>
      <c r="C318" s="41" t="n"/>
      <c r="D318" s="41" t="n"/>
      <c r="E318" s="41" t="n"/>
      <c r="F318" s="41" t="n"/>
      <c r="G318" s="41">
        <f t="array" ref="G318">IF(C318="","",INDEX(Akaun!$F$5:$F$150,MATCH(C318,Akaun!$A$5:$A$150,0)))</f>
        <v/>
      </c>
    </row>
    <row r="319" ht="15" customHeight="1" s="60">
      <c r="A319" s="41" t="n"/>
      <c r="B319" s="41" t="n"/>
      <c r="C319" s="41" t="n"/>
      <c r="D319" s="41" t="n"/>
      <c r="E319" s="41" t="n"/>
      <c r="F319" s="41" t="n"/>
      <c r="G319" s="41">
        <f t="array" ref="G319">IF(C319="","",INDEX(Akaun!$F$5:$F$150,MATCH(C319,Akaun!$A$5:$A$150,0)))</f>
        <v/>
      </c>
    </row>
    <row r="320" ht="15" customHeight="1" s="60">
      <c r="A320" s="41" t="n"/>
      <c r="B320" s="41" t="n"/>
      <c r="C320" s="41" t="n"/>
      <c r="D320" s="41" t="n"/>
      <c r="E320" s="41" t="n"/>
      <c r="F320" s="41" t="n"/>
      <c r="G320" s="41">
        <f t="array" ref="G320">IF(C320="","",INDEX(Akaun!$F$5:$F$150,MATCH(C320,Akaun!$A$5:$A$150,0)))</f>
        <v/>
      </c>
    </row>
    <row r="321" ht="15" customHeight="1" s="60">
      <c r="A321" s="41" t="n"/>
      <c r="B321" s="41" t="n"/>
      <c r="C321" s="41" t="n"/>
      <c r="D321" s="41" t="n"/>
      <c r="E321" s="41" t="n"/>
      <c r="F321" s="41" t="n"/>
      <c r="G321" s="41">
        <f t="array" ref="G321">IF(C321="","",INDEX(Akaun!$F$5:$F$150,MATCH(C321,Akaun!$A$5:$A$150,0)))</f>
        <v/>
      </c>
    </row>
    <row r="322" ht="15" customHeight="1" s="60">
      <c r="A322" s="41" t="n"/>
      <c r="B322" s="41" t="n"/>
      <c r="C322" s="41" t="n"/>
      <c r="D322" s="41" t="n"/>
      <c r="E322" s="41" t="n"/>
      <c r="F322" s="41" t="n"/>
      <c r="G322" s="41">
        <f t="array" ref="G322">IF(C322="","",INDEX(Akaun!$F$5:$F$150,MATCH(C322,Akaun!$A$5:$A$150,0)))</f>
        <v/>
      </c>
    </row>
    <row r="323" ht="15" customHeight="1" s="60">
      <c r="A323" s="41" t="n"/>
      <c r="B323" s="41" t="n"/>
      <c r="C323" s="41" t="n"/>
      <c r="D323" s="41" t="n"/>
      <c r="E323" s="41" t="n"/>
      <c r="F323" s="41" t="n"/>
      <c r="G323" s="41">
        <f t="array" ref="G323">IF(C323="","",INDEX(Akaun!$F$5:$F$150,MATCH(C323,Akaun!$A$5:$A$150,0)))</f>
        <v/>
      </c>
    </row>
    <row r="324" ht="15" customHeight="1" s="60">
      <c r="A324" s="41" t="n"/>
      <c r="B324" s="41" t="n"/>
      <c r="C324" s="41" t="n"/>
      <c r="D324" s="41" t="n"/>
      <c r="E324" s="41" t="n"/>
      <c r="F324" s="41" t="n"/>
      <c r="G324" s="41">
        <f t="array" ref="G324">IF(C324="","",INDEX(Akaun!$F$5:$F$150,MATCH(C324,Akaun!$A$5:$A$150,0)))</f>
        <v/>
      </c>
    </row>
    <row r="325" ht="15" customHeight="1" s="60">
      <c r="A325" s="41" t="n"/>
      <c r="B325" s="41" t="n"/>
      <c r="C325" s="41" t="n"/>
      <c r="D325" s="41" t="n"/>
      <c r="E325" s="41" t="n"/>
      <c r="F325" s="41" t="n"/>
      <c r="G325" s="41">
        <f t="array" ref="G325">IF(C325="","",INDEX(Akaun!$F$5:$F$150,MATCH(C325,Akaun!$A$5:$A$150,0)))</f>
        <v/>
      </c>
    </row>
    <row r="326" ht="15" customHeight="1" s="60">
      <c r="A326" s="41" t="n"/>
      <c r="B326" s="41" t="n"/>
      <c r="C326" s="41" t="n"/>
      <c r="D326" s="41" t="n"/>
      <c r="E326" s="41" t="n"/>
      <c r="F326" s="41" t="n"/>
      <c r="G326" s="41">
        <f t="array" ref="G326">IF(C326="","",INDEX(Akaun!$F$5:$F$150,MATCH(C326,Akaun!$A$5:$A$150,0)))</f>
        <v/>
      </c>
    </row>
    <row r="327" ht="15" customHeight="1" s="60">
      <c r="A327" s="41" t="n"/>
      <c r="B327" s="41" t="n"/>
      <c r="C327" s="41" t="n"/>
      <c r="D327" s="41" t="n"/>
      <c r="E327" s="41" t="n"/>
      <c r="F327" s="41" t="n"/>
      <c r="G327" s="41">
        <f t="array" ref="G327">IF(C327="","",INDEX(Akaun!$F$5:$F$150,MATCH(C327,Akaun!$A$5:$A$150,0)))</f>
        <v/>
      </c>
    </row>
    <row r="328" ht="15" customHeight="1" s="60">
      <c r="A328" s="41" t="n"/>
      <c r="B328" s="41" t="n"/>
      <c r="C328" s="41" t="n"/>
      <c r="D328" s="41" t="n"/>
      <c r="E328" s="41" t="n"/>
      <c r="F328" s="41" t="n"/>
      <c r="G328" s="41">
        <f t="array" ref="G328">IF(C328="","",INDEX(Akaun!$F$5:$F$150,MATCH(C328,Akaun!$A$5:$A$150,0)))</f>
        <v/>
      </c>
    </row>
    <row r="329" ht="15" customHeight="1" s="60">
      <c r="A329" s="41" t="n"/>
      <c r="B329" s="41" t="n"/>
      <c r="C329" s="41" t="n"/>
      <c r="D329" s="41" t="n"/>
      <c r="E329" s="41" t="n"/>
      <c r="F329" s="41" t="n"/>
      <c r="G329" s="41">
        <f t="array" ref="G329">IF(C329="","",INDEX(Akaun!$F$5:$F$150,MATCH(C329,Akaun!$A$5:$A$150,0)))</f>
        <v/>
      </c>
    </row>
    <row r="330" ht="15" customHeight="1" s="60">
      <c r="A330" s="41" t="n"/>
      <c r="B330" s="41" t="n"/>
      <c r="C330" s="41" t="n"/>
      <c r="D330" s="41" t="n"/>
      <c r="E330" s="41" t="n"/>
      <c r="F330" s="41" t="n"/>
      <c r="G330" s="41">
        <f t="array" ref="G330">IF(C330="","",INDEX(Akaun!$F$5:$F$150,MATCH(C330,Akaun!$A$5:$A$150,0)))</f>
        <v/>
      </c>
    </row>
    <row r="331" ht="15" customHeight="1" s="60">
      <c r="A331" s="41" t="n"/>
      <c r="B331" s="41" t="n"/>
      <c r="C331" s="41" t="n"/>
      <c r="D331" s="41" t="n"/>
      <c r="E331" s="41" t="n"/>
      <c r="F331" s="41" t="n"/>
      <c r="G331" s="41">
        <f t="array" ref="G331">IF(C331="","",INDEX(Akaun!$F$5:$F$150,MATCH(C331,Akaun!$A$5:$A$150,0)))</f>
        <v/>
      </c>
    </row>
    <row r="332" ht="15" customHeight="1" s="60">
      <c r="A332" s="41" t="n"/>
      <c r="B332" s="41" t="n"/>
      <c r="C332" s="41" t="n"/>
      <c r="D332" s="41" t="n"/>
      <c r="E332" s="41" t="n"/>
      <c r="F332" s="41" t="n"/>
      <c r="G332" s="41">
        <f t="array" ref="G332">IF(C332="","",INDEX(Akaun!$F$5:$F$150,MATCH(C332,Akaun!$A$5:$A$150,0)))</f>
        <v/>
      </c>
    </row>
    <row r="333" ht="15" customHeight="1" s="60">
      <c r="A333" s="41" t="n"/>
      <c r="B333" s="41" t="n"/>
      <c r="C333" s="41" t="n"/>
      <c r="D333" s="41" t="n"/>
      <c r="E333" s="41" t="n"/>
      <c r="F333" s="41" t="n"/>
      <c r="G333" s="41">
        <f t="array" ref="G333">IF(C333="","",INDEX(Akaun!$F$5:$F$150,MATCH(C333,Akaun!$A$5:$A$150,0)))</f>
        <v/>
      </c>
    </row>
    <row r="334" ht="15" customHeight="1" s="60">
      <c r="A334" s="41" t="n"/>
      <c r="B334" s="41" t="n"/>
      <c r="C334" s="41" t="n"/>
      <c r="D334" s="41" t="n"/>
      <c r="E334" s="41" t="n"/>
      <c r="F334" s="41" t="n"/>
      <c r="G334" s="41">
        <f t="array" ref="G334">IF(C334="","",INDEX(Akaun!$F$5:$F$150,MATCH(C334,Akaun!$A$5:$A$150,0)))</f>
        <v/>
      </c>
    </row>
    <row r="335" ht="15" customHeight="1" s="60">
      <c r="A335" s="41" t="n"/>
      <c r="B335" s="41" t="n"/>
      <c r="C335" s="41" t="n"/>
      <c r="D335" s="41" t="n"/>
      <c r="E335" s="41" t="n"/>
      <c r="F335" s="41" t="n"/>
      <c r="G335" s="41">
        <f t="array" ref="G335">IF(C335="","",INDEX(Akaun!$F$5:$F$150,MATCH(C335,Akaun!$A$5:$A$150,0)))</f>
        <v/>
      </c>
    </row>
    <row r="336" ht="15" customHeight="1" s="60">
      <c r="A336" s="41" t="n"/>
      <c r="B336" s="41" t="n"/>
      <c r="C336" s="41" t="n"/>
      <c r="D336" s="41" t="n"/>
      <c r="E336" s="41" t="n"/>
      <c r="F336" s="41" t="n"/>
      <c r="G336" s="41">
        <f t="array" ref="G336">IF(C336="","",INDEX(Akaun!$F$5:$F$150,MATCH(C336,Akaun!$A$5:$A$150,0)))</f>
        <v/>
      </c>
    </row>
    <row r="337" ht="15" customHeight="1" s="60">
      <c r="A337" s="41" t="n"/>
      <c r="B337" s="41" t="n"/>
      <c r="C337" s="41" t="n"/>
      <c r="D337" s="41" t="n"/>
      <c r="E337" s="41" t="n"/>
      <c r="F337" s="41" t="n"/>
      <c r="G337" s="41">
        <f t="array" ref="G337">IF(C337="","",INDEX(Akaun!$F$5:$F$150,MATCH(C337,Akaun!$A$5:$A$150,0)))</f>
        <v/>
      </c>
    </row>
    <row r="338" ht="15" customHeight="1" s="60">
      <c r="A338" s="41" t="n"/>
      <c r="B338" s="41" t="n"/>
      <c r="C338" s="41" t="n"/>
      <c r="D338" s="41" t="n"/>
      <c r="E338" s="41" t="n"/>
      <c r="F338" s="41" t="n"/>
      <c r="G338" s="41">
        <f t="array" ref="G338">IF(C338="","",INDEX(Akaun!$F$5:$F$150,MATCH(C338,Akaun!$A$5:$A$150,0)))</f>
        <v/>
      </c>
    </row>
    <row r="339" ht="15" customHeight="1" s="60">
      <c r="A339" s="41" t="n"/>
      <c r="B339" s="41" t="n"/>
      <c r="C339" s="41" t="n"/>
      <c r="D339" s="41" t="n"/>
      <c r="E339" s="41" t="n"/>
      <c r="F339" s="41" t="n"/>
      <c r="G339" s="41">
        <f t="array" ref="G339">IF(C339="","",INDEX(Akaun!$F$5:$F$150,MATCH(C339,Akaun!$A$5:$A$150,0)))</f>
        <v/>
      </c>
    </row>
    <row r="340" ht="15" customHeight="1" s="60">
      <c r="A340" s="41" t="n"/>
      <c r="B340" s="41" t="n"/>
      <c r="C340" s="41" t="n"/>
      <c r="D340" s="41" t="n"/>
      <c r="E340" s="41" t="n"/>
      <c r="F340" s="41" t="n"/>
      <c r="G340" s="41">
        <f t="array" ref="G340">IF(C340="","",INDEX(Akaun!$F$5:$F$150,MATCH(C340,Akaun!$A$5:$A$150,0)))</f>
        <v/>
      </c>
    </row>
    <row r="341" ht="15" customHeight="1" s="60">
      <c r="A341" s="41" t="n"/>
      <c r="B341" s="41" t="n"/>
      <c r="C341" s="41" t="n"/>
      <c r="D341" s="41" t="n"/>
      <c r="E341" s="41" t="n"/>
      <c r="F341" s="41" t="n"/>
      <c r="G341" s="41">
        <f t="array" ref="G341">IF(C341="","",INDEX(Akaun!$F$5:$F$150,MATCH(C341,Akaun!$A$5:$A$150,0)))</f>
        <v/>
      </c>
    </row>
    <row r="342" ht="15" customHeight="1" s="60">
      <c r="A342" s="41" t="n"/>
      <c r="B342" s="41" t="n"/>
      <c r="C342" s="41" t="n"/>
      <c r="D342" s="41" t="n"/>
      <c r="E342" s="41" t="n"/>
      <c r="F342" s="41" t="n"/>
      <c r="G342" s="41">
        <f t="array" ref="G342">IF(C342="","",INDEX(Akaun!$F$5:$F$150,MATCH(C342,Akaun!$A$5:$A$150,0)))</f>
        <v/>
      </c>
    </row>
    <row r="343" ht="15" customHeight="1" s="60">
      <c r="A343" s="41" t="n"/>
      <c r="B343" s="41" t="n"/>
      <c r="C343" s="41" t="n"/>
      <c r="D343" s="41" t="n"/>
      <c r="E343" s="41" t="n"/>
      <c r="F343" s="41" t="n"/>
      <c r="G343" s="41">
        <f t="array" ref="G343">IF(C343="","",INDEX(Akaun!$F$5:$F$150,MATCH(C343,Akaun!$A$5:$A$150,0)))</f>
        <v/>
      </c>
    </row>
    <row r="344" ht="15" customHeight="1" s="60">
      <c r="A344" s="41" t="n"/>
      <c r="B344" s="41" t="n"/>
      <c r="C344" s="41" t="n"/>
      <c r="D344" s="41" t="n"/>
      <c r="E344" s="41" t="n"/>
      <c r="F344" s="41" t="n"/>
      <c r="G344" s="41">
        <f t="array" ref="G344">IF(C344="","",INDEX(Akaun!$F$5:$F$150,MATCH(C344,Akaun!$A$5:$A$150,0)))</f>
        <v/>
      </c>
    </row>
    <row r="345" ht="15" customHeight="1" s="60">
      <c r="A345" s="41" t="n"/>
      <c r="B345" s="41" t="n"/>
      <c r="C345" s="41" t="n"/>
      <c r="D345" s="41" t="n"/>
      <c r="E345" s="41" t="n"/>
      <c r="F345" s="41" t="n"/>
      <c r="G345" s="41">
        <f t="array" ref="G345">IF(C345="","",INDEX(Akaun!$F$5:$F$150,MATCH(C345,Akaun!$A$5:$A$150,0)))</f>
        <v/>
      </c>
    </row>
    <row r="346" ht="15" customHeight="1" s="60">
      <c r="A346" s="41" t="n"/>
      <c r="B346" s="41" t="n"/>
      <c r="C346" s="41" t="n"/>
      <c r="D346" s="41" t="n"/>
      <c r="E346" s="41" t="n"/>
      <c r="F346" s="41" t="n"/>
      <c r="G346" s="41">
        <f t="array" ref="G346">IF(C346="","",INDEX(Akaun!$F$5:$F$150,MATCH(C346,Akaun!$A$5:$A$150,0)))</f>
        <v/>
      </c>
    </row>
    <row r="347" ht="15" customHeight="1" s="60">
      <c r="A347" s="41" t="n"/>
      <c r="B347" s="41" t="n"/>
      <c r="C347" s="41" t="n"/>
      <c r="D347" s="41" t="n"/>
      <c r="E347" s="41" t="n"/>
      <c r="F347" s="41" t="n"/>
      <c r="G347" s="41">
        <f t="array" ref="G347">IF(C347="","",INDEX(Akaun!$F$5:$F$150,MATCH(C347,Akaun!$A$5:$A$150,0)))</f>
        <v/>
      </c>
    </row>
    <row r="348" ht="15" customHeight="1" s="60">
      <c r="A348" s="41" t="n"/>
      <c r="B348" s="41" t="n"/>
      <c r="C348" s="41" t="n"/>
      <c r="D348" s="41" t="n"/>
      <c r="E348" s="41" t="n"/>
      <c r="F348" s="41" t="n"/>
      <c r="G348" s="41">
        <f t="array" ref="G348">IF(C348="","",INDEX(Akaun!$F$5:$F$150,MATCH(C348,Akaun!$A$5:$A$150,0)))</f>
        <v/>
      </c>
    </row>
    <row r="349" ht="15" customHeight="1" s="60">
      <c r="A349" s="41" t="n"/>
      <c r="B349" s="41" t="n"/>
      <c r="C349" s="41" t="n"/>
      <c r="D349" s="41" t="n"/>
      <c r="E349" s="41" t="n"/>
      <c r="F349" s="41" t="n"/>
      <c r="G349" s="41">
        <f t="array" ref="G349">IF(C349="","",INDEX(Akaun!$F$5:$F$150,MATCH(C349,Akaun!$A$5:$A$150,0)))</f>
        <v/>
      </c>
    </row>
    <row r="350" ht="15" customHeight="1" s="60">
      <c r="A350" s="41" t="n"/>
      <c r="B350" s="41" t="n"/>
      <c r="C350" s="41" t="n"/>
      <c r="D350" s="41" t="n"/>
      <c r="E350" s="41" t="n"/>
      <c r="F350" s="41" t="n"/>
      <c r="G350" s="41">
        <f t="array" ref="G350">IF(C350="","",INDEX(Akaun!$F$5:$F$150,MATCH(C350,Akaun!$A$5:$A$150,0)))</f>
        <v/>
      </c>
    </row>
    <row r="351" ht="15" customHeight="1" s="60">
      <c r="A351" s="41" t="n"/>
      <c r="B351" s="41" t="n"/>
      <c r="C351" s="41" t="n"/>
      <c r="D351" s="41" t="n"/>
      <c r="E351" s="41" t="n"/>
      <c r="F351" s="41" t="n"/>
      <c r="G351" s="41">
        <f t="array" ref="G351">IF(C351="","",INDEX(Akaun!$F$5:$F$150,MATCH(C351,Akaun!$A$5:$A$150,0)))</f>
        <v/>
      </c>
    </row>
    <row r="352" ht="15" customHeight="1" s="60">
      <c r="A352" s="41" t="n"/>
      <c r="B352" s="41" t="n"/>
      <c r="C352" s="41" t="n"/>
      <c r="D352" s="41" t="n"/>
      <c r="E352" s="41" t="n"/>
      <c r="F352" s="41" t="n"/>
      <c r="G352" s="41">
        <f t="array" ref="G352">IF(C352="","",INDEX(Akaun!$F$5:$F$150,MATCH(C352,Akaun!$A$5:$A$150,0)))</f>
        <v/>
      </c>
    </row>
    <row r="353" ht="15" customHeight="1" s="60">
      <c r="A353" s="41" t="n"/>
      <c r="B353" s="41" t="n"/>
      <c r="C353" s="41" t="n"/>
      <c r="D353" s="41" t="n"/>
      <c r="E353" s="41" t="n"/>
      <c r="F353" s="41" t="n"/>
      <c r="G353" s="41">
        <f t="array" ref="G353">IF(C353="","",INDEX(Akaun!$F$5:$F$150,MATCH(C353,Akaun!$A$5:$A$150,0)))</f>
        <v/>
      </c>
    </row>
    <row r="354" ht="15" customHeight="1" s="60">
      <c r="A354" s="41" t="n"/>
      <c r="B354" s="41" t="n"/>
      <c r="C354" s="41" t="n"/>
      <c r="D354" s="41" t="n"/>
      <c r="E354" s="41" t="n"/>
      <c r="F354" s="41" t="n"/>
      <c r="G354" s="41">
        <f t="array" ref="G354">IF(C354="","",INDEX(Akaun!$F$5:$F$150,MATCH(C354,Akaun!$A$5:$A$150,0)))</f>
        <v/>
      </c>
    </row>
    <row r="355" ht="15" customHeight="1" s="60">
      <c r="A355" s="41" t="n"/>
      <c r="B355" s="41" t="n"/>
      <c r="C355" s="41" t="n"/>
      <c r="D355" s="41" t="n"/>
      <c r="E355" s="41" t="n"/>
      <c r="F355" s="41" t="n"/>
      <c r="G355" s="41">
        <f t="array" ref="G355">IF(C355="","",INDEX(Akaun!$F$5:$F$150,MATCH(C355,Akaun!$A$5:$A$150,0)))</f>
        <v/>
      </c>
    </row>
    <row r="356" ht="15" customHeight="1" s="60">
      <c r="A356" s="41" t="n"/>
      <c r="B356" s="41" t="n"/>
      <c r="C356" s="41" t="n"/>
      <c r="D356" s="41" t="n"/>
      <c r="E356" s="41" t="n"/>
      <c r="F356" s="41" t="n"/>
      <c r="G356" s="41">
        <f t="array" ref="G356">IF(C356="","",INDEX(Akaun!$F$5:$F$150,MATCH(C356,Akaun!$A$5:$A$150,0)))</f>
        <v/>
      </c>
    </row>
    <row r="357" ht="15" customHeight="1" s="60">
      <c r="A357" s="41" t="n"/>
      <c r="B357" s="41" t="n"/>
      <c r="C357" s="41" t="n"/>
      <c r="D357" s="41" t="n"/>
      <c r="E357" s="41" t="n"/>
      <c r="F357" s="41" t="n"/>
      <c r="G357" s="41">
        <f t="array" ref="G357">IF(C357="","",INDEX(Akaun!$F$5:$F$150,MATCH(C357,Akaun!$A$5:$A$150,0)))</f>
        <v/>
      </c>
    </row>
    <row r="358" ht="15" customHeight="1" s="60">
      <c r="A358" s="41" t="n"/>
      <c r="B358" s="41" t="n"/>
      <c r="C358" s="41" t="n"/>
      <c r="D358" s="41" t="n"/>
      <c r="E358" s="41" t="n"/>
      <c r="F358" s="41" t="n"/>
      <c r="G358" s="41">
        <f t="array" ref="G358">IF(C358="","",INDEX(Akaun!$F$5:$F$150,MATCH(C358,Akaun!$A$5:$A$150,0)))</f>
        <v/>
      </c>
    </row>
    <row r="359" ht="15" customHeight="1" s="60">
      <c r="A359" s="41" t="n"/>
      <c r="B359" s="41" t="n"/>
      <c r="C359" s="41" t="n"/>
      <c r="D359" s="41" t="n"/>
      <c r="E359" s="41" t="n"/>
      <c r="F359" s="41" t="n"/>
      <c r="G359" s="41">
        <f t="array" ref="G359">IF(C359="","",INDEX(Akaun!$F$5:$F$150,MATCH(C359,Akaun!$A$5:$A$150,0)))</f>
        <v/>
      </c>
    </row>
    <row r="360" ht="15" customHeight="1" s="60">
      <c r="A360" s="41" t="n"/>
      <c r="B360" s="41" t="n"/>
      <c r="C360" s="41" t="n"/>
      <c r="D360" s="41" t="n"/>
      <c r="E360" s="41" t="n"/>
      <c r="F360" s="41" t="n"/>
      <c r="G360" s="41">
        <f t="array" ref="G360">IF(C360="","",INDEX(Akaun!$F$5:$F$150,MATCH(C360,Akaun!$A$5:$A$150,0)))</f>
        <v/>
      </c>
    </row>
    <row r="361" ht="15" customHeight="1" s="60">
      <c r="A361" s="41" t="n"/>
      <c r="B361" s="41" t="n"/>
      <c r="C361" s="41" t="n"/>
      <c r="D361" s="41" t="n"/>
      <c r="E361" s="41" t="n"/>
      <c r="F361" s="41" t="n"/>
      <c r="G361" s="41">
        <f t="array" ref="G361">IF(C361="","",INDEX(Akaun!$F$5:$F$150,MATCH(C361,Akaun!$A$5:$A$150,0)))</f>
        <v/>
      </c>
    </row>
    <row r="362" ht="15" customHeight="1" s="60">
      <c r="A362" s="41" t="n"/>
      <c r="B362" s="41" t="n"/>
      <c r="C362" s="41" t="n"/>
      <c r="D362" s="41" t="n"/>
      <c r="E362" s="41" t="n"/>
      <c r="F362" s="41" t="n"/>
      <c r="G362" s="41">
        <f t="array" ref="G362">IF(C362="","",INDEX(Akaun!$F$5:$F$150,MATCH(C362,Akaun!$A$5:$A$150,0)))</f>
        <v/>
      </c>
    </row>
    <row r="363" ht="15" customHeight="1" s="60">
      <c r="A363" s="41" t="n"/>
      <c r="B363" s="41" t="n"/>
      <c r="C363" s="41" t="n"/>
      <c r="D363" s="41" t="n"/>
      <c r="E363" s="41" t="n"/>
      <c r="F363" s="41" t="n"/>
      <c r="G363" s="41">
        <f t="array" ref="G363">IF(C363="","",INDEX(Akaun!$F$5:$F$150,MATCH(C363,Akaun!$A$5:$A$150,0)))</f>
        <v/>
      </c>
    </row>
    <row r="364" ht="15" customHeight="1" s="60">
      <c r="A364" s="41" t="n"/>
      <c r="B364" s="41" t="n"/>
      <c r="C364" s="41" t="n"/>
      <c r="D364" s="41" t="n"/>
      <c r="E364" s="41" t="n"/>
      <c r="F364" s="41" t="n"/>
      <c r="G364" s="41">
        <f t="array" ref="G364">IF(C364="","",INDEX(Akaun!$F$5:$F$150,MATCH(C364,Akaun!$A$5:$A$150,0)))</f>
        <v/>
      </c>
    </row>
    <row r="365" ht="15" customHeight="1" s="60">
      <c r="A365" s="41" t="n"/>
      <c r="B365" s="41" t="n"/>
      <c r="C365" s="41" t="n"/>
      <c r="D365" s="41" t="n"/>
      <c r="E365" s="41" t="n"/>
      <c r="F365" s="41" t="n"/>
      <c r="G365" s="41">
        <f t="array" ref="G365">IF(C365="","",INDEX(Akaun!$F$5:$F$150,MATCH(C365,Akaun!$A$5:$A$150,0)))</f>
        <v/>
      </c>
    </row>
    <row r="366" ht="15" customHeight="1" s="60">
      <c r="A366" s="41" t="n"/>
      <c r="B366" s="41" t="n"/>
      <c r="C366" s="41" t="n"/>
      <c r="D366" s="41" t="n"/>
      <c r="E366" s="41" t="n"/>
      <c r="F366" s="41" t="n"/>
      <c r="G366" s="41">
        <f t="array" ref="G366">IF(C366="","",INDEX(Akaun!$F$5:$F$150,MATCH(C366,Akaun!$A$5:$A$150,0)))</f>
        <v/>
      </c>
    </row>
    <row r="367" ht="15" customHeight="1" s="60">
      <c r="A367" s="41" t="n"/>
      <c r="B367" s="41" t="n"/>
      <c r="C367" s="41" t="n"/>
      <c r="D367" s="41" t="n"/>
      <c r="E367" s="41" t="n"/>
      <c r="F367" s="41" t="n"/>
      <c r="G367" s="41">
        <f t="array" ref="G367">IF(C367="","",INDEX(Akaun!$F$5:$F$150,MATCH(C367,Akaun!$A$5:$A$150,0)))</f>
        <v/>
      </c>
    </row>
    <row r="368" ht="15" customHeight="1" s="60">
      <c r="A368" s="41" t="n"/>
      <c r="B368" s="41" t="n"/>
      <c r="C368" s="41" t="n"/>
      <c r="D368" s="41" t="n"/>
      <c r="E368" s="41" t="n"/>
      <c r="F368" s="41" t="n"/>
      <c r="G368" s="41">
        <f t="array" ref="G368">IF(C368="","",INDEX(Akaun!$F$5:$F$150,MATCH(C368,Akaun!$A$5:$A$150,0)))</f>
        <v/>
      </c>
    </row>
    <row r="369" ht="15" customHeight="1" s="60">
      <c r="A369" s="41" t="n"/>
      <c r="B369" s="41" t="n"/>
      <c r="C369" s="41" t="n"/>
      <c r="D369" s="41" t="n"/>
      <c r="E369" s="41" t="n"/>
      <c r="F369" s="41" t="n"/>
      <c r="G369" s="41">
        <f t="array" ref="G369">IF(C369="","",INDEX(Akaun!$F$5:$F$150,MATCH(C369,Akaun!$A$5:$A$150,0)))</f>
        <v/>
      </c>
    </row>
    <row r="370" ht="15" customHeight="1" s="60">
      <c r="A370" s="41" t="n"/>
      <c r="B370" s="41" t="n"/>
      <c r="C370" s="41" t="n"/>
      <c r="D370" s="41" t="n"/>
      <c r="E370" s="41" t="n"/>
      <c r="F370" s="41" t="n"/>
      <c r="G370" s="41">
        <f t="array" ref="G370">IF(C370="","",INDEX(Akaun!$F$5:$F$150,MATCH(C370,Akaun!$A$5:$A$150,0)))</f>
        <v/>
      </c>
    </row>
    <row r="371" ht="15" customHeight="1" s="60">
      <c r="A371" s="41" t="n"/>
      <c r="B371" s="41" t="n"/>
      <c r="C371" s="41" t="n"/>
      <c r="D371" s="41" t="n"/>
      <c r="E371" s="41" t="n"/>
      <c r="F371" s="41" t="n"/>
      <c r="G371" s="41">
        <f t="array" ref="G371">IF(C371="","",INDEX(Akaun!$F$5:$F$150,MATCH(C371,Akaun!$A$5:$A$150,0)))</f>
        <v/>
      </c>
    </row>
    <row r="372" ht="15" customHeight="1" s="60">
      <c r="A372" s="41" t="n"/>
      <c r="B372" s="41" t="n"/>
      <c r="C372" s="41" t="n"/>
      <c r="D372" s="41" t="n"/>
      <c r="E372" s="41" t="n"/>
      <c r="F372" s="41" t="n"/>
      <c r="G372" s="41">
        <f t="array" ref="G372">IF(C372="","",INDEX(Akaun!$F$5:$F$150,MATCH(C372,Akaun!$A$5:$A$150,0)))</f>
        <v/>
      </c>
    </row>
    <row r="373" ht="15" customHeight="1" s="60">
      <c r="A373" s="41" t="n"/>
      <c r="B373" s="41" t="n"/>
      <c r="C373" s="41" t="n"/>
      <c r="D373" s="41" t="n"/>
      <c r="E373" s="41" t="n"/>
      <c r="F373" s="41" t="n"/>
      <c r="G373" s="41">
        <f t="array" ref="G373">IF(C373="","",INDEX(Akaun!$F$5:$F$150,MATCH(C373,Akaun!$A$5:$A$150,0)))</f>
        <v/>
      </c>
    </row>
    <row r="374" ht="15" customHeight="1" s="60">
      <c r="A374" s="41" t="n"/>
      <c r="B374" s="41" t="n"/>
      <c r="C374" s="41" t="n"/>
      <c r="D374" s="41" t="n"/>
      <c r="E374" s="41" t="n"/>
      <c r="F374" s="41" t="n"/>
      <c r="G374" s="41">
        <f t="array" ref="G374">IF(C374="","",INDEX(Akaun!$F$5:$F$150,MATCH(C374,Akaun!$A$5:$A$150,0)))</f>
        <v/>
      </c>
    </row>
    <row r="375" ht="15" customHeight="1" s="60">
      <c r="A375" s="41" t="n"/>
      <c r="B375" s="41" t="n"/>
      <c r="C375" s="41" t="n"/>
      <c r="D375" s="41" t="n"/>
      <c r="E375" s="41" t="n"/>
      <c r="F375" s="41" t="n"/>
      <c r="G375" s="41">
        <f t="array" ref="G375">IF(C375="","",INDEX(Akaun!$F$5:$F$150,MATCH(C375,Akaun!$A$5:$A$150,0)))</f>
        <v/>
      </c>
    </row>
    <row r="376" ht="15" customHeight="1" s="60">
      <c r="A376" s="41" t="n"/>
      <c r="B376" s="41" t="n"/>
      <c r="C376" s="41" t="n"/>
      <c r="D376" s="41" t="n"/>
      <c r="E376" s="41" t="n"/>
      <c r="F376" s="41" t="n"/>
      <c r="G376" s="41">
        <f t="array" ref="G376">IF(C376="","",INDEX(Akaun!$F$5:$F$150,MATCH(C376,Akaun!$A$5:$A$150,0)))</f>
        <v/>
      </c>
    </row>
    <row r="377" ht="15" customHeight="1" s="60">
      <c r="A377" s="41" t="n"/>
      <c r="B377" s="41" t="n"/>
      <c r="C377" s="41" t="n"/>
      <c r="D377" s="41" t="n"/>
      <c r="E377" s="41" t="n"/>
      <c r="F377" s="41" t="n"/>
      <c r="G377" s="41">
        <f t="array" ref="G377">IF(C377="","",INDEX(Akaun!$F$5:$F$150,MATCH(C377,Akaun!$A$5:$A$150,0)))</f>
        <v/>
      </c>
    </row>
    <row r="378" ht="15" customHeight="1" s="60">
      <c r="A378" s="41" t="n"/>
      <c r="B378" s="41" t="n"/>
      <c r="C378" s="41" t="n"/>
      <c r="D378" s="41" t="n"/>
      <c r="E378" s="41" t="n"/>
      <c r="F378" s="41" t="n"/>
      <c r="G378" s="41">
        <f t="array" ref="G378">IF(C378="","",INDEX(Akaun!$F$5:$F$150,MATCH(C378,Akaun!$A$5:$A$150,0)))</f>
        <v/>
      </c>
    </row>
    <row r="379" ht="15" customHeight="1" s="60">
      <c r="A379" s="41" t="n"/>
      <c r="B379" s="41" t="n"/>
      <c r="C379" s="41" t="n"/>
      <c r="D379" s="41" t="n"/>
      <c r="E379" s="41" t="n"/>
      <c r="F379" s="41" t="n"/>
      <c r="G379" s="41">
        <f t="array" ref="G379">IF(C379="","",INDEX(Akaun!$F$5:$F$150,MATCH(C379,Akaun!$A$5:$A$150,0)))</f>
        <v/>
      </c>
    </row>
    <row r="380" ht="15" customHeight="1" s="60">
      <c r="A380" s="41" t="n"/>
      <c r="B380" s="41" t="n"/>
      <c r="C380" s="41" t="n"/>
      <c r="D380" s="41" t="n"/>
      <c r="E380" s="41" t="n"/>
      <c r="F380" s="41" t="n"/>
      <c r="G380" s="41">
        <f t="array" ref="G380">IF(C380="","",INDEX(Akaun!$F$5:$F$150,MATCH(C380,Akaun!$A$5:$A$150,0)))</f>
        <v/>
      </c>
    </row>
    <row r="381" ht="15" customHeight="1" s="60">
      <c r="A381" s="41" t="n"/>
      <c r="B381" s="41" t="n"/>
      <c r="C381" s="41" t="n"/>
      <c r="D381" s="41" t="n"/>
      <c r="E381" s="41" t="n"/>
      <c r="F381" s="41" t="n"/>
      <c r="G381" s="41">
        <f t="array" ref="G381">IF(C381="","",INDEX(Akaun!$F$5:$F$150,MATCH(C381,Akaun!$A$5:$A$150,0)))</f>
        <v/>
      </c>
    </row>
    <row r="382" ht="15" customHeight="1" s="60">
      <c r="A382" s="41" t="n"/>
      <c r="B382" s="41" t="n"/>
      <c r="C382" s="41" t="n"/>
      <c r="D382" s="41" t="n"/>
      <c r="E382" s="41" t="n"/>
      <c r="F382" s="41" t="n"/>
      <c r="G382" s="41">
        <f t="array" ref="G382">IF(C382="","",INDEX(Akaun!$F$5:$F$150,MATCH(C382,Akaun!$A$5:$A$150,0)))</f>
        <v/>
      </c>
    </row>
    <row r="383" ht="15" customHeight="1" s="60">
      <c r="A383" s="41" t="n"/>
      <c r="B383" s="41" t="n"/>
      <c r="C383" s="41" t="n"/>
      <c r="D383" s="41" t="n"/>
      <c r="E383" s="41" t="n"/>
      <c r="F383" s="41" t="n"/>
      <c r="G383" s="41">
        <f t="array" ref="G383">IF(C383="","",INDEX(Akaun!$F$5:$F$150,MATCH(C383,Akaun!$A$5:$A$150,0)))</f>
        <v/>
      </c>
    </row>
    <row r="384" ht="15" customHeight="1" s="60">
      <c r="A384" s="41" t="n"/>
      <c r="B384" s="41" t="n"/>
      <c r="C384" s="41" t="n"/>
      <c r="D384" s="41" t="n"/>
      <c r="E384" s="41" t="n"/>
      <c r="F384" s="41" t="n"/>
      <c r="G384" s="41">
        <f t="array" ref="G384">IF(C384="","",INDEX(Akaun!$F$5:$F$150,MATCH(C384,Akaun!$A$5:$A$150,0)))</f>
        <v/>
      </c>
    </row>
    <row r="385" ht="15" customHeight="1" s="60">
      <c r="A385" s="41" t="n"/>
      <c r="B385" s="41" t="n"/>
      <c r="C385" s="41" t="n"/>
      <c r="D385" s="41" t="n"/>
      <c r="E385" s="41" t="n"/>
      <c r="F385" s="41" t="n"/>
      <c r="G385" s="41">
        <f t="array" ref="G385">IF(C385="","",INDEX(Akaun!$F$5:$F$150,MATCH(C385,Akaun!$A$5:$A$150,0)))</f>
        <v/>
      </c>
    </row>
    <row r="386" ht="15" customHeight="1" s="60">
      <c r="A386" s="41" t="n"/>
      <c r="B386" s="41" t="n"/>
      <c r="C386" s="41" t="n"/>
      <c r="D386" s="41" t="n"/>
      <c r="E386" s="41" t="n"/>
      <c r="F386" s="41" t="n"/>
      <c r="G386" s="41">
        <f t="array" ref="G386">IF(C386="","",INDEX(Akaun!$F$5:$F$150,MATCH(C386,Akaun!$A$5:$A$150,0)))</f>
        <v/>
      </c>
    </row>
    <row r="387" ht="15" customHeight="1" s="60">
      <c r="A387" s="41" t="n"/>
      <c r="B387" s="41" t="n"/>
      <c r="C387" s="41" t="n"/>
      <c r="D387" s="41" t="n"/>
      <c r="E387" s="41" t="n"/>
      <c r="F387" s="41" t="n"/>
      <c r="G387" s="41">
        <f t="array" ref="G387">IF(C387="","",INDEX(Akaun!$F$5:$F$150,MATCH(C387,Akaun!$A$5:$A$150,0)))</f>
        <v/>
      </c>
    </row>
    <row r="388" ht="15" customHeight="1" s="60">
      <c r="A388" s="41" t="n"/>
      <c r="B388" s="41" t="n"/>
      <c r="C388" s="41" t="n"/>
      <c r="D388" s="41" t="n"/>
      <c r="E388" s="41" t="n"/>
      <c r="F388" s="41" t="n"/>
      <c r="G388" s="41">
        <f t="array" ref="G388">IF(C388="","",INDEX(Akaun!$F$5:$F$150,MATCH(C388,Akaun!$A$5:$A$150,0)))</f>
        <v/>
      </c>
    </row>
    <row r="389" ht="15" customHeight="1" s="60">
      <c r="A389" s="41" t="n"/>
      <c r="B389" s="41" t="n"/>
      <c r="C389" s="41" t="n"/>
      <c r="D389" s="41" t="n"/>
      <c r="E389" s="41" t="n"/>
      <c r="F389" s="41" t="n"/>
      <c r="G389" s="41">
        <f t="array" ref="G389">IF(C389="","",INDEX(Akaun!$F$5:$F$150,MATCH(C389,Akaun!$A$5:$A$150,0)))</f>
        <v/>
      </c>
    </row>
    <row r="390" ht="15" customHeight="1" s="60">
      <c r="A390" s="41" t="n"/>
      <c r="B390" s="41" t="n"/>
      <c r="C390" s="41" t="n"/>
      <c r="D390" s="41" t="n"/>
      <c r="E390" s="41" t="n"/>
      <c r="F390" s="41" t="n"/>
      <c r="G390" s="41">
        <f t="array" ref="G390">IF(C390="","",INDEX(Akaun!$F$5:$F$150,MATCH(C390,Akaun!$A$5:$A$150,0)))</f>
        <v/>
      </c>
    </row>
    <row r="391" ht="15" customHeight="1" s="60">
      <c r="A391" s="41" t="n"/>
      <c r="B391" s="41" t="n"/>
      <c r="C391" s="41" t="n"/>
      <c r="D391" s="41" t="n"/>
      <c r="E391" s="41" t="n"/>
      <c r="F391" s="41" t="n"/>
      <c r="G391" s="41">
        <f t="array" ref="G391">IF(C391="","",INDEX(Akaun!$F$5:$F$150,MATCH(C391,Akaun!$A$5:$A$150,0)))</f>
        <v/>
      </c>
    </row>
    <row r="392" ht="15" customHeight="1" s="60">
      <c r="A392" s="41" t="n"/>
      <c r="B392" s="41" t="n"/>
      <c r="C392" s="41" t="n"/>
      <c r="D392" s="41" t="n"/>
      <c r="E392" s="41" t="n"/>
      <c r="F392" s="41" t="n"/>
      <c r="G392" s="41">
        <f t="array" ref="G392">IF(C392="","",INDEX(Akaun!$F$5:$F$150,MATCH(C392,Akaun!$A$5:$A$150,0)))</f>
        <v/>
      </c>
    </row>
    <row r="393" ht="15" customHeight="1" s="60">
      <c r="A393" s="41" t="n"/>
      <c r="B393" s="41" t="n"/>
      <c r="C393" s="41" t="n"/>
      <c r="D393" s="41" t="n"/>
      <c r="E393" s="41" t="n"/>
      <c r="F393" s="41" t="n"/>
      <c r="G393" s="41">
        <f t="array" ref="G393">IF(C393="","",INDEX(Akaun!$F$5:$F$150,MATCH(C393,Akaun!$A$5:$A$150,0)))</f>
        <v/>
      </c>
    </row>
    <row r="394" ht="15" customHeight="1" s="60">
      <c r="A394" s="41" t="n"/>
      <c r="B394" s="41" t="n"/>
      <c r="C394" s="41" t="n"/>
      <c r="D394" s="41" t="n"/>
      <c r="E394" s="41" t="n"/>
      <c r="F394" s="41" t="n"/>
      <c r="G394" s="41">
        <f t="array" ref="G394">IF(C394="","",INDEX(Akaun!$F$5:$F$150,MATCH(C394,Akaun!$A$5:$A$150,0)))</f>
        <v/>
      </c>
    </row>
    <row r="395" ht="15" customHeight="1" s="60">
      <c r="A395" s="41" t="n"/>
      <c r="B395" s="41" t="n"/>
      <c r="C395" s="41" t="n"/>
      <c r="D395" s="41" t="n"/>
      <c r="E395" s="41" t="n"/>
      <c r="F395" s="41" t="n"/>
      <c r="G395" s="41">
        <f t="array" ref="G395">IF(C395="","",INDEX(Akaun!$F$5:$F$150,MATCH(C395,Akaun!$A$5:$A$150,0)))</f>
        <v/>
      </c>
    </row>
    <row r="396" ht="15" customHeight="1" s="60">
      <c r="A396" s="41" t="n"/>
      <c r="B396" s="41" t="n"/>
      <c r="C396" s="41" t="n"/>
      <c r="D396" s="41" t="n"/>
      <c r="E396" s="41" t="n"/>
      <c r="F396" s="41" t="n"/>
      <c r="G396" s="41">
        <f t="array" ref="G396">IF(C396="","",INDEX(Akaun!$F$5:$F$150,MATCH(C396,Akaun!$A$5:$A$150,0)))</f>
        <v/>
      </c>
    </row>
    <row r="397" ht="15" customHeight="1" s="60">
      <c r="A397" s="41" t="n"/>
      <c r="B397" s="41" t="n"/>
      <c r="C397" s="41" t="n"/>
      <c r="D397" s="41" t="n"/>
      <c r="E397" s="41" t="n"/>
      <c r="F397" s="41" t="n"/>
      <c r="G397" s="41">
        <f t="array" ref="G397">IF(C397="","",INDEX(Akaun!$F$5:$F$150,MATCH(C397,Akaun!$A$5:$A$150,0)))</f>
        <v/>
      </c>
    </row>
    <row r="398" ht="15" customHeight="1" s="60">
      <c r="A398" s="41" t="n"/>
      <c r="B398" s="41" t="n"/>
      <c r="C398" s="41" t="n"/>
      <c r="D398" s="41" t="n"/>
      <c r="E398" s="41" t="n"/>
      <c r="F398" s="41" t="n"/>
      <c r="G398" s="41">
        <f t="array" ref="G398">IF(C398="","",INDEX(Akaun!$F$5:$F$150,MATCH(C398,Akaun!$A$5:$A$150,0)))</f>
        <v/>
      </c>
    </row>
    <row r="399" ht="15" customHeight="1" s="60">
      <c r="A399" s="41" t="n"/>
      <c r="B399" s="41" t="n"/>
      <c r="C399" s="41" t="n"/>
      <c r="D399" s="41" t="n"/>
      <c r="E399" s="41" t="n"/>
      <c r="F399" s="41" t="n"/>
      <c r="G399" s="41">
        <f t="array" ref="G399">IF(C399="","",INDEX(Akaun!$F$5:$F$150,MATCH(C399,Akaun!$A$5:$A$150,0)))</f>
        <v/>
      </c>
    </row>
    <row r="400" ht="15" customHeight="1" s="60">
      <c r="A400" s="41" t="n"/>
      <c r="B400" s="41" t="n"/>
      <c r="C400" s="41" t="n"/>
      <c r="D400" s="41" t="n"/>
      <c r="E400" s="41" t="n"/>
      <c r="F400" s="41" t="n"/>
      <c r="G400" s="41">
        <f t="array" ref="G400">IF(C400="","",INDEX(Akaun!$F$5:$F$150,MATCH(C400,Akaun!$A$5:$A$150,0)))</f>
        <v/>
      </c>
    </row>
    <row r="401" ht="15" customHeight="1" s="60">
      <c r="A401" s="41" t="n"/>
      <c r="B401" s="41" t="n"/>
      <c r="C401" s="41" t="n"/>
      <c r="D401" s="41" t="n"/>
      <c r="E401" s="41" t="n"/>
      <c r="F401" s="41" t="n"/>
      <c r="G401" s="41">
        <f t="array" ref="G401">IF(C401="","",INDEX(Akaun!$F$5:$F$150,MATCH(C401,Akaun!$A$5:$A$150,0)))</f>
        <v/>
      </c>
    </row>
    <row r="402" ht="15" customHeight="1" s="60">
      <c r="A402" s="41" t="n"/>
      <c r="B402" s="41" t="n"/>
      <c r="C402" s="41" t="n"/>
      <c r="D402" s="41" t="n"/>
      <c r="E402" s="41" t="n"/>
      <c r="F402" s="41" t="n"/>
      <c r="G402" s="41">
        <f t="array" ref="G402">IF(C402="","",INDEX(Akaun!$F$5:$F$150,MATCH(C402,Akaun!$A$5:$A$150,0)))</f>
        <v/>
      </c>
    </row>
    <row r="403" ht="15" customHeight="1" s="60">
      <c r="A403" s="41" t="n"/>
      <c r="B403" s="41" t="n"/>
      <c r="C403" s="41" t="n"/>
      <c r="D403" s="41" t="n"/>
      <c r="E403" s="41" t="n"/>
      <c r="F403" s="41" t="n"/>
      <c r="G403" s="41">
        <f t="array" ref="G403">IF(C403="","",INDEX(Akaun!$F$5:$F$150,MATCH(C403,Akaun!$A$5:$A$150,0)))</f>
        <v/>
      </c>
    </row>
    <row r="404" ht="15" customHeight="1" s="60">
      <c r="A404" s="41" t="n"/>
      <c r="B404" s="41" t="n"/>
      <c r="C404" s="41" t="n"/>
      <c r="D404" s="41" t="n"/>
      <c r="E404" s="41" t="n"/>
      <c r="F404" s="41" t="n"/>
      <c r="G404" s="41">
        <f t="array" ref="G404">IF(C404="","",INDEX(Akaun!$F$5:$F$150,MATCH(C404,Akaun!$A$5:$A$150,0)))</f>
        <v/>
      </c>
    </row>
    <row r="405" ht="15" customHeight="1" s="60">
      <c r="A405" s="41" t="n"/>
      <c r="B405" s="41" t="n"/>
      <c r="C405" s="41" t="n"/>
      <c r="D405" s="41" t="n"/>
      <c r="E405" s="41" t="n"/>
      <c r="F405" s="41" t="n"/>
      <c r="G405" s="41">
        <f t="array" ref="G405">IF(C405="","",INDEX(Akaun!$F$5:$F$150,MATCH(C405,Akaun!$A$5:$A$150,0)))</f>
        <v/>
      </c>
    </row>
    <row r="406" ht="15" customHeight="1" s="60">
      <c r="A406" s="41" t="n"/>
      <c r="B406" s="41" t="n"/>
      <c r="C406" s="41" t="n"/>
      <c r="D406" s="41" t="n"/>
      <c r="E406" s="41" t="n"/>
      <c r="F406" s="41" t="n"/>
      <c r="G406" s="41">
        <f t="array" ref="G406">IF(C406="","",INDEX(Akaun!$F$5:$F$150,MATCH(C406,Akaun!$A$5:$A$150,0)))</f>
        <v/>
      </c>
    </row>
    <row r="407" ht="15" customHeight="1" s="60">
      <c r="A407" s="41" t="n"/>
      <c r="B407" s="41" t="n"/>
      <c r="C407" s="41" t="n"/>
      <c r="D407" s="41" t="n"/>
      <c r="E407" s="41" t="n"/>
      <c r="F407" s="41" t="n"/>
      <c r="G407" s="41">
        <f t="array" ref="G407">IF(C407="","",INDEX(Akaun!$F$5:$F$150,MATCH(C407,Akaun!$A$5:$A$150,0)))</f>
        <v/>
      </c>
    </row>
    <row r="408" ht="15" customHeight="1" s="60">
      <c r="A408" s="41" t="n"/>
      <c r="B408" s="41" t="n"/>
      <c r="C408" s="41" t="n"/>
      <c r="D408" s="41" t="n"/>
      <c r="E408" s="41" t="n"/>
      <c r="F408" s="41" t="n"/>
      <c r="G408" s="41">
        <f t="array" ref="G408">IF(C408="","",INDEX(Akaun!$F$5:$F$150,MATCH(C408,Akaun!$A$5:$A$150,0)))</f>
        <v/>
      </c>
    </row>
    <row r="409" ht="15" customHeight="1" s="60">
      <c r="A409" s="41" t="n"/>
      <c r="B409" s="41" t="n"/>
      <c r="C409" s="41" t="n"/>
      <c r="D409" s="41" t="n"/>
      <c r="E409" s="41" t="n"/>
      <c r="F409" s="41" t="n"/>
      <c r="G409" s="41">
        <f t="array" ref="G409">IF(C409="","",INDEX(Akaun!$F$5:$F$150,MATCH(C409,Akaun!$A$5:$A$150,0)))</f>
        <v/>
      </c>
    </row>
    <row r="410" ht="15" customHeight="1" s="60">
      <c r="A410" s="41" t="n"/>
      <c r="B410" s="41" t="n"/>
      <c r="C410" s="41" t="n"/>
      <c r="D410" s="41" t="n"/>
      <c r="E410" s="41" t="n"/>
      <c r="F410" s="41" t="n"/>
      <c r="G410" s="41">
        <f t="array" ref="G410">IF(C410="","",INDEX(Akaun!$F$5:$F$150,MATCH(C410,Akaun!$A$5:$A$150,0)))</f>
        <v/>
      </c>
    </row>
    <row r="411" ht="15" customHeight="1" s="60">
      <c r="A411" s="41" t="n"/>
      <c r="B411" s="41" t="n"/>
      <c r="C411" s="41" t="n"/>
      <c r="D411" s="41" t="n"/>
      <c r="E411" s="41" t="n"/>
      <c r="F411" s="41" t="n"/>
      <c r="G411" s="41">
        <f t="array" ref="G411">IF(C411="","",INDEX(Akaun!$F$5:$F$150,MATCH(C411,Akaun!$A$5:$A$150,0)))</f>
        <v/>
      </c>
    </row>
    <row r="412" ht="15" customHeight="1" s="60">
      <c r="A412" s="41" t="n"/>
      <c r="B412" s="41" t="n"/>
      <c r="C412" s="41" t="n"/>
      <c r="D412" s="41" t="n"/>
      <c r="E412" s="41" t="n"/>
      <c r="F412" s="41" t="n"/>
      <c r="G412" s="41">
        <f t="array" ref="G412">IF(C412="","",INDEX(Akaun!$F$5:$F$150,MATCH(C412,Akaun!$A$5:$A$150,0)))</f>
        <v/>
      </c>
    </row>
    <row r="413" ht="15" customHeight="1" s="60">
      <c r="A413" s="41" t="n"/>
      <c r="B413" s="41" t="n"/>
      <c r="C413" s="41" t="n"/>
      <c r="D413" s="41" t="n"/>
      <c r="E413" s="41" t="n"/>
      <c r="F413" s="41" t="n"/>
      <c r="G413" s="41">
        <f t="array" ref="G413">IF(C413="","",INDEX(Akaun!$F$5:$F$150,MATCH(C413,Akaun!$A$5:$A$150,0)))</f>
        <v/>
      </c>
    </row>
    <row r="414" ht="15" customHeight="1" s="60">
      <c r="A414" s="41" t="n"/>
      <c r="B414" s="41" t="n"/>
      <c r="C414" s="41" t="n"/>
      <c r="D414" s="41" t="n"/>
      <c r="E414" s="41" t="n"/>
      <c r="F414" s="41" t="n"/>
      <c r="G414" s="41">
        <f t="array" ref="G414">IF(C414="","",INDEX(Akaun!$F$5:$F$150,MATCH(C414,Akaun!$A$5:$A$150,0)))</f>
        <v/>
      </c>
    </row>
    <row r="415" ht="15" customHeight="1" s="60">
      <c r="A415" s="41" t="n"/>
      <c r="B415" s="41" t="n"/>
      <c r="C415" s="41" t="n"/>
      <c r="D415" s="41" t="n"/>
      <c r="E415" s="41" t="n"/>
      <c r="F415" s="41" t="n"/>
      <c r="G415" s="41">
        <f t="array" ref="G415">IF(C415="","",INDEX(Akaun!$F$5:$F$150,MATCH(C415,Akaun!$A$5:$A$150,0)))</f>
        <v/>
      </c>
    </row>
    <row r="416" ht="15" customHeight="1" s="60">
      <c r="A416" s="41" t="n"/>
      <c r="B416" s="41" t="n"/>
      <c r="C416" s="41" t="n"/>
      <c r="D416" s="41" t="n"/>
      <c r="E416" s="41" t="n"/>
      <c r="F416" s="41" t="n"/>
      <c r="G416" s="41">
        <f t="array" ref="G416">IF(C416="","",INDEX(Akaun!$F$5:$F$150,MATCH(C416,Akaun!$A$5:$A$150,0)))</f>
        <v/>
      </c>
    </row>
    <row r="417" ht="15" customHeight="1" s="60">
      <c r="A417" s="41" t="n"/>
      <c r="B417" s="41" t="n"/>
      <c r="C417" s="41" t="n"/>
      <c r="D417" s="41" t="n"/>
      <c r="E417" s="41" t="n"/>
      <c r="F417" s="41" t="n"/>
      <c r="G417" s="41">
        <f t="array" ref="G417">IF(C417="","",INDEX(Akaun!$F$5:$F$150,MATCH(C417,Akaun!$A$5:$A$150,0)))</f>
        <v/>
      </c>
    </row>
    <row r="418" ht="15" customHeight="1" s="60">
      <c r="A418" s="41" t="n"/>
      <c r="B418" s="41" t="n"/>
      <c r="C418" s="41" t="n"/>
      <c r="D418" s="41" t="n"/>
      <c r="E418" s="41" t="n"/>
      <c r="F418" s="41" t="n"/>
      <c r="G418" s="41">
        <f t="array" ref="G418">IF(C418="","",INDEX(Akaun!$F$5:$F$150,MATCH(C418,Akaun!$A$5:$A$150,0)))</f>
        <v/>
      </c>
    </row>
    <row r="419" ht="15" customHeight="1" s="60">
      <c r="A419" s="41" t="n"/>
      <c r="B419" s="41" t="n"/>
      <c r="C419" s="41" t="n"/>
      <c r="D419" s="41" t="n"/>
      <c r="E419" s="41" t="n"/>
      <c r="F419" s="41" t="n"/>
      <c r="G419" s="41">
        <f t="array" ref="G419">IF(C419="","",INDEX(Akaun!$F$5:$F$150,MATCH(C419,Akaun!$A$5:$A$150,0)))</f>
        <v/>
      </c>
    </row>
    <row r="420" ht="15" customHeight="1" s="60">
      <c r="A420" s="41" t="n"/>
      <c r="B420" s="41" t="n"/>
      <c r="C420" s="41" t="n"/>
      <c r="D420" s="41" t="n"/>
      <c r="E420" s="41" t="n"/>
      <c r="F420" s="41" t="n"/>
      <c r="G420" s="41">
        <f t="array" ref="G420">IF(C420="","",INDEX(Akaun!$F$5:$F$150,MATCH(C420,Akaun!$A$5:$A$150,0)))</f>
        <v/>
      </c>
    </row>
    <row r="421" ht="15" customHeight="1" s="60">
      <c r="A421" s="41" t="n"/>
      <c r="B421" s="41" t="n"/>
      <c r="C421" s="41" t="n"/>
      <c r="D421" s="41" t="n"/>
      <c r="E421" s="41" t="n"/>
      <c r="F421" s="41" t="n"/>
      <c r="G421" s="41">
        <f t="array" ref="G421">IF(C421="","",INDEX(Akaun!$F$5:$F$150,MATCH(C421,Akaun!$A$5:$A$150,0)))</f>
        <v/>
      </c>
    </row>
    <row r="422" ht="15" customHeight="1" s="60">
      <c r="A422" s="41" t="n"/>
      <c r="B422" s="41" t="n"/>
      <c r="C422" s="41" t="n"/>
      <c r="D422" s="41" t="n"/>
      <c r="E422" s="41" t="n"/>
      <c r="F422" s="41" t="n"/>
      <c r="G422" s="41">
        <f t="array" ref="G422">IF(C422="","",INDEX(Akaun!$F$5:$F$150,MATCH(C422,Akaun!$A$5:$A$150,0)))</f>
        <v/>
      </c>
    </row>
    <row r="423" ht="15" customHeight="1" s="60">
      <c r="A423" s="41" t="n"/>
      <c r="B423" s="41" t="n"/>
      <c r="C423" s="41" t="n"/>
      <c r="D423" s="41" t="n"/>
      <c r="E423" s="41" t="n"/>
      <c r="F423" s="41" t="n"/>
      <c r="G423" s="41">
        <f t="array" ref="G423">IF(C423="","",INDEX(Akaun!$F$5:$F$150,MATCH(C423,Akaun!$A$5:$A$150,0)))</f>
        <v/>
      </c>
    </row>
    <row r="424" ht="15" customHeight="1" s="60">
      <c r="A424" s="41" t="n"/>
      <c r="B424" s="41" t="n"/>
      <c r="C424" s="41" t="n"/>
      <c r="D424" s="41" t="n"/>
      <c r="E424" s="41" t="n"/>
      <c r="F424" s="41" t="n"/>
      <c r="G424" s="41">
        <f t="array" ref="G424">IF(C424="","",INDEX(Akaun!$F$5:$F$150,MATCH(C424,Akaun!$A$5:$A$150,0)))</f>
        <v/>
      </c>
    </row>
    <row r="425" ht="15" customHeight="1" s="60">
      <c r="A425" s="41" t="n"/>
      <c r="B425" s="41" t="n"/>
      <c r="C425" s="41" t="n"/>
      <c r="D425" s="41" t="n"/>
      <c r="E425" s="41" t="n"/>
      <c r="F425" s="41" t="n"/>
      <c r="G425" s="41">
        <f t="array" ref="G425">IF(C425="","",INDEX(Akaun!$F$5:$F$150,MATCH(C425,Akaun!$A$5:$A$150,0)))</f>
        <v/>
      </c>
    </row>
    <row r="426" ht="15" customHeight="1" s="60">
      <c r="A426" s="41" t="n"/>
      <c r="B426" s="41" t="n"/>
      <c r="C426" s="41" t="n"/>
      <c r="D426" s="41" t="n"/>
      <c r="E426" s="41" t="n"/>
      <c r="F426" s="41" t="n"/>
      <c r="G426" s="41">
        <f t="array" ref="G426">IF(C426="","",INDEX(Akaun!$F$5:$F$150,MATCH(C426,Akaun!$A$5:$A$150,0)))</f>
        <v/>
      </c>
    </row>
    <row r="427" ht="15" customHeight="1" s="60">
      <c r="A427" s="41" t="n"/>
      <c r="B427" s="41" t="n"/>
      <c r="C427" s="41" t="n"/>
      <c r="D427" s="41" t="n"/>
      <c r="E427" s="41" t="n"/>
      <c r="F427" s="41" t="n"/>
      <c r="G427" s="41">
        <f t="array" ref="G427">IF(C427="","",INDEX(Akaun!$F$5:$F$150,MATCH(C427,Akaun!$A$5:$A$150,0)))</f>
        <v/>
      </c>
    </row>
    <row r="428" ht="15" customHeight="1" s="60">
      <c r="A428" s="41" t="n"/>
      <c r="B428" s="41" t="n"/>
      <c r="C428" s="41" t="n"/>
      <c r="D428" s="41" t="n"/>
      <c r="E428" s="41" t="n"/>
      <c r="F428" s="41" t="n"/>
      <c r="G428" s="41">
        <f t="array" ref="G428">IF(C428="","",INDEX(Akaun!$F$5:$F$150,MATCH(C428,Akaun!$A$5:$A$150,0)))</f>
        <v/>
      </c>
    </row>
    <row r="429" ht="15" customHeight="1" s="60">
      <c r="A429" s="41" t="n"/>
      <c r="B429" s="41" t="n"/>
      <c r="C429" s="41" t="n"/>
      <c r="D429" s="41" t="n"/>
      <c r="E429" s="41" t="n"/>
      <c r="F429" s="41" t="n"/>
      <c r="G429" s="41">
        <f t="array" ref="G429">IF(C429="","",INDEX(Akaun!$F$5:$F$150,MATCH(C429,Akaun!$A$5:$A$150,0)))</f>
        <v/>
      </c>
    </row>
    <row r="430" ht="15" customHeight="1" s="60">
      <c r="A430" s="41" t="n"/>
      <c r="B430" s="41" t="n"/>
      <c r="C430" s="41" t="n"/>
      <c r="D430" s="41" t="n"/>
      <c r="E430" s="41" t="n"/>
      <c r="F430" s="41" t="n"/>
      <c r="G430" s="41">
        <f t="array" ref="G430">IF(C430="","",INDEX(Akaun!$F$5:$F$150,MATCH(C430,Akaun!$A$5:$A$150,0)))</f>
        <v/>
      </c>
    </row>
    <row r="431" ht="15" customHeight="1" s="60">
      <c r="A431" s="41" t="n"/>
      <c r="B431" s="41" t="n"/>
      <c r="C431" s="41" t="n"/>
      <c r="D431" s="41" t="n"/>
      <c r="E431" s="41" t="n"/>
      <c r="F431" s="41" t="n"/>
      <c r="G431" s="41">
        <f t="array" ref="G431">IF(C431="","",INDEX(Akaun!$F$5:$F$150,MATCH(C431,Akaun!$A$5:$A$150,0)))</f>
        <v/>
      </c>
    </row>
    <row r="432" ht="15" customHeight="1" s="60">
      <c r="A432" s="41" t="n"/>
      <c r="B432" s="41" t="n"/>
      <c r="C432" s="41" t="n"/>
      <c r="D432" s="41" t="n"/>
      <c r="E432" s="41" t="n"/>
      <c r="F432" s="41" t="n"/>
      <c r="G432" s="41">
        <f t="array" ref="G432">IF(C432="","",INDEX(Akaun!$F$5:$F$150,MATCH(C432,Akaun!$A$5:$A$150,0)))</f>
        <v/>
      </c>
    </row>
    <row r="433" ht="15" customHeight="1" s="60">
      <c r="A433" s="41" t="n"/>
      <c r="B433" s="41" t="n"/>
      <c r="C433" s="41" t="n"/>
      <c r="D433" s="41" t="n"/>
      <c r="E433" s="41" t="n"/>
      <c r="F433" s="41" t="n"/>
      <c r="G433" s="41">
        <f t="array" ref="G433">IF(C433="","",INDEX(Akaun!$F$5:$F$150,MATCH(C433,Akaun!$A$5:$A$150,0)))</f>
        <v/>
      </c>
    </row>
    <row r="434" ht="15" customHeight="1" s="60">
      <c r="A434" s="41" t="n"/>
      <c r="B434" s="41" t="n"/>
      <c r="C434" s="41" t="n"/>
      <c r="D434" s="41" t="n"/>
      <c r="E434" s="41" t="n"/>
      <c r="F434" s="41" t="n"/>
      <c r="G434" s="41">
        <f t="array" ref="G434">IF(C434="","",INDEX(Akaun!$F$5:$F$150,MATCH(C434,Akaun!$A$5:$A$150,0)))</f>
        <v/>
      </c>
    </row>
    <row r="435" ht="15" customHeight="1" s="60">
      <c r="A435" s="41" t="n"/>
      <c r="B435" s="41" t="n"/>
      <c r="C435" s="41" t="n"/>
      <c r="D435" s="41" t="n"/>
      <c r="E435" s="41" t="n"/>
      <c r="F435" s="41" t="n"/>
      <c r="G435" s="41">
        <f t="array" ref="G435">IF(C435="","",INDEX(Akaun!$F$5:$F$150,MATCH(C435,Akaun!$A$5:$A$150,0)))</f>
        <v/>
      </c>
    </row>
    <row r="436" ht="15" customHeight="1" s="60">
      <c r="A436" s="41" t="n"/>
      <c r="B436" s="41" t="n"/>
      <c r="C436" s="41" t="n"/>
      <c r="D436" s="41" t="n"/>
      <c r="E436" s="41" t="n"/>
      <c r="F436" s="41" t="n"/>
      <c r="G436" s="41">
        <f t="array" ref="G436">IF(C436="","",INDEX(Akaun!$F$5:$F$150,MATCH(C436,Akaun!$A$5:$A$150,0)))</f>
        <v/>
      </c>
    </row>
    <row r="437" ht="15" customHeight="1" s="60">
      <c r="A437" s="41" t="n"/>
      <c r="B437" s="41" t="n"/>
      <c r="C437" s="41" t="n"/>
      <c r="D437" s="41" t="n"/>
      <c r="E437" s="41" t="n"/>
      <c r="F437" s="41" t="n"/>
      <c r="G437" s="41">
        <f t="array" ref="G437">IF(C437="","",INDEX(Akaun!$F$5:$F$150,MATCH(C437,Akaun!$A$5:$A$150,0)))</f>
        <v/>
      </c>
    </row>
    <row r="438" ht="15" customHeight="1" s="60">
      <c r="A438" s="41" t="n"/>
      <c r="B438" s="41" t="n"/>
      <c r="C438" s="41" t="n"/>
      <c r="D438" s="41" t="n"/>
      <c r="E438" s="41" t="n"/>
      <c r="F438" s="41" t="n"/>
      <c r="G438" s="41">
        <f t="array" ref="G438">IF(C438="","",INDEX(Akaun!$F$5:$F$150,MATCH(C438,Akaun!$A$5:$A$150,0)))</f>
        <v/>
      </c>
    </row>
    <row r="439" ht="15" customHeight="1" s="60">
      <c r="A439" s="41" t="n"/>
      <c r="B439" s="41" t="n"/>
      <c r="C439" s="41" t="n"/>
      <c r="D439" s="41" t="n"/>
      <c r="E439" s="41" t="n"/>
      <c r="F439" s="41" t="n"/>
      <c r="G439" s="41">
        <f t="array" ref="G439">IF(C439="","",INDEX(Akaun!$F$5:$F$150,MATCH(C439,Akaun!$A$5:$A$150,0)))</f>
        <v/>
      </c>
    </row>
    <row r="440" ht="15" customHeight="1" s="60">
      <c r="A440" s="41" t="n"/>
      <c r="B440" s="41" t="n"/>
      <c r="C440" s="41" t="n"/>
      <c r="D440" s="41" t="n"/>
      <c r="E440" s="41" t="n"/>
      <c r="F440" s="41" t="n"/>
      <c r="G440" s="41">
        <f t="array" ref="G440">IF(C440="","",INDEX(Akaun!$F$5:$F$150,MATCH(C440,Akaun!$A$5:$A$150,0)))</f>
        <v/>
      </c>
    </row>
    <row r="441" ht="15" customHeight="1" s="60">
      <c r="A441" s="41" t="n"/>
      <c r="B441" s="41" t="n"/>
      <c r="C441" s="41" t="n"/>
      <c r="D441" s="41" t="n"/>
      <c r="E441" s="41" t="n"/>
      <c r="F441" s="41" t="n"/>
      <c r="G441" s="41">
        <f t="array" ref="G441">IF(C441="","",INDEX(Akaun!$F$5:$F$150,MATCH(C441,Akaun!$A$5:$A$150,0)))</f>
        <v/>
      </c>
    </row>
    <row r="442" ht="15" customHeight="1" s="60">
      <c r="A442" s="41" t="n"/>
      <c r="B442" s="41" t="n"/>
      <c r="C442" s="41" t="n"/>
      <c r="D442" s="41" t="n"/>
      <c r="E442" s="41" t="n"/>
      <c r="F442" s="41" t="n"/>
      <c r="G442" s="41">
        <f t="array" ref="G442">IF(C442="","",INDEX(Akaun!$F$5:$F$150,MATCH(C442,Akaun!$A$5:$A$150,0)))</f>
        <v/>
      </c>
    </row>
    <row r="443" ht="15" customHeight="1" s="60">
      <c r="A443" s="41" t="n"/>
      <c r="B443" s="41" t="n"/>
      <c r="C443" s="41" t="n"/>
      <c r="D443" s="41" t="n"/>
      <c r="E443" s="41" t="n"/>
      <c r="F443" s="41" t="n"/>
      <c r="G443" s="41">
        <f t="array" ref="G443">IF(C443="","",INDEX(Akaun!$F$5:$F$150,MATCH(C443,Akaun!$A$5:$A$150,0)))</f>
        <v/>
      </c>
    </row>
    <row r="444" ht="15" customHeight="1" s="60">
      <c r="A444" s="41" t="n"/>
      <c r="B444" s="41" t="n"/>
      <c r="C444" s="41" t="n"/>
      <c r="D444" s="41" t="n"/>
      <c r="E444" s="41" t="n"/>
      <c r="F444" s="41" t="n"/>
      <c r="G444" s="41">
        <f t="array" ref="G444">IF(C444="","",INDEX(Akaun!$F$5:$F$150,MATCH(C444,Akaun!$A$5:$A$150,0)))</f>
        <v/>
      </c>
    </row>
    <row r="445" ht="15" customHeight="1" s="60">
      <c r="A445" s="41" t="n"/>
      <c r="B445" s="41" t="n"/>
      <c r="C445" s="41" t="n"/>
      <c r="D445" s="41" t="n"/>
      <c r="E445" s="41" t="n"/>
      <c r="F445" s="41" t="n"/>
      <c r="G445" s="41">
        <f t="array" ref="G445">IF(C445="","",INDEX(Akaun!$F$5:$F$150,MATCH(C445,Akaun!$A$5:$A$150,0)))</f>
        <v/>
      </c>
    </row>
    <row r="446" ht="15" customHeight="1" s="60">
      <c r="A446" s="41" t="n"/>
      <c r="B446" s="41" t="n"/>
      <c r="C446" s="41" t="n"/>
      <c r="D446" s="41" t="n"/>
      <c r="E446" s="41" t="n"/>
      <c r="F446" s="41" t="n"/>
      <c r="G446" s="41">
        <f t="array" ref="G446">IF(C446="","",INDEX(Akaun!$F$5:$F$150,MATCH(C446,Akaun!$A$5:$A$150,0)))</f>
        <v/>
      </c>
    </row>
    <row r="447" ht="15" customHeight="1" s="60">
      <c r="A447" s="41" t="n"/>
      <c r="B447" s="41" t="n"/>
      <c r="C447" s="41" t="n"/>
      <c r="D447" s="41" t="n"/>
      <c r="E447" s="41" t="n"/>
      <c r="F447" s="41" t="n"/>
      <c r="G447" s="41">
        <f t="array" ref="G447">IF(C447="","",INDEX(Akaun!$F$5:$F$150,MATCH(C447,Akaun!$A$5:$A$150,0)))</f>
        <v/>
      </c>
    </row>
    <row r="448" ht="15" customHeight="1" s="60">
      <c r="A448" s="41" t="n"/>
      <c r="B448" s="41" t="n"/>
      <c r="C448" s="41" t="n"/>
      <c r="D448" s="41" t="n"/>
      <c r="E448" s="41" t="n"/>
      <c r="F448" s="41" t="n"/>
      <c r="G448" s="41">
        <f t="array" ref="G448">IF(C448="","",INDEX(Akaun!$F$5:$F$150,MATCH(C448,Akaun!$A$5:$A$150,0)))</f>
        <v/>
      </c>
    </row>
    <row r="449" ht="15" customHeight="1" s="60">
      <c r="A449" s="41" t="n"/>
      <c r="B449" s="41" t="n"/>
      <c r="C449" s="41" t="n"/>
      <c r="D449" s="41" t="n"/>
      <c r="E449" s="41" t="n"/>
      <c r="F449" s="41" t="n"/>
      <c r="G449" s="41">
        <f t="array" ref="G449">IF(C449="","",INDEX(Akaun!$F$5:$F$150,MATCH(C449,Akaun!$A$5:$A$150,0)))</f>
        <v/>
      </c>
    </row>
    <row r="450" ht="15" customHeight="1" s="60">
      <c r="A450" s="41" t="n"/>
      <c r="B450" s="41" t="n"/>
      <c r="C450" s="41" t="n"/>
      <c r="D450" s="41" t="n"/>
      <c r="E450" s="41" t="n"/>
      <c r="F450" s="41" t="n"/>
      <c r="G450" s="41">
        <f t="array" ref="G450">IF(C450="","",INDEX(Akaun!$F$5:$F$150,MATCH(C450,Akaun!$A$5:$A$150,0)))</f>
        <v/>
      </c>
    </row>
    <row r="451" ht="15" customHeight="1" s="60">
      <c r="A451" s="41" t="n"/>
      <c r="B451" s="41" t="n"/>
      <c r="C451" s="41" t="n"/>
      <c r="D451" s="41" t="n"/>
      <c r="E451" s="41" t="n"/>
      <c r="F451" s="41" t="n"/>
      <c r="G451" s="41">
        <f t="array" ref="G451">IF(C451="","",INDEX(Akaun!$F$5:$F$150,MATCH(C451,Akaun!$A$5:$A$150,0)))</f>
        <v/>
      </c>
    </row>
    <row r="452" ht="15" customHeight="1" s="60">
      <c r="A452" s="41" t="n"/>
      <c r="B452" s="41" t="n"/>
      <c r="C452" s="41" t="n"/>
      <c r="D452" s="41" t="n"/>
      <c r="E452" s="41" t="n"/>
      <c r="F452" s="41" t="n"/>
      <c r="G452" s="41">
        <f t="array" ref="G452">IF(C452="","",INDEX(Akaun!$F$5:$F$150,MATCH(C452,Akaun!$A$5:$A$150,0)))</f>
        <v/>
      </c>
    </row>
    <row r="453" ht="15" customHeight="1" s="60">
      <c r="A453" s="41" t="n"/>
      <c r="B453" s="41" t="n"/>
      <c r="C453" s="41" t="n"/>
      <c r="D453" s="41" t="n"/>
      <c r="E453" s="41" t="n"/>
      <c r="F453" s="41" t="n"/>
      <c r="G453" s="41">
        <f t="array" ref="G453">IF(C453="","",INDEX(Akaun!$F$5:$F$150,MATCH(C453,Akaun!$A$5:$A$150,0)))</f>
        <v/>
      </c>
    </row>
    <row r="454" ht="15" customHeight="1" s="60">
      <c r="A454" s="41" t="n"/>
      <c r="B454" s="41" t="n"/>
      <c r="C454" s="41" t="n"/>
      <c r="D454" s="41" t="n"/>
      <c r="E454" s="41" t="n"/>
      <c r="F454" s="41" t="n"/>
      <c r="G454" s="41">
        <f t="array" ref="G454">IF(C454="","",INDEX(Akaun!$F$5:$F$150,MATCH(C454,Akaun!$A$5:$A$150,0)))</f>
        <v/>
      </c>
    </row>
    <row r="455" ht="15" customHeight="1" s="60">
      <c r="A455" s="41" t="n"/>
      <c r="B455" s="41" t="n"/>
      <c r="C455" s="41" t="n"/>
      <c r="D455" s="41" t="n"/>
      <c r="E455" s="41" t="n"/>
      <c r="F455" s="41" t="n"/>
      <c r="G455" s="41">
        <f t="array" ref="G455">IF(C455="","",INDEX(Akaun!$F$5:$F$150,MATCH(C455,Akaun!$A$5:$A$150,0)))</f>
        <v/>
      </c>
    </row>
    <row r="456" ht="15" customHeight="1" s="60">
      <c r="A456" s="41" t="n"/>
      <c r="B456" s="41" t="n"/>
      <c r="C456" s="41" t="n"/>
      <c r="D456" s="41" t="n"/>
      <c r="E456" s="41" t="n"/>
      <c r="F456" s="41" t="n"/>
      <c r="G456" s="41">
        <f t="array" ref="G456">IF(C456="","",INDEX(Akaun!$F$5:$F$150,MATCH(C456,Akaun!$A$5:$A$150,0)))</f>
        <v/>
      </c>
    </row>
    <row r="457" ht="15" customHeight="1" s="60">
      <c r="A457" s="41" t="n"/>
      <c r="B457" s="41" t="n"/>
      <c r="C457" s="41" t="n"/>
      <c r="D457" s="41" t="n"/>
      <c r="E457" s="41" t="n"/>
      <c r="F457" s="41" t="n"/>
      <c r="G457" s="41">
        <f t="array" ref="G457">IF(C457="","",INDEX(Akaun!$F$5:$F$150,MATCH(C457,Akaun!$A$5:$A$150,0)))</f>
        <v/>
      </c>
    </row>
    <row r="458" ht="15" customHeight="1" s="60">
      <c r="A458" s="41" t="n"/>
      <c r="B458" s="41" t="n"/>
      <c r="C458" s="41" t="n"/>
      <c r="D458" s="41" t="n"/>
      <c r="E458" s="41" t="n"/>
      <c r="F458" s="41" t="n"/>
      <c r="G458" s="41">
        <f t="array" ref="G458">IF(C458="","",INDEX(Akaun!$F$5:$F$150,MATCH(C458,Akaun!$A$5:$A$150,0)))</f>
        <v/>
      </c>
    </row>
    <row r="459" ht="15" customHeight="1" s="60">
      <c r="A459" s="41" t="n"/>
      <c r="B459" s="41" t="n"/>
      <c r="C459" s="41" t="n"/>
      <c r="D459" s="41" t="n"/>
      <c r="E459" s="41" t="n"/>
      <c r="F459" s="41" t="n"/>
      <c r="G459" s="41">
        <f t="array" ref="G459">IF(C459="","",INDEX(Akaun!$F$5:$F$150,MATCH(C459,Akaun!$A$5:$A$150,0)))</f>
        <v/>
      </c>
    </row>
    <row r="460" ht="15" customHeight="1" s="60">
      <c r="A460" s="41" t="n"/>
      <c r="B460" s="41" t="n"/>
      <c r="C460" s="41" t="n"/>
      <c r="D460" s="41" t="n"/>
      <c r="E460" s="41" t="n"/>
      <c r="F460" s="41" t="n"/>
      <c r="G460" s="41">
        <f t="array" ref="G460">IF(C460="","",INDEX(Akaun!$F$5:$F$150,MATCH(C460,Akaun!$A$5:$A$150,0)))</f>
        <v/>
      </c>
    </row>
    <row r="461" ht="15" customHeight="1" s="60">
      <c r="A461" s="41" t="n"/>
      <c r="B461" s="41" t="n"/>
      <c r="C461" s="41" t="n"/>
      <c r="D461" s="41" t="n"/>
      <c r="E461" s="41" t="n"/>
      <c r="F461" s="41" t="n"/>
      <c r="G461" s="41">
        <f t="array" ref="G461">IF(C461="","",INDEX(Akaun!$F$5:$F$150,MATCH(C461,Akaun!$A$5:$A$150,0)))</f>
        <v/>
      </c>
    </row>
    <row r="462" ht="15" customHeight="1" s="60">
      <c r="A462" s="41" t="n"/>
      <c r="B462" s="41" t="n"/>
      <c r="C462" s="41" t="n"/>
      <c r="D462" s="41" t="n"/>
      <c r="E462" s="41" t="n"/>
      <c r="F462" s="41" t="n"/>
      <c r="G462" s="41">
        <f t="array" ref="G462">IF(C462="","",INDEX(Akaun!$F$5:$F$150,MATCH(C462,Akaun!$A$5:$A$150,0)))</f>
        <v/>
      </c>
    </row>
    <row r="463" ht="15" customHeight="1" s="60">
      <c r="A463" s="41" t="n"/>
      <c r="B463" s="41" t="n"/>
      <c r="C463" s="41" t="n"/>
      <c r="D463" s="41" t="n"/>
      <c r="E463" s="41" t="n"/>
      <c r="F463" s="41" t="n"/>
      <c r="G463" s="41">
        <f t="array" ref="G463">IF(C463="","",INDEX(Akaun!$F$5:$F$150,MATCH(C463,Akaun!$A$5:$A$150,0)))</f>
        <v/>
      </c>
    </row>
    <row r="464" ht="15" customHeight="1" s="60">
      <c r="A464" s="41" t="n"/>
      <c r="B464" s="41" t="n"/>
      <c r="C464" s="41" t="n"/>
      <c r="D464" s="41" t="n"/>
      <c r="E464" s="41" t="n"/>
      <c r="F464" s="41" t="n"/>
      <c r="G464" s="41">
        <f t="array" ref="G464">IF(C464="","",INDEX(Akaun!$F$5:$F$150,MATCH(C464,Akaun!$A$5:$A$150,0)))</f>
        <v/>
      </c>
    </row>
    <row r="465" ht="15" customHeight="1" s="60">
      <c r="A465" s="41" t="n"/>
      <c r="B465" s="41" t="n"/>
      <c r="C465" s="41" t="n"/>
      <c r="D465" s="41" t="n"/>
      <c r="E465" s="41" t="n"/>
      <c r="F465" s="41" t="n"/>
      <c r="G465" s="41">
        <f t="array" ref="G465">IF(C465="","",INDEX(Akaun!$F$5:$F$150,MATCH(C465,Akaun!$A$5:$A$150,0)))</f>
        <v/>
      </c>
    </row>
    <row r="466" ht="15" customHeight="1" s="60">
      <c r="A466" s="41" t="n"/>
      <c r="B466" s="41" t="n"/>
      <c r="C466" s="41" t="n"/>
      <c r="D466" s="41" t="n"/>
      <c r="E466" s="41" t="n"/>
      <c r="F466" s="41" t="n"/>
      <c r="G466" s="41">
        <f t="array" ref="G466">IF(C466="","",INDEX(Akaun!$F$5:$F$150,MATCH(C466,Akaun!$A$5:$A$150,0)))</f>
        <v/>
      </c>
    </row>
    <row r="467" ht="15" customHeight="1" s="60">
      <c r="A467" s="41" t="n"/>
      <c r="B467" s="41" t="n"/>
      <c r="C467" s="41" t="n"/>
      <c r="D467" s="41" t="n"/>
      <c r="E467" s="41" t="n"/>
      <c r="F467" s="41" t="n"/>
      <c r="G467" s="41">
        <f t="array" ref="G467">IF(C467="","",INDEX(Akaun!$F$5:$F$150,MATCH(C467,Akaun!$A$5:$A$150,0)))</f>
        <v/>
      </c>
    </row>
    <row r="468" ht="15" customHeight="1" s="60">
      <c r="A468" s="41" t="n"/>
      <c r="B468" s="41" t="n"/>
      <c r="C468" s="41" t="n"/>
      <c r="D468" s="41" t="n"/>
      <c r="E468" s="41" t="n"/>
      <c r="F468" s="41" t="n"/>
      <c r="G468" s="41">
        <f t="array" ref="G468">IF(C468="","",INDEX(Akaun!$F$5:$F$150,MATCH(C468,Akaun!$A$5:$A$150,0)))</f>
        <v/>
      </c>
    </row>
    <row r="469" ht="15" customHeight="1" s="60">
      <c r="A469" s="41" t="n"/>
      <c r="B469" s="41" t="n"/>
      <c r="C469" s="41" t="n"/>
      <c r="D469" s="41" t="n"/>
      <c r="E469" s="41" t="n"/>
      <c r="F469" s="41" t="n"/>
      <c r="G469" s="41">
        <f t="array" ref="G469">IF(C469="","",INDEX(Akaun!$F$5:$F$150,MATCH(C469,Akaun!$A$5:$A$150,0)))</f>
        <v/>
      </c>
    </row>
    <row r="470" ht="15" customHeight="1" s="60">
      <c r="A470" s="41" t="n"/>
      <c r="B470" s="41" t="n"/>
      <c r="C470" s="41" t="n"/>
      <c r="D470" s="41" t="n"/>
      <c r="E470" s="41" t="n"/>
      <c r="F470" s="41" t="n"/>
      <c r="G470" s="41">
        <f t="array" ref="G470">IF(C470="","",INDEX(Akaun!$F$5:$F$150,MATCH(C470,Akaun!$A$5:$A$150,0)))</f>
        <v/>
      </c>
    </row>
    <row r="471" ht="15" customHeight="1" s="60">
      <c r="A471" s="41" t="n"/>
      <c r="B471" s="41" t="n"/>
      <c r="C471" s="41" t="n"/>
      <c r="D471" s="41" t="n"/>
      <c r="E471" s="41" t="n"/>
      <c r="F471" s="41" t="n"/>
      <c r="G471" s="41">
        <f t="array" ref="G471">IF(C471="","",INDEX(Akaun!$F$5:$F$150,MATCH(C471,Akaun!$A$5:$A$150,0)))</f>
        <v/>
      </c>
    </row>
    <row r="472" ht="15" customHeight="1" s="60">
      <c r="A472" s="41" t="n"/>
      <c r="B472" s="41" t="n"/>
      <c r="C472" s="41" t="n"/>
      <c r="D472" s="41" t="n"/>
      <c r="E472" s="41" t="n"/>
      <c r="F472" s="41" t="n"/>
      <c r="G472" s="41">
        <f t="array" ref="G472">IF(C472="","",INDEX(Akaun!$F$5:$F$150,MATCH(C472,Akaun!$A$5:$A$150,0)))</f>
        <v/>
      </c>
    </row>
    <row r="473" ht="15" customHeight="1" s="60">
      <c r="A473" s="41" t="n"/>
      <c r="B473" s="41" t="n"/>
      <c r="C473" s="41" t="n"/>
      <c r="D473" s="41" t="n"/>
      <c r="E473" s="41" t="n"/>
      <c r="F473" s="41" t="n"/>
      <c r="G473" s="41">
        <f t="array" ref="G473">IF(C473="","",INDEX(Akaun!$F$5:$F$150,MATCH(C473,Akaun!$A$5:$A$150,0)))</f>
        <v/>
      </c>
    </row>
    <row r="474" ht="15" customHeight="1" s="60">
      <c r="A474" s="41" t="n"/>
      <c r="B474" s="41" t="n"/>
      <c r="C474" s="41" t="n"/>
      <c r="D474" s="41" t="n"/>
      <c r="E474" s="41" t="n"/>
      <c r="F474" s="41" t="n"/>
      <c r="G474" s="41">
        <f t="array" ref="G474">IF(C474="","",INDEX(Akaun!$F$5:$F$150,MATCH(C474,Akaun!$A$5:$A$150,0)))</f>
        <v/>
      </c>
    </row>
    <row r="475" ht="15" customHeight="1" s="60">
      <c r="A475" s="41" t="n"/>
      <c r="B475" s="41" t="n"/>
      <c r="C475" s="41" t="n"/>
      <c r="D475" s="41" t="n"/>
      <c r="E475" s="41" t="n"/>
      <c r="F475" s="41" t="n"/>
      <c r="G475" s="41">
        <f t="array" ref="G475">IF(C475="","",INDEX(Akaun!$F$5:$F$150,MATCH(C475,Akaun!$A$5:$A$150,0)))</f>
        <v/>
      </c>
    </row>
    <row r="476" ht="15" customHeight="1" s="60">
      <c r="A476" s="41" t="n"/>
      <c r="B476" s="41" t="n"/>
      <c r="C476" s="41" t="n"/>
      <c r="D476" s="41" t="n"/>
      <c r="E476" s="41" t="n"/>
      <c r="F476" s="41" t="n"/>
      <c r="G476" s="41">
        <f t="array" ref="G476">IF(C476="","",INDEX(Akaun!$F$5:$F$150,MATCH(C476,Akaun!$A$5:$A$150,0)))</f>
        <v/>
      </c>
    </row>
    <row r="477" ht="15" customHeight="1" s="60">
      <c r="A477" s="41" t="n"/>
      <c r="B477" s="41" t="n"/>
      <c r="C477" s="41" t="n"/>
      <c r="D477" s="41" t="n"/>
      <c r="E477" s="41" t="n"/>
      <c r="F477" s="41" t="n"/>
      <c r="G477" s="41">
        <f t="array" ref="G477">IF(C477="","",INDEX(Akaun!$F$5:$F$150,MATCH(C477,Akaun!$A$5:$A$150,0)))</f>
        <v/>
      </c>
    </row>
    <row r="478" ht="15" customHeight="1" s="60">
      <c r="A478" s="41" t="n"/>
      <c r="B478" s="41" t="n"/>
      <c r="C478" s="41" t="n"/>
      <c r="D478" s="41" t="n"/>
      <c r="E478" s="41" t="n"/>
      <c r="F478" s="41" t="n"/>
      <c r="G478" s="41">
        <f t="array" ref="G478">IF(C478="","",INDEX(Akaun!$F$5:$F$150,MATCH(C478,Akaun!$A$5:$A$150,0)))</f>
        <v/>
      </c>
    </row>
    <row r="479" ht="15" customHeight="1" s="60">
      <c r="A479" s="41" t="n"/>
      <c r="B479" s="41" t="n"/>
      <c r="C479" s="41" t="n"/>
      <c r="D479" s="41" t="n"/>
      <c r="E479" s="41" t="n"/>
      <c r="F479" s="41" t="n"/>
      <c r="G479" s="41">
        <f t="array" ref="G479">IF(C479="","",INDEX(Akaun!$F$5:$F$150,MATCH(C479,Akaun!$A$5:$A$150,0)))</f>
        <v/>
      </c>
    </row>
    <row r="480" ht="15" customHeight="1" s="60">
      <c r="A480" s="41" t="n"/>
      <c r="B480" s="41" t="n"/>
      <c r="C480" s="41" t="n"/>
      <c r="D480" s="41" t="n"/>
      <c r="E480" s="41" t="n"/>
      <c r="F480" s="41" t="n"/>
      <c r="G480" s="41">
        <f t="array" ref="G480">IF(C480="","",INDEX(Akaun!$F$5:$F$150,MATCH(C480,Akaun!$A$5:$A$150,0)))</f>
        <v/>
      </c>
    </row>
    <row r="481" ht="15" customHeight="1" s="60">
      <c r="A481" s="41" t="n"/>
      <c r="B481" s="41" t="n"/>
      <c r="C481" s="41" t="n"/>
      <c r="D481" s="41" t="n"/>
      <c r="E481" s="41" t="n"/>
      <c r="F481" s="41" t="n"/>
      <c r="G481" s="41">
        <f t="array" ref="G481">IF(C481="","",INDEX(Akaun!$F$5:$F$150,MATCH(C481,Akaun!$A$5:$A$150,0)))</f>
        <v/>
      </c>
    </row>
    <row r="482" ht="15" customHeight="1" s="60">
      <c r="A482" s="41" t="n"/>
      <c r="B482" s="41" t="n"/>
      <c r="C482" s="41" t="n"/>
      <c r="D482" s="41" t="n"/>
      <c r="E482" s="41" t="n"/>
      <c r="F482" s="41" t="n"/>
      <c r="G482" s="41">
        <f t="array" ref="G482">IF(C482="","",INDEX(Akaun!$F$5:$F$150,MATCH(C482,Akaun!$A$5:$A$150,0)))</f>
        <v/>
      </c>
    </row>
    <row r="483" ht="15" customHeight="1" s="60">
      <c r="A483" s="41" t="n"/>
      <c r="B483" s="41" t="n"/>
      <c r="C483" s="41" t="n"/>
      <c r="D483" s="41" t="n"/>
      <c r="E483" s="41" t="n"/>
      <c r="F483" s="41" t="n"/>
      <c r="G483" s="41">
        <f t="array" ref="G483">IF(C483="","",INDEX(Akaun!$F$5:$F$150,MATCH(C483,Akaun!$A$5:$A$150,0)))</f>
        <v/>
      </c>
    </row>
    <row r="484" ht="15" customHeight="1" s="60">
      <c r="A484" s="41" t="n"/>
      <c r="B484" s="41" t="n"/>
      <c r="C484" s="41" t="n"/>
      <c r="D484" s="41" t="n"/>
      <c r="E484" s="41" t="n"/>
      <c r="F484" s="41" t="n"/>
      <c r="G484" s="41">
        <f t="array" ref="G484">IF(C484="","",INDEX(Akaun!$F$5:$F$150,MATCH(C484,Akaun!$A$5:$A$150,0)))</f>
        <v/>
      </c>
    </row>
    <row r="485" ht="15" customHeight="1" s="60">
      <c r="A485" s="41" t="n"/>
      <c r="B485" s="41" t="n"/>
      <c r="C485" s="41" t="n"/>
      <c r="D485" s="41" t="n"/>
      <c r="E485" s="41" t="n"/>
      <c r="F485" s="41" t="n"/>
      <c r="G485" s="41">
        <f t="array" ref="G485">IF(C485="","",INDEX(Akaun!$F$5:$F$150,MATCH(C485,Akaun!$A$5:$A$150,0)))</f>
        <v/>
      </c>
    </row>
    <row r="486" ht="15" customHeight="1" s="60">
      <c r="A486" s="41" t="n"/>
      <c r="B486" s="41" t="n"/>
      <c r="C486" s="41" t="n"/>
      <c r="D486" s="41" t="n"/>
      <c r="E486" s="41" t="n"/>
      <c r="F486" s="41" t="n"/>
      <c r="G486" s="41">
        <f t="array" ref="G486">IF(C486="","",INDEX(Akaun!$F$5:$F$150,MATCH(C486,Akaun!$A$5:$A$150,0)))</f>
        <v/>
      </c>
    </row>
    <row r="487" ht="15" customHeight="1" s="60">
      <c r="A487" s="41" t="n"/>
      <c r="B487" s="41" t="n"/>
      <c r="C487" s="41" t="n"/>
      <c r="D487" s="41" t="n"/>
      <c r="E487" s="41" t="n"/>
      <c r="F487" s="41" t="n"/>
      <c r="G487" s="41">
        <f t="array" ref="G487">IF(C487="","",INDEX(Akaun!$F$5:$F$150,MATCH(C487,Akaun!$A$5:$A$150,0)))</f>
        <v/>
      </c>
    </row>
    <row r="488" ht="15" customHeight="1" s="60">
      <c r="A488" s="41" t="n"/>
      <c r="B488" s="41" t="n"/>
      <c r="C488" s="41" t="n"/>
      <c r="D488" s="41" t="n"/>
      <c r="E488" s="41" t="n"/>
      <c r="F488" s="41" t="n"/>
      <c r="G488" s="41">
        <f t="array" ref="G488">IF(C488="","",INDEX(Akaun!$F$5:$F$150,MATCH(C488,Akaun!$A$5:$A$150,0)))</f>
        <v/>
      </c>
    </row>
    <row r="489" ht="15" customHeight="1" s="60">
      <c r="A489" s="41" t="n"/>
      <c r="B489" s="41" t="n"/>
      <c r="C489" s="41" t="n"/>
      <c r="D489" s="41" t="n"/>
      <c r="E489" s="41" t="n"/>
      <c r="F489" s="41" t="n"/>
      <c r="G489" s="41">
        <f t="array" ref="G489">IF(C489="","",INDEX(Akaun!$F$5:$F$150,MATCH(C489,Akaun!$A$5:$A$150,0)))</f>
        <v/>
      </c>
    </row>
    <row r="490" ht="15" customHeight="1" s="60">
      <c r="A490" s="41" t="n"/>
      <c r="B490" s="41" t="n"/>
      <c r="C490" s="41" t="n"/>
      <c r="D490" s="41" t="n"/>
      <c r="E490" s="41" t="n"/>
      <c r="F490" s="41" t="n"/>
      <c r="G490" s="41">
        <f t="array" ref="G490">IF(C490="","",INDEX(Akaun!$F$5:$F$150,MATCH(C490,Akaun!$A$5:$A$150,0)))</f>
        <v/>
      </c>
    </row>
    <row r="491" ht="15" customHeight="1" s="60">
      <c r="A491" s="41" t="n"/>
      <c r="B491" s="41" t="n"/>
      <c r="C491" s="41" t="n"/>
      <c r="D491" s="41" t="n"/>
      <c r="E491" s="41" t="n"/>
      <c r="F491" s="41" t="n"/>
      <c r="G491" s="41">
        <f t="array" ref="G491">IF(C491="","",INDEX(Akaun!$F$5:$F$150,MATCH(C491,Akaun!$A$5:$A$150,0)))</f>
        <v/>
      </c>
    </row>
    <row r="492" ht="15" customHeight="1" s="60">
      <c r="A492" s="41" t="n"/>
      <c r="B492" s="41" t="n"/>
      <c r="C492" s="41" t="n"/>
      <c r="D492" s="41" t="n"/>
      <c r="E492" s="41" t="n"/>
      <c r="F492" s="41" t="n"/>
      <c r="G492" s="41">
        <f t="array" ref="G492">IF(C492="","",INDEX(Akaun!$F$5:$F$150,MATCH(C492,Akaun!$A$5:$A$150,0)))</f>
        <v/>
      </c>
    </row>
    <row r="493" ht="15" customHeight="1" s="60">
      <c r="A493" s="41" t="n"/>
      <c r="B493" s="41" t="n"/>
      <c r="C493" s="41" t="n"/>
      <c r="D493" s="41" t="n"/>
      <c r="E493" s="41" t="n"/>
      <c r="F493" s="41" t="n"/>
      <c r="G493" s="41">
        <f t="array" ref="G493">IF(C493="","",INDEX(Akaun!$F$5:$F$150,MATCH(C493,Akaun!$A$5:$A$150,0)))</f>
        <v/>
      </c>
    </row>
    <row r="494" ht="15" customHeight="1" s="60">
      <c r="A494" s="41" t="n"/>
      <c r="B494" s="41" t="n"/>
      <c r="C494" s="41" t="n"/>
      <c r="D494" s="41" t="n"/>
      <c r="E494" s="41" t="n"/>
      <c r="F494" s="41" t="n"/>
      <c r="G494" s="41">
        <f t="array" ref="G494">IF(C494="","",INDEX(Akaun!$F$5:$F$150,MATCH(C494,Akaun!$A$5:$A$150,0)))</f>
        <v/>
      </c>
    </row>
    <row r="495" ht="15" customHeight="1" s="60">
      <c r="A495" s="41" t="n"/>
      <c r="B495" s="41" t="n"/>
      <c r="C495" s="41" t="n"/>
      <c r="D495" s="41" t="n"/>
      <c r="E495" s="41" t="n"/>
      <c r="F495" s="41" t="n"/>
      <c r="G495" s="41">
        <f t="array" ref="G495">IF(C495="","",INDEX(Akaun!$F$5:$F$150,MATCH(C495,Akaun!$A$5:$A$150,0)))</f>
        <v/>
      </c>
    </row>
    <row r="496" ht="15" customHeight="1" s="60">
      <c r="A496" s="41" t="n"/>
      <c r="B496" s="41" t="n"/>
      <c r="C496" s="41" t="n"/>
      <c r="D496" s="41" t="n"/>
      <c r="E496" s="41" t="n"/>
      <c r="F496" s="41" t="n"/>
      <c r="G496" s="41">
        <f t="array" ref="G496">IF(C496="","",INDEX(Akaun!$F$5:$F$150,MATCH(C496,Akaun!$A$5:$A$150,0)))</f>
        <v/>
      </c>
    </row>
    <row r="497" ht="15" customHeight="1" s="60">
      <c r="A497" s="41" t="n"/>
      <c r="B497" s="41" t="n"/>
      <c r="C497" s="41" t="n"/>
      <c r="D497" s="41" t="n"/>
      <c r="E497" s="41" t="n"/>
      <c r="F497" s="41" t="n"/>
      <c r="G497" s="41">
        <f t="array" ref="G497">IF(C497="","",INDEX(Akaun!$F$5:$F$150,MATCH(C497,Akaun!$A$5:$A$150,0)))</f>
        <v/>
      </c>
    </row>
    <row r="498" ht="15" customHeight="1" s="60">
      <c r="A498" s="41" t="n"/>
      <c r="B498" s="41" t="n"/>
      <c r="C498" s="41" t="n"/>
      <c r="D498" s="41" t="n"/>
      <c r="E498" s="41" t="n"/>
      <c r="F498" s="41" t="n"/>
      <c r="G498" s="41">
        <f t="array" ref="G498">IF(C498="","",INDEX(Akaun!$F$5:$F$150,MATCH(C498,Akaun!$A$5:$A$150,0)))</f>
        <v/>
      </c>
    </row>
    <row r="499" ht="15" customHeight="1" s="60">
      <c r="A499" s="41" t="n"/>
      <c r="B499" s="41" t="n"/>
      <c r="C499" s="41" t="n"/>
      <c r="D499" s="41" t="n"/>
      <c r="E499" s="41" t="n"/>
      <c r="F499" s="41" t="n"/>
      <c r="G499" s="41">
        <f t="array" ref="G499">IF(C499="","",INDEX(Akaun!$F$5:$F$150,MATCH(C499,Akaun!$A$5:$A$150,0)))</f>
        <v/>
      </c>
    </row>
    <row r="500" ht="15" customHeight="1" s="60">
      <c r="A500" s="41" t="n"/>
      <c r="B500" s="41" t="n"/>
      <c r="C500" s="41" t="n"/>
      <c r="D500" s="41" t="n"/>
      <c r="E500" s="41" t="n"/>
      <c r="F500" s="41" t="n"/>
      <c r="G500" s="41">
        <f t="array" ref="G500">IF(C500="","",INDEX(Akaun!$F$5:$F$150,MATCH(C500,Akaun!$A$5:$A$150,0)))</f>
        <v/>
      </c>
    </row>
    <row r="501" ht="15.75" customHeight="1" s="60">
      <c r="A501" s="41" t="n"/>
      <c r="B501" s="41" t="n"/>
      <c r="C501" s="41" t="n"/>
      <c r="D501" s="41" t="n"/>
      <c r="E501" s="41" t="n"/>
      <c r="F501" s="41" t="n"/>
      <c r="G501" s="41" t="n"/>
    </row>
    <row r="502" ht="15.75" customHeight="1" s="60">
      <c r="A502" s="41" t="n"/>
      <c r="B502" s="41" t="n"/>
      <c r="C502" s="41" t="n"/>
      <c r="D502" s="41" t="n"/>
      <c r="E502" s="41" t="n"/>
      <c r="F502" s="41" t="n"/>
      <c r="G502" s="41" t="n"/>
    </row>
    <row r="503" ht="15.75" customHeight="1" s="60">
      <c r="A503" s="41" t="n"/>
      <c r="B503" s="41" t="n"/>
      <c r="C503" s="41" t="n"/>
      <c r="D503" s="41" t="n"/>
      <c r="E503" s="41" t="n"/>
      <c r="F503" s="41" t="n"/>
      <c r="G503" s="41" t="n"/>
    </row>
    <row r="504" ht="15.75" customHeight="1" s="60">
      <c r="A504" s="41" t="n"/>
      <c r="B504" s="41" t="n"/>
      <c r="C504" s="41" t="n"/>
      <c r="D504" s="41" t="n"/>
      <c r="E504" s="41" t="n"/>
      <c r="F504" s="41" t="n"/>
      <c r="G504" s="41" t="n"/>
    </row>
    <row r="505" ht="15.75" customHeight="1" s="60">
      <c r="A505" s="41" t="n"/>
      <c r="B505" s="41" t="n"/>
      <c r="C505" s="41" t="n"/>
      <c r="D505" s="41" t="n"/>
      <c r="E505" s="41" t="n"/>
      <c r="F505" s="41" t="n"/>
      <c r="G505" s="41" t="n"/>
    </row>
    <row r="506" ht="15.75" customHeight="1" s="60">
      <c r="A506" s="41" t="n"/>
      <c r="B506" s="41" t="n"/>
      <c r="C506" s="41" t="n"/>
      <c r="D506" s="41" t="n"/>
      <c r="E506" s="41" t="n"/>
      <c r="F506" s="41" t="n"/>
      <c r="G506" s="41" t="n"/>
    </row>
    <row r="507" ht="15.75" customHeight="1" s="60">
      <c r="A507" s="41" t="n"/>
      <c r="B507" s="41" t="n"/>
      <c r="C507" s="41" t="n"/>
      <c r="D507" s="41" t="n"/>
      <c r="E507" s="41" t="n"/>
      <c r="F507" s="41" t="n"/>
      <c r="G507" s="41" t="n"/>
    </row>
    <row r="508" ht="15.75" customHeight="1" s="60">
      <c r="A508" s="41" t="n"/>
      <c r="B508" s="41" t="n"/>
      <c r="C508" s="41" t="n"/>
      <c r="D508" s="41" t="n"/>
      <c r="E508" s="41" t="n"/>
      <c r="F508" s="41" t="n"/>
      <c r="G508" s="41" t="n"/>
    </row>
    <row r="509" ht="15.75" customHeight="1" s="60">
      <c r="A509" s="41" t="n"/>
      <c r="B509" s="41" t="n"/>
      <c r="C509" s="41" t="n"/>
      <c r="D509" s="41" t="n"/>
      <c r="E509" s="41" t="n"/>
      <c r="F509" s="41" t="n"/>
      <c r="G509" s="41" t="n"/>
    </row>
    <row r="510" ht="15.75" customHeight="1" s="60">
      <c r="A510" s="41" t="n"/>
      <c r="B510" s="41" t="n"/>
      <c r="C510" s="41" t="n"/>
      <c r="D510" s="41" t="n"/>
      <c r="E510" s="41" t="n"/>
      <c r="F510" s="41" t="n"/>
      <c r="G510" s="41" t="n"/>
    </row>
    <row r="511" ht="15.75" customHeight="1" s="60">
      <c r="A511" s="41" t="n"/>
      <c r="B511" s="41" t="n"/>
      <c r="C511" s="41" t="n"/>
      <c r="D511" s="41" t="n"/>
      <c r="E511" s="41" t="n"/>
      <c r="F511" s="41" t="n"/>
      <c r="G511" s="41" t="n"/>
    </row>
    <row r="512" ht="15.75" customHeight="1" s="60">
      <c r="A512" s="41" t="n"/>
      <c r="B512" s="41" t="n"/>
      <c r="C512" s="41" t="n"/>
      <c r="D512" s="41" t="n"/>
      <c r="E512" s="41" t="n"/>
      <c r="F512" s="41" t="n"/>
      <c r="G512" s="41" t="n"/>
    </row>
    <row r="513" ht="15.75" customHeight="1" s="60">
      <c r="A513" s="41" t="n"/>
      <c r="B513" s="41" t="n"/>
      <c r="C513" s="41" t="n"/>
      <c r="D513" s="41" t="n"/>
      <c r="E513" s="41" t="n"/>
      <c r="F513" s="41" t="n"/>
      <c r="G513" s="41" t="n"/>
    </row>
    <row r="514" ht="15.75" customHeight="1" s="60">
      <c r="A514" s="41" t="n"/>
      <c r="B514" s="41" t="n"/>
      <c r="C514" s="41" t="n"/>
      <c r="D514" s="41" t="n"/>
      <c r="E514" s="41" t="n"/>
      <c r="F514" s="41" t="n"/>
      <c r="G514" s="41" t="n"/>
    </row>
    <row r="515" ht="15.75" customHeight="1" s="60">
      <c r="A515" s="41" t="n"/>
      <c r="B515" s="41" t="n"/>
      <c r="C515" s="41" t="n"/>
      <c r="D515" s="41" t="n"/>
      <c r="E515" s="41" t="n"/>
      <c r="F515" s="41" t="n"/>
      <c r="G515" s="41" t="n"/>
    </row>
    <row r="516" ht="15.75" customHeight="1" s="60">
      <c r="A516" s="41" t="n"/>
      <c r="B516" s="41" t="n"/>
      <c r="C516" s="41" t="n"/>
      <c r="D516" s="41" t="n"/>
      <c r="E516" s="41" t="n"/>
      <c r="F516" s="41" t="n"/>
      <c r="G516" s="41" t="n"/>
    </row>
    <row r="517" ht="15.75" customHeight="1" s="60">
      <c r="A517" s="41" t="n"/>
      <c r="B517" s="41" t="n"/>
      <c r="C517" s="41" t="n"/>
      <c r="D517" s="41" t="n"/>
      <c r="E517" s="41" t="n"/>
      <c r="F517" s="41" t="n"/>
      <c r="G517" s="41" t="n"/>
    </row>
    <row r="518" ht="15.75" customHeight="1" s="60">
      <c r="A518" s="41" t="n"/>
      <c r="B518" s="41" t="n"/>
      <c r="C518" s="41" t="n"/>
      <c r="D518" s="41" t="n"/>
      <c r="E518" s="41" t="n"/>
      <c r="F518" s="41" t="n"/>
      <c r="G518" s="41" t="n"/>
    </row>
    <row r="519" ht="15.75" customHeight="1" s="60">
      <c r="A519" s="41" t="n"/>
      <c r="B519" s="41" t="n"/>
      <c r="C519" s="41" t="n"/>
      <c r="D519" s="41" t="n"/>
      <c r="E519" s="41" t="n"/>
      <c r="F519" s="41" t="n"/>
      <c r="G519" s="41" t="n"/>
    </row>
    <row r="520" ht="15.75" customHeight="1" s="60">
      <c r="A520" s="41" t="n"/>
      <c r="B520" s="41" t="n"/>
      <c r="C520" s="41" t="n"/>
      <c r="D520" s="41" t="n"/>
      <c r="E520" s="41" t="n"/>
      <c r="F520" s="41" t="n"/>
      <c r="G520" s="41" t="n"/>
    </row>
    <row r="521" ht="15.75" customHeight="1" s="60">
      <c r="A521" s="41" t="n"/>
      <c r="B521" s="41" t="n"/>
      <c r="C521" s="41" t="n"/>
      <c r="D521" s="41" t="n"/>
      <c r="E521" s="41" t="n"/>
      <c r="F521" s="41" t="n"/>
      <c r="G521" s="41" t="n"/>
    </row>
    <row r="522" ht="15.75" customHeight="1" s="60">
      <c r="A522" s="41" t="n"/>
      <c r="B522" s="41" t="n"/>
      <c r="C522" s="41" t="n"/>
      <c r="D522" s="41" t="n"/>
      <c r="E522" s="41" t="n"/>
      <c r="F522" s="41" t="n"/>
      <c r="G522" s="41" t="n"/>
    </row>
    <row r="523" ht="15.75" customHeight="1" s="60">
      <c r="A523" s="41" t="n"/>
      <c r="B523" s="41" t="n"/>
      <c r="C523" s="41" t="n"/>
      <c r="D523" s="41" t="n"/>
      <c r="E523" s="41" t="n"/>
      <c r="F523" s="41" t="n"/>
      <c r="G523" s="41" t="n"/>
    </row>
    <row r="524" ht="15.75" customHeight="1" s="60">
      <c r="A524" s="41" t="n"/>
      <c r="B524" s="41" t="n"/>
      <c r="C524" s="41" t="n"/>
      <c r="D524" s="41" t="n"/>
      <c r="E524" s="41" t="n"/>
      <c r="F524" s="41" t="n"/>
      <c r="G524" s="41" t="n"/>
    </row>
    <row r="525" ht="15.75" customHeight="1" s="60">
      <c r="A525" s="41" t="n"/>
      <c r="B525" s="41" t="n"/>
      <c r="C525" s="41" t="n"/>
      <c r="D525" s="41" t="n"/>
      <c r="E525" s="41" t="n"/>
      <c r="F525" s="41" t="n"/>
      <c r="G525" s="41" t="n"/>
    </row>
    <row r="526" ht="15.75" customHeight="1" s="60">
      <c r="A526" s="41" t="n"/>
      <c r="B526" s="41" t="n"/>
      <c r="C526" s="41" t="n"/>
      <c r="D526" s="41" t="n"/>
      <c r="E526" s="41" t="n"/>
      <c r="F526" s="41" t="n"/>
      <c r="G526" s="41" t="n"/>
    </row>
    <row r="527" ht="15.75" customHeight="1" s="60">
      <c r="A527" s="41" t="n"/>
      <c r="B527" s="41" t="n"/>
      <c r="C527" s="41" t="n"/>
      <c r="D527" s="41" t="n"/>
      <c r="E527" s="41" t="n"/>
      <c r="F527" s="41" t="n"/>
      <c r="G527" s="41" t="n"/>
    </row>
    <row r="528" ht="15.75" customHeight="1" s="60">
      <c r="A528" s="41" t="n"/>
      <c r="B528" s="41" t="n"/>
      <c r="C528" s="41" t="n"/>
      <c r="D528" s="41" t="n"/>
      <c r="E528" s="41" t="n"/>
      <c r="F528" s="41" t="n"/>
      <c r="G528" s="41" t="n"/>
    </row>
    <row r="529" ht="15.75" customHeight="1" s="60">
      <c r="A529" s="41" t="n"/>
      <c r="B529" s="41" t="n"/>
      <c r="C529" s="41" t="n"/>
      <c r="D529" s="41" t="n"/>
      <c r="E529" s="41" t="n"/>
      <c r="F529" s="41" t="n"/>
      <c r="G529" s="41" t="n"/>
    </row>
    <row r="530" ht="15.75" customHeight="1" s="60">
      <c r="A530" s="41" t="n"/>
      <c r="B530" s="41" t="n"/>
      <c r="C530" s="41" t="n"/>
      <c r="D530" s="41" t="n"/>
      <c r="E530" s="41" t="n"/>
      <c r="F530" s="41" t="n"/>
      <c r="G530" s="41" t="n"/>
    </row>
    <row r="531" ht="15.75" customHeight="1" s="60">
      <c r="A531" s="41" t="n"/>
      <c r="B531" s="41" t="n"/>
      <c r="C531" s="41" t="n"/>
      <c r="D531" s="41" t="n"/>
      <c r="E531" s="41" t="n"/>
      <c r="F531" s="41" t="n"/>
      <c r="G531" s="41" t="n"/>
    </row>
    <row r="532" ht="15.75" customHeight="1" s="60">
      <c r="A532" s="41" t="n"/>
      <c r="B532" s="41" t="n"/>
      <c r="C532" s="41" t="n"/>
      <c r="D532" s="41" t="n"/>
      <c r="E532" s="41" t="n"/>
      <c r="F532" s="41" t="n"/>
      <c r="G532" s="41" t="n"/>
    </row>
    <row r="533" ht="15.75" customHeight="1" s="60">
      <c r="A533" s="41" t="n"/>
      <c r="B533" s="41" t="n"/>
      <c r="C533" s="41" t="n"/>
      <c r="D533" s="41" t="n"/>
      <c r="E533" s="41" t="n"/>
      <c r="F533" s="41" t="n"/>
      <c r="G533" s="41" t="n"/>
    </row>
    <row r="534" ht="15.75" customHeight="1" s="60">
      <c r="A534" s="41" t="n"/>
      <c r="B534" s="41" t="n"/>
      <c r="C534" s="41" t="n"/>
      <c r="D534" s="41" t="n"/>
      <c r="E534" s="41" t="n"/>
      <c r="F534" s="41" t="n"/>
      <c r="G534" s="41" t="n"/>
    </row>
    <row r="535" ht="15.75" customHeight="1" s="60">
      <c r="A535" s="41" t="n"/>
      <c r="B535" s="41" t="n"/>
      <c r="C535" s="41" t="n"/>
      <c r="D535" s="41" t="n"/>
      <c r="E535" s="41" t="n"/>
      <c r="F535" s="41" t="n"/>
      <c r="G535" s="41" t="n"/>
    </row>
    <row r="536" ht="15.75" customHeight="1" s="60">
      <c r="A536" s="41" t="n"/>
      <c r="B536" s="41" t="n"/>
      <c r="C536" s="41" t="n"/>
      <c r="D536" s="41" t="n"/>
      <c r="E536" s="41" t="n"/>
      <c r="F536" s="41" t="n"/>
      <c r="G536" s="41" t="n"/>
    </row>
    <row r="537" ht="15.75" customHeight="1" s="60">
      <c r="A537" s="41" t="n"/>
      <c r="B537" s="41" t="n"/>
      <c r="C537" s="41" t="n"/>
      <c r="D537" s="41" t="n"/>
      <c r="E537" s="41" t="n"/>
      <c r="F537" s="41" t="n"/>
      <c r="G537" s="41" t="n"/>
    </row>
    <row r="538" ht="15.75" customHeight="1" s="60">
      <c r="A538" s="41" t="n"/>
      <c r="B538" s="41" t="n"/>
      <c r="C538" s="41" t="n"/>
      <c r="D538" s="41" t="n"/>
      <c r="E538" s="41" t="n"/>
      <c r="F538" s="41" t="n"/>
      <c r="G538" s="41" t="n"/>
    </row>
    <row r="539" ht="15.75" customHeight="1" s="60">
      <c r="A539" s="41" t="n"/>
      <c r="B539" s="41" t="n"/>
      <c r="C539" s="41" t="n"/>
      <c r="D539" s="41" t="n"/>
      <c r="E539" s="41" t="n"/>
      <c r="F539" s="41" t="n"/>
      <c r="G539" s="41" t="n"/>
    </row>
    <row r="540" ht="15.75" customHeight="1" s="60">
      <c r="A540" s="41" t="n"/>
      <c r="B540" s="41" t="n"/>
      <c r="C540" s="41" t="n"/>
      <c r="D540" s="41" t="n"/>
      <c r="E540" s="41" t="n"/>
      <c r="F540" s="41" t="n"/>
      <c r="G540" s="41" t="n"/>
    </row>
    <row r="541" ht="15.75" customHeight="1" s="60">
      <c r="A541" s="41" t="n"/>
      <c r="B541" s="41" t="n"/>
      <c r="C541" s="41" t="n"/>
      <c r="D541" s="41" t="n"/>
      <c r="E541" s="41" t="n"/>
      <c r="F541" s="41" t="n"/>
      <c r="G541" s="41" t="n"/>
    </row>
    <row r="542" ht="15.75" customHeight="1" s="60">
      <c r="A542" s="41" t="n"/>
      <c r="B542" s="41" t="n"/>
      <c r="C542" s="41" t="n"/>
      <c r="D542" s="41" t="n"/>
      <c r="E542" s="41" t="n"/>
      <c r="F542" s="41" t="n"/>
      <c r="G542" s="41" t="n"/>
    </row>
    <row r="543" ht="15.75" customHeight="1" s="60">
      <c r="A543" s="41" t="n"/>
      <c r="B543" s="41" t="n"/>
      <c r="C543" s="41" t="n"/>
      <c r="D543" s="41" t="n"/>
      <c r="E543" s="41" t="n"/>
      <c r="F543" s="41" t="n"/>
      <c r="G543" s="41" t="n"/>
    </row>
    <row r="544" ht="15.75" customHeight="1" s="60">
      <c r="A544" s="41" t="n"/>
      <c r="B544" s="41" t="n"/>
      <c r="C544" s="41" t="n"/>
      <c r="D544" s="41" t="n"/>
      <c r="E544" s="41" t="n"/>
      <c r="F544" s="41" t="n"/>
      <c r="G544" s="41" t="n"/>
    </row>
    <row r="545" ht="15.75" customHeight="1" s="60">
      <c r="A545" s="41" t="n"/>
      <c r="B545" s="41" t="n"/>
      <c r="C545" s="41" t="n"/>
      <c r="D545" s="41" t="n"/>
      <c r="E545" s="41" t="n"/>
      <c r="F545" s="41" t="n"/>
      <c r="G545" s="41" t="n"/>
    </row>
    <row r="546" ht="15.75" customHeight="1" s="60">
      <c r="A546" s="41" t="n"/>
      <c r="B546" s="41" t="n"/>
      <c r="C546" s="41" t="n"/>
      <c r="D546" s="41" t="n"/>
      <c r="E546" s="41" t="n"/>
      <c r="F546" s="41" t="n"/>
      <c r="G546" s="41" t="n"/>
    </row>
    <row r="547" ht="15.75" customHeight="1" s="60">
      <c r="A547" s="41" t="n"/>
      <c r="B547" s="41" t="n"/>
      <c r="C547" s="41" t="n"/>
      <c r="D547" s="41" t="n"/>
      <c r="E547" s="41" t="n"/>
      <c r="F547" s="41" t="n"/>
      <c r="G547" s="41" t="n"/>
    </row>
    <row r="548" ht="15.75" customHeight="1" s="60">
      <c r="A548" s="41" t="n"/>
      <c r="B548" s="41" t="n"/>
      <c r="C548" s="41" t="n"/>
      <c r="D548" s="41" t="n"/>
      <c r="E548" s="41" t="n"/>
      <c r="F548" s="41" t="n"/>
      <c r="G548" s="41" t="n"/>
    </row>
    <row r="549" ht="15.75" customHeight="1" s="60">
      <c r="A549" s="41" t="n"/>
      <c r="B549" s="41" t="n"/>
      <c r="C549" s="41" t="n"/>
      <c r="D549" s="41" t="n"/>
      <c r="E549" s="41" t="n"/>
      <c r="F549" s="41" t="n"/>
      <c r="G549" s="41" t="n"/>
    </row>
    <row r="550" ht="15.75" customHeight="1" s="60">
      <c r="A550" s="41" t="n"/>
      <c r="B550" s="41" t="n"/>
      <c r="C550" s="41" t="n"/>
      <c r="D550" s="41" t="n"/>
      <c r="E550" s="41" t="n"/>
      <c r="F550" s="41" t="n"/>
      <c r="G550" s="41" t="n"/>
    </row>
    <row r="551" ht="15.75" customHeight="1" s="60">
      <c r="A551" s="41" t="n"/>
      <c r="B551" s="41" t="n"/>
      <c r="C551" s="41" t="n"/>
      <c r="D551" s="41" t="n"/>
      <c r="E551" s="41" t="n"/>
      <c r="F551" s="41" t="n"/>
      <c r="G551" s="41" t="n"/>
    </row>
    <row r="552" ht="15.75" customHeight="1" s="60">
      <c r="A552" s="41" t="n"/>
      <c r="B552" s="41" t="n"/>
      <c r="C552" s="41" t="n"/>
      <c r="D552" s="41" t="n"/>
      <c r="E552" s="41" t="n"/>
      <c r="F552" s="41" t="n"/>
      <c r="G552" s="41" t="n"/>
    </row>
    <row r="553" ht="15.75" customHeight="1" s="60">
      <c r="A553" s="41" t="n"/>
      <c r="B553" s="41" t="n"/>
      <c r="C553" s="41" t="n"/>
      <c r="D553" s="41" t="n"/>
      <c r="E553" s="41" t="n"/>
      <c r="F553" s="41" t="n"/>
      <c r="G553" s="41" t="n"/>
    </row>
    <row r="554" ht="15.75" customHeight="1" s="60">
      <c r="A554" s="41" t="n"/>
      <c r="B554" s="41" t="n"/>
      <c r="C554" s="41" t="n"/>
      <c r="D554" s="41" t="n"/>
      <c r="E554" s="41" t="n"/>
      <c r="F554" s="41" t="n"/>
      <c r="G554" s="41" t="n"/>
    </row>
    <row r="555" ht="15.75" customHeight="1" s="60">
      <c r="A555" s="41" t="n"/>
      <c r="B555" s="41" t="n"/>
      <c r="C555" s="41" t="n"/>
      <c r="D555" s="41" t="n"/>
      <c r="E555" s="41" t="n"/>
      <c r="F555" s="41" t="n"/>
      <c r="G555" s="41" t="n"/>
    </row>
    <row r="556" ht="15.75" customHeight="1" s="60">
      <c r="A556" s="41" t="n"/>
      <c r="B556" s="41" t="n"/>
      <c r="C556" s="41" t="n"/>
      <c r="D556" s="41" t="n"/>
      <c r="E556" s="41" t="n"/>
      <c r="F556" s="41" t="n"/>
      <c r="G556" s="41" t="n"/>
    </row>
    <row r="557" ht="15.75" customHeight="1" s="60">
      <c r="A557" s="41" t="n"/>
      <c r="B557" s="41" t="n"/>
      <c r="C557" s="41" t="n"/>
      <c r="D557" s="41" t="n"/>
      <c r="E557" s="41" t="n"/>
      <c r="F557" s="41" t="n"/>
      <c r="G557" s="41" t="n"/>
    </row>
    <row r="558" ht="15.75" customHeight="1" s="60">
      <c r="A558" s="41" t="n"/>
      <c r="B558" s="41" t="n"/>
      <c r="C558" s="41" t="n"/>
      <c r="D558" s="41" t="n"/>
      <c r="E558" s="41" t="n"/>
      <c r="F558" s="41" t="n"/>
      <c r="G558" s="41" t="n"/>
    </row>
    <row r="559" ht="15.75" customHeight="1" s="60">
      <c r="A559" s="41" t="n"/>
      <c r="B559" s="41" t="n"/>
      <c r="C559" s="41" t="n"/>
      <c r="D559" s="41" t="n"/>
      <c r="E559" s="41" t="n"/>
      <c r="F559" s="41" t="n"/>
      <c r="G559" s="41" t="n"/>
    </row>
    <row r="560" ht="15.75" customHeight="1" s="60">
      <c r="A560" s="41" t="n"/>
      <c r="B560" s="41" t="n"/>
      <c r="C560" s="41" t="n"/>
      <c r="D560" s="41" t="n"/>
      <c r="E560" s="41" t="n"/>
      <c r="F560" s="41" t="n"/>
      <c r="G560" s="41" t="n"/>
    </row>
    <row r="561" ht="15.75" customHeight="1" s="60">
      <c r="A561" s="41" t="n"/>
      <c r="B561" s="41" t="n"/>
      <c r="C561" s="41" t="n"/>
      <c r="D561" s="41" t="n"/>
      <c r="E561" s="41" t="n"/>
      <c r="F561" s="41" t="n"/>
      <c r="G561" s="41" t="n"/>
    </row>
    <row r="562" ht="15.75" customHeight="1" s="60">
      <c r="A562" s="41" t="n"/>
      <c r="B562" s="41" t="n"/>
      <c r="C562" s="41" t="n"/>
      <c r="D562" s="41" t="n"/>
      <c r="E562" s="41" t="n"/>
      <c r="F562" s="41" t="n"/>
      <c r="G562" s="41" t="n"/>
    </row>
    <row r="563" ht="15.75" customHeight="1" s="60">
      <c r="A563" s="41" t="n"/>
      <c r="B563" s="41" t="n"/>
      <c r="C563" s="41" t="n"/>
      <c r="D563" s="41" t="n"/>
      <c r="E563" s="41" t="n"/>
      <c r="F563" s="41" t="n"/>
      <c r="G563" s="41" t="n"/>
    </row>
    <row r="564" ht="15.75" customHeight="1" s="60">
      <c r="A564" s="41" t="n"/>
      <c r="B564" s="41" t="n"/>
      <c r="C564" s="41" t="n"/>
      <c r="D564" s="41" t="n"/>
      <c r="E564" s="41" t="n"/>
      <c r="F564" s="41" t="n"/>
      <c r="G564" s="41" t="n"/>
    </row>
    <row r="565" ht="15.75" customHeight="1" s="60">
      <c r="A565" s="41" t="n"/>
      <c r="B565" s="41" t="n"/>
      <c r="C565" s="41" t="n"/>
      <c r="D565" s="41" t="n"/>
      <c r="E565" s="41" t="n"/>
      <c r="F565" s="41" t="n"/>
      <c r="G565" s="41" t="n"/>
    </row>
    <row r="566" ht="15.75" customHeight="1" s="60">
      <c r="A566" s="41" t="n"/>
      <c r="B566" s="41" t="n"/>
      <c r="C566" s="41" t="n"/>
      <c r="D566" s="41" t="n"/>
      <c r="E566" s="41" t="n"/>
      <c r="F566" s="41" t="n"/>
      <c r="G566" s="41" t="n"/>
    </row>
    <row r="567" ht="15.75" customHeight="1" s="60">
      <c r="A567" s="41" t="n"/>
      <c r="B567" s="41" t="n"/>
      <c r="C567" s="41" t="n"/>
      <c r="D567" s="41" t="n"/>
      <c r="E567" s="41" t="n"/>
      <c r="F567" s="41" t="n"/>
      <c r="G567" s="41" t="n"/>
    </row>
    <row r="568" ht="15.75" customHeight="1" s="60">
      <c r="A568" s="41" t="n"/>
      <c r="B568" s="41" t="n"/>
      <c r="C568" s="41" t="n"/>
      <c r="D568" s="41" t="n"/>
      <c r="E568" s="41" t="n"/>
      <c r="F568" s="41" t="n"/>
      <c r="G568" s="41" t="n"/>
    </row>
    <row r="569" ht="15.75" customHeight="1" s="60">
      <c r="A569" s="41" t="n"/>
      <c r="B569" s="41" t="n"/>
      <c r="C569" s="41" t="n"/>
      <c r="D569" s="41" t="n"/>
      <c r="E569" s="41" t="n"/>
      <c r="F569" s="41" t="n"/>
      <c r="G569" s="41" t="n"/>
    </row>
    <row r="570" ht="15.75" customHeight="1" s="60">
      <c r="A570" s="41" t="n"/>
      <c r="B570" s="41" t="n"/>
      <c r="C570" s="41" t="n"/>
      <c r="D570" s="41" t="n"/>
      <c r="E570" s="41" t="n"/>
      <c r="F570" s="41" t="n"/>
      <c r="G570" s="41" t="n"/>
    </row>
    <row r="571" ht="15.75" customHeight="1" s="60">
      <c r="A571" s="41" t="n"/>
      <c r="B571" s="41" t="n"/>
      <c r="C571" s="41" t="n"/>
      <c r="D571" s="41" t="n"/>
      <c r="E571" s="41" t="n"/>
      <c r="F571" s="41" t="n"/>
      <c r="G571" s="41" t="n"/>
    </row>
    <row r="572" ht="15.75" customHeight="1" s="60">
      <c r="A572" s="41" t="n"/>
      <c r="B572" s="41" t="n"/>
      <c r="C572" s="41" t="n"/>
      <c r="D572" s="41" t="n"/>
      <c r="E572" s="41" t="n"/>
      <c r="F572" s="41" t="n"/>
      <c r="G572" s="41" t="n"/>
    </row>
    <row r="573" ht="15.75" customHeight="1" s="60">
      <c r="A573" s="41" t="n"/>
      <c r="B573" s="41" t="n"/>
      <c r="C573" s="41" t="n"/>
      <c r="D573" s="41" t="n"/>
      <c r="E573" s="41" t="n"/>
      <c r="F573" s="41" t="n"/>
      <c r="G573" s="41" t="n"/>
    </row>
    <row r="574" ht="15.75" customHeight="1" s="60">
      <c r="A574" s="41" t="n"/>
      <c r="B574" s="41" t="n"/>
      <c r="C574" s="41" t="n"/>
      <c r="D574" s="41" t="n"/>
      <c r="E574" s="41" t="n"/>
      <c r="F574" s="41" t="n"/>
      <c r="G574" s="41" t="n"/>
    </row>
    <row r="575" ht="15.75" customHeight="1" s="60">
      <c r="A575" s="41" t="n"/>
      <c r="B575" s="41" t="n"/>
      <c r="C575" s="41" t="n"/>
      <c r="D575" s="41" t="n"/>
      <c r="E575" s="41" t="n"/>
      <c r="F575" s="41" t="n"/>
      <c r="G575" s="41" t="n"/>
    </row>
    <row r="576" ht="15.75" customHeight="1" s="60">
      <c r="A576" s="41" t="n"/>
      <c r="B576" s="41" t="n"/>
      <c r="C576" s="41" t="n"/>
      <c r="D576" s="41" t="n"/>
      <c r="E576" s="41" t="n"/>
      <c r="F576" s="41" t="n"/>
      <c r="G576" s="41" t="n"/>
    </row>
    <row r="577" ht="15.75" customHeight="1" s="60">
      <c r="A577" s="41" t="n"/>
      <c r="B577" s="41" t="n"/>
      <c r="C577" s="41" t="n"/>
      <c r="D577" s="41" t="n"/>
      <c r="E577" s="41" t="n"/>
      <c r="F577" s="41" t="n"/>
      <c r="G577" s="41" t="n"/>
    </row>
    <row r="578" ht="15.75" customHeight="1" s="60">
      <c r="A578" s="41" t="n"/>
      <c r="B578" s="41" t="n"/>
      <c r="C578" s="41" t="n"/>
      <c r="D578" s="41" t="n"/>
      <c r="E578" s="41" t="n"/>
      <c r="F578" s="41" t="n"/>
      <c r="G578" s="41" t="n"/>
    </row>
    <row r="579" ht="15.75" customHeight="1" s="60">
      <c r="A579" s="41" t="n"/>
      <c r="B579" s="41" t="n"/>
      <c r="C579" s="41" t="n"/>
      <c r="D579" s="41" t="n"/>
      <c r="E579" s="41" t="n"/>
      <c r="F579" s="41" t="n"/>
      <c r="G579" s="41" t="n"/>
    </row>
    <row r="580" ht="15.75" customHeight="1" s="60">
      <c r="A580" s="41" t="n"/>
      <c r="B580" s="41" t="n"/>
      <c r="C580" s="41" t="n"/>
      <c r="D580" s="41" t="n"/>
      <c r="E580" s="41" t="n"/>
      <c r="F580" s="41" t="n"/>
      <c r="G580" s="41" t="n"/>
    </row>
    <row r="581" ht="15.75" customHeight="1" s="60">
      <c r="A581" s="41" t="n"/>
      <c r="B581" s="41" t="n"/>
      <c r="C581" s="41" t="n"/>
      <c r="D581" s="41" t="n"/>
      <c r="E581" s="41" t="n"/>
      <c r="F581" s="41" t="n"/>
      <c r="G581" s="41" t="n"/>
    </row>
    <row r="582" ht="15.75" customHeight="1" s="60">
      <c r="A582" s="41" t="n"/>
      <c r="B582" s="41" t="n"/>
      <c r="C582" s="41" t="n"/>
      <c r="D582" s="41" t="n"/>
      <c r="E582" s="41" t="n"/>
      <c r="F582" s="41" t="n"/>
      <c r="G582" s="41" t="n"/>
    </row>
    <row r="583" ht="15.75" customHeight="1" s="60">
      <c r="A583" s="41" t="n"/>
      <c r="B583" s="41" t="n"/>
      <c r="C583" s="41" t="n"/>
      <c r="D583" s="41" t="n"/>
      <c r="E583" s="41" t="n"/>
      <c r="F583" s="41" t="n"/>
      <c r="G583" s="41" t="n"/>
    </row>
    <row r="584" ht="15.75" customHeight="1" s="60">
      <c r="A584" s="41" t="n"/>
      <c r="B584" s="41" t="n"/>
      <c r="C584" s="41" t="n"/>
      <c r="D584" s="41" t="n"/>
      <c r="E584" s="41" t="n"/>
      <c r="F584" s="41" t="n"/>
      <c r="G584" s="41" t="n"/>
    </row>
    <row r="585" ht="15.75" customHeight="1" s="60">
      <c r="A585" s="41" t="n"/>
      <c r="B585" s="41" t="n"/>
      <c r="C585" s="41" t="n"/>
      <c r="D585" s="41" t="n"/>
      <c r="E585" s="41" t="n"/>
      <c r="F585" s="41" t="n"/>
      <c r="G585" s="41" t="n"/>
    </row>
    <row r="586" ht="15.75" customHeight="1" s="60">
      <c r="A586" s="41" t="n"/>
      <c r="B586" s="41" t="n"/>
      <c r="C586" s="41" t="n"/>
      <c r="D586" s="41" t="n"/>
      <c r="E586" s="41" t="n"/>
      <c r="F586" s="41" t="n"/>
      <c r="G586" s="41" t="n"/>
    </row>
    <row r="587" ht="15.75" customHeight="1" s="60">
      <c r="A587" s="41" t="n"/>
      <c r="B587" s="41" t="n"/>
      <c r="C587" s="41" t="n"/>
      <c r="D587" s="41" t="n"/>
      <c r="E587" s="41" t="n"/>
      <c r="F587" s="41" t="n"/>
      <c r="G587" s="41" t="n"/>
    </row>
    <row r="588" ht="15.75" customHeight="1" s="60">
      <c r="A588" s="41" t="n"/>
      <c r="B588" s="41" t="n"/>
      <c r="C588" s="41" t="n"/>
      <c r="D588" s="41" t="n"/>
      <c r="E588" s="41" t="n"/>
      <c r="F588" s="41" t="n"/>
      <c r="G588" s="41" t="n"/>
    </row>
    <row r="589" ht="15.75" customHeight="1" s="60">
      <c r="A589" s="41" t="n"/>
      <c r="B589" s="41" t="n"/>
      <c r="C589" s="41" t="n"/>
      <c r="D589" s="41" t="n"/>
      <c r="E589" s="41" t="n"/>
      <c r="F589" s="41" t="n"/>
      <c r="G589" s="41" t="n"/>
    </row>
    <row r="590" ht="15.75" customHeight="1" s="60">
      <c r="A590" s="41" t="n"/>
      <c r="B590" s="41" t="n"/>
      <c r="C590" s="41" t="n"/>
      <c r="D590" s="41" t="n"/>
      <c r="E590" s="41" t="n"/>
      <c r="F590" s="41" t="n"/>
      <c r="G590" s="41" t="n"/>
    </row>
    <row r="591" ht="15.75" customHeight="1" s="60">
      <c r="A591" s="41" t="n"/>
      <c r="B591" s="41" t="n"/>
      <c r="C591" s="41" t="n"/>
      <c r="D591" s="41" t="n"/>
      <c r="E591" s="41" t="n"/>
      <c r="F591" s="41" t="n"/>
      <c r="G591" s="41" t="n"/>
    </row>
    <row r="592" ht="15.75" customHeight="1" s="60">
      <c r="A592" s="41" t="n"/>
      <c r="B592" s="41" t="n"/>
      <c r="C592" s="41" t="n"/>
      <c r="D592" s="41" t="n"/>
      <c r="E592" s="41" t="n"/>
      <c r="F592" s="41" t="n"/>
      <c r="G592" s="41" t="n"/>
    </row>
    <row r="593" ht="15.75" customHeight="1" s="60">
      <c r="A593" s="41" t="n"/>
      <c r="B593" s="41" t="n"/>
      <c r="C593" s="41" t="n"/>
      <c r="D593" s="41" t="n"/>
      <c r="E593" s="41" t="n"/>
      <c r="F593" s="41" t="n"/>
      <c r="G593" s="41" t="n"/>
    </row>
    <row r="594" ht="15.75" customHeight="1" s="60">
      <c r="A594" s="41" t="n"/>
      <c r="B594" s="41" t="n"/>
      <c r="C594" s="41" t="n"/>
      <c r="D594" s="41" t="n"/>
      <c r="E594" s="41" t="n"/>
      <c r="F594" s="41" t="n"/>
      <c r="G594" s="41" t="n"/>
    </row>
    <row r="595" ht="15.75" customHeight="1" s="60">
      <c r="A595" s="41" t="n"/>
      <c r="B595" s="41" t="n"/>
      <c r="C595" s="41" t="n"/>
      <c r="D595" s="41" t="n"/>
      <c r="E595" s="41" t="n"/>
      <c r="F595" s="41" t="n"/>
      <c r="G595" s="41" t="n"/>
    </row>
    <row r="596" ht="15.75" customHeight="1" s="60">
      <c r="A596" s="41" t="n"/>
      <c r="B596" s="41" t="n"/>
      <c r="C596" s="41" t="n"/>
      <c r="D596" s="41" t="n"/>
      <c r="E596" s="41" t="n"/>
      <c r="F596" s="41" t="n"/>
      <c r="G596" s="41" t="n"/>
    </row>
    <row r="597" ht="15.75" customHeight="1" s="60">
      <c r="A597" s="41" t="n"/>
      <c r="B597" s="41" t="n"/>
      <c r="C597" s="41" t="n"/>
      <c r="D597" s="41" t="n"/>
      <c r="E597" s="41" t="n"/>
      <c r="F597" s="41" t="n"/>
      <c r="G597" s="41" t="n"/>
    </row>
    <row r="598" ht="15.75" customHeight="1" s="60">
      <c r="A598" s="41" t="n"/>
      <c r="B598" s="41" t="n"/>
      <c r="C598" s="41" t="n"/>
      <c r="D598" s="41" t="n"/>
      <c r="E598" s="41" t="n"/>
      <c r="F598" s="41" t="n"/>
      <c r="G598" s="41" t="n"/>
    </row>
    <row r="599" ht="15.75" customHeight="1" s="60">
      <c r="A599" s="41" t="n"/>
      <c r="B599" s="41" t="n"/>
      <c r="C599" s="41" t="n"/>
      <c r="D599" s="41" t="n"/>
      <c r="E599" s="41" t="n"/>
      <c r="F599" s="41" t="n"/>
      <c r="G599" s="41" t="n"/>
    </row>
    <row r="600" ht="15.75" customHeight="1" s="60">
      <c r="A600" s="41" t="n"/>
      <c r="B600" s="41" t="n"/>
      <c r="C600" s="41" t="n"/>
      <c r="D600" s="41" t="n"/>
      <c r="E600" s="41" t="n"/>
      <c r="F600" s="41" t="n"/>
      <c r="G600" s="41" t="n"/>
    </row>
    <row r="601" ht="15.75" customHeight="1" s="60">
      <c r="A601" s="41" t="n"/>
      <c r="B601" s="41" t="n"/>
      <c r="C601" s="41" t="n"/>
      <c r="D601" s="41" t="n"/>
      <c r="E601" s="41" t="n"/>
      <c r="F601" s="41" t="n"/>
      <c r="G601" s="41" t="n"/>
    </row>
    <row r="602" ht="15.75" customHeight="1" s="60">
      <c r="A602" s="41" t="n"/>
      <c r="B602" s="41" t="n"/>
      <c r="C602" s="41" t="n"/>
      <c r="D602" s="41" t="n"/>
      <c r="E602" s="41" t="n"/>
      <c r="F602" s="41" t="n"/>
      <c r="G602" s="41" t="n"/>
    </row>
    <row r="603" ht="15.75" customHeight="1" s="60">
      <c r="A603" s="41" t="n"/>
      <c r="B603" s="41" t="n"/>
      <c r="C603" s="41" t="n"/>
      <c r="D603" s="41" t="n"/>
      <c r="E603" s="41" t="n"/>
      <c r="F603" s="41" t="n"/>
      <c r="G603" s="41" t="n"/>
    </row>
    <row r="604" ht="15.75" customHeight="1" s="60">
      <c r="A604" s="41" t="n"/>
      <c r="B604" s="41" t="n"/>
      <c r="C604" s="41" t="n"/>
      <c r="D604" s="41" t="n"/>
      <c r="E604" s="41" t="n"/>
      <c r="F604" s="41" t="n"/>
      <c r="G604" s="41" t="n"/>
    </row>
    <row r="605" ht="15.75" customHeight="1" s="60">
      <c r="A605" s="41" t="n"/>
      <c r="B605" s="41" t="n"/>
      <c r="C605" s="41" t="n"/>
      <c r="D605" s="41" t="n"/>
      <c r="E605" s="41" t="n"/>
      <c r="F605" s="41" t="n"/>
      <c r="G605" s="41" t="n"/>
    </row>
    <row r="606" ht="15.75" customHeight="1" s="60">
      <c r="A606" s="41" t="n"/>
      <c r="B606" s="41" t="n"/>
      <c r="C606" s="41" t="n"/>
      <c r="D606" s="41" t="n"/>
      <c r="E606" s="41" t="n"/>
      <c r="F606" s="41" t="n"/>
      <c r="G606" s="41" t="n"/>
    </row>
    <row r="607" ht="15.75" customHeight="1" s="60">
      <c r="A607" s="41" t="n"/>
      <c r="B607" s="41" t="n"/>
      <c r="C607" s="41" t="n"/>
      <c r="D607" s="41" t="n"/>
      <c r="E607" s="41" t="n"/>
      <c r="F607" s="41" t="n"/>
      <c r="G607" s="41" t="n"/>
    </row>
    <row r="608" ht="15.75" customHeight="1" s="60">
      <c r="A608" s="41" t="n"/>
      <c r="B608" s="41" t="n"/>
      <c r="C608" s="41" t="n"/>
      <c r="D608" s="41" t="n"/>
      <c r="E608" s="41" t="n"/>
      <c r="F608" s="41" t="n"/>
      <c r="G608" s="41" t="n"/>
    </row>
    <row r="609" ht="15.75" customHeight="1" s="60">
      <c r="A609" s="41" t="n"/>
      <c r="B609" s="41" t="n"/>
      <c r="C609" s="41" t="n"/>
      <c r="D609" s="41" t="n"/>
      <c r="E609" s="41" t="n"/>
      <c r="F609" s="41" t="n"/>
      <c r="G609" s="41" t="n"/>
    </row>
    <row r="610" ht="15.75" customHeight="1" s="60">
      <c r="A610" s="41" t="n"/>
      <c r="B610" s="41" t="n"/>
      <c r="C610" s="41" t="n"/>
      <c r="D610" s="41" t="n"/>
      <c r="E610" s="41" t="n"/>
      <c r="F610" s="41" t="n"/>
      <c r="G610" s="41" t="n"/>
    </row>
    <row r="611" ht="15.75" customHeight="1" s="60">
      <c r="A611" s="41" t="n"/>
      <c r="B611" s="41" t="n"/>
      <c r="C611" s="41" t="n"/>
      <c r="D611" s="41" t="n"/>
      <c r="E611" s="41" t="n"/>
      <c r="F611" s="41" t="n"/>
      <c r="G611" s="41" t="n"/>
    </row>
    <row r="612" ht="15.75" customHeight="1" s="60">
      <c r="A612" s="41" t="n"/>
      <c r="B612" s="41" t="n"/>
      <c r="C612" s="41" t="n"/>
      <c r="D612" s="41" t="n"/>
      <c r="E612" s="41" t="n"/>
      <c r="F612" s="41" t="n"/>
      <c r="G612" s="41" t="n"/>
    </row>
    <row r="613" ht="15.75" customHeight="1" s="60">
      <c r="A613" s="41" t="n"/>
      <c r="B613" s="41" t="n"/>
      <c r="C613" s="41" t="n"/>
      <c r="D613" s="41" t="n"/>
      <c r="E613" s="41" t="n"/>
      <c r="F613" s="41" t="n"/>
      <c r="G613" s="41" t="n"/>
    </row>
    <row r="614" ht="15.75" customHeight="1" s="60">
      <c r="A614" s="41" t="n"/>
      <c r="B614" s="41" t="n"/>
      <c r="C614" s="41" t="n"/>
      <c r="D614" s="41" t="n"/>
      <c r="E614" s="41" t="n"/>
      <c r="F614" s="41" t="n"/>
      <c r="G614" s="41" t="n"/>
    </row>
    <row r="615" ht="15.75" customHeight="1" s="60">
      <c r="A615" s="41" t="n"/>
      <c r="B615" s="41" t="n"/>
      <c r="C615" s="41" t="n"/>
      <c r="D615" s="41" t="n"/>
      <c r="E615" s="41" t="n"/>
      <c r="F615" s="41" t="n"/>
      <c r="G615" s="41" t="n"/>
    </row>
    <row r="616" ht="15.75" customHeight="1" s="60">
      <c r="A616" s="41" t="n"/>
      <c r="B616" s="41" t="n"/>
      <c r="C616" s="41" t="n"/>
      <c r="D616" s="41" t="n"/>
      <c r="E616" s="41" t="n"/>
      <c r="F616" s="41" t="n"/>
      <c r="G616" s="41" t="n"/>
    </row>
    <row r="617" ht="15.75" customHeight="1" s="60">
      <c r="A617" s="41" t="n"/>
      <c r="B617" s="41" t="n"/>
      <c r="C617" s="41" t="n"/>
      <c r="D617" s="41" t="n"/>
      <c r="E617" s="41" t="n"/>
      <c r="F617" s="41" t="n"/>
      <c r="G617" s="41" t="n"/>
    </row>
    <row r="618" ht="15.75" customHeight="1" s="60">
      <c r="A618" s="41" t="n"/>
      <c r="B618" s="41" t="n"/>
      <c r="C618" s="41" t="n"/>
      <c r="D618" s="41" t="n"/>
      <c r="E618" s="41" t="n"/>
      <c r="F618" s="41" t="n"/>
      <c r="G618" s="41" t="n"/>
    </row>
    <row r="619" ht="15.75" customHeight="1" s="60">
      <c r="A619" s="41" t="n"/>
      <c r="B619" s="41" t="n"/>
      <c r="C619" s="41" t="n"/>
      <c r="D619" s="41" t="n"/>
      <c r="E619" s="41" t="n"/>
      <c r="F619" s="41" t="n"/>
      <c r="G619" s="41" t="n"/>
    </row>
    <row r="620" ht="15.75" customHeight="1" s="60">
      <c r="A620" s="41" t="n"/>
      <c r="B620" s="41" t="n"/>
      <c r="C620" s="41" t="n"/>
      <c r="D620" s="41" t="n"/>
      <c r="E620" s="41" t="n"/>
      <c r="F620" s="41" t="n"/>
      <c r="G620" s="41" t="n"/>
    </row>
    <row r="621" ht="15.75" customHeight="1" s="60">
      <c r="A621" s="41" t="n"/>
      <c r="B621" s="41" t="n"/>
      <c r="C621" s="41" t="n"/>
      <c r="D621" s="41" t="n"/>
      <c r="E621" s="41" t="n"/>
      <c r="F621" s="41" t="n"/>
      <c r="G621" s="41" t="n"/>
    </row>
    <row r="622" ht="15.75" customHeight="1" s="60">
      <c r="A622" s="41" t="n"/>
      <c r="B622" s="41" t="n"/>
      <c r="C622" s="41" t="n"/>
      <c r="D622" s="41" t="n"/>
      <c r="E622" s="41" t="n"/>
      <c r="F622" s="41" t="n"/>
      <c r="G622" s="41" t="n"/>
    </row>
    <row r="623" ht="15.75" customHeight="1" s="60">
      <c r="A623" s="41" t="n"/>
      <c r="B623" s="41" t="n"/>
      <c r="C623" s="41" t="n"/>
      <c r="D623" s="41" t="n"/>
      <c r="E623" s="41" t="n"/>
      <c r="F623" s="41" t="n"/>
      <c r="G623" s="41" t="n"/>
    </row>
    <row r="624" ht="15.75" customHeight="1" s="60">
      <c r="A624" s="41" t="n"/>
      <c r="B624" s="41" t="n"/>
      <c r="C624" s="41" t="n"/>
      <c r="D624" s="41" t="n"/>
      <c r="E624" s="41" t="n"/>
      <c r="F624" s="41" t="n"/>
      <c r="G624" s="41" t="n"/>
    </row>
    <row r="625" ht="15.75" customHeight="1" s="60">
      <c r="A625" s="41" t="n"/>
      <c r="B625" s="41" t="n"/>
      <c r="C625" s="41" t="n"/>
      <c r="D625" s="41" t="n"/>
      <c r="E625" s="41" t="n"/>
      <c r="F625" s="41" t="n"/>
      <c r="G625" s="41" t="n"/>
    </row>
    <row r="626" ht="15.75" customHeight="1" s="60">
      <c r="A626" s="41" t="n"/>
      <c r="B626" s="41" t="n"/>
      <c r="C626" s="41" t="n"/>
      <c r="D626" s="41" t="n"/>
      <c r="E626" s="41" t="n"/>
      <c r="F626" s="41" t="n"/>
      <c r="G626" s="41" t="n"/>
    </row>
    <row r="627" ht="15.75" customHeight="1" s="60">
      <c r="A627" s="41" t="n"/>
      <c r="B627" s="41" t="n"/>
      <c r="C627" s="41" t="n"/>
      <c r="D627" s="41" t="n"/>
      <c r="E627" s="41" t="n"/>
      <c r="F627" s="41" t="n"/>
      <c r="G627" s="41" t="n"/>
    </row>
    <row r="628" ht="15.75" customHeight="1" s="60">
      <c r="A628" s="41" t="n"/>
      <c r="B628" s="41" t="n"/>
      <c r="C628" s="41" t="n"/>
      <c r="D628" s="41" t="n"/>
      <c r="E628" s="41" t="n"/>
      <c r="F628" s="41" t="n"/>
      <c r="G628" s="41" t="n"/>
    </row>
    <row r="629" ht="15.75" customHeight="1" s="60">
      <c r="A629" s="41" t="n"/>
      <c r="B629" s="41" t="n"/>
      <c r="C629" s="41" t="n"/>
      <c r="D629" s="41" t="n"/>
      <c r="E629" s="41" t="n"/>
      <c r="F629" s="41" t="n"/>
      <c r="G629" s="41" t="n"/>
    </row>
    <row r="630" ht="15.75" customHeight="1" s="60">
      <c r="A630" s="41" t="n"/>
      <c r="B630" s="41" t="n"/>
      <c r="C630" s="41" t="n"/>
      <c r="D630" s="41" t="n"/>
      <c r="E630" s="41" t="n"/>
      <c r="F630" s="41" t="n"/>
      <c r="G630" s="41" t="n"/>
    </row>
    <row r="631" ht="15.75" customHeight="1" s="60">
      <c r="A631" s="41" t="n"/>
      <c r="B631" s="41" t="n"/>
      <c r="C631" s="41" t="n"/>
      <c r="D631" s="41" t="n"/>
      <c r="E631" s="41" t="n"/>
      <c r="F631" s="41" t="n"/>
      <c r="G631" s="41" t="n"/>
    </row>
    <row r="632" ht="15.75" customHeight="1" s="60">
      <c r="A632" s="41" t="n"/>
      <c r="B632" s="41" t="n"/>
      <c r="C632" s="41" t="n"/>
      <c r="D632" s="41" t="n"/>
      <c r="E632" s="41" t="n"/>
      <c r="F632" s="41" t="n"/>
      <c r="G632" s="41" t="n"/>
    </row>
    <row r="633" ht="15.75" customHeight="1" s="60">
      <c r="A633" s="41" t="n"/>
      <c r="B633" s="41" t="n"/>
      <c r="C633" s="41" t="n"/>
      <c r="D633" s="41" t="n"/>
      <c r="E633" s="41" t="n"/>
      <c r="F633" s="41" t="n"/>
      <c r="G633" s="41" t="n"/>
    </row>
    <row r="634" ht="15.75" customHeight="1" s="60">
      <c r="A634" s="41" t="n"/>
      <c r="B634" s="41" t="n"/>
      <c r="C634" s="41" t="n"/>
      <c r="D634" s="41" t="n"/>
      <c r="E634" s="41" t="n"/>
      <c r="F634" s="41" t="n"/>
      <c r="G634" s="41" t="n"/>
    </row>
    <row r="635" ht="15.75" customHeight="1" s="60">
      <c r="A635" s="41" t="n"/>
      <c r="B635" s="41" t="n"/>
      <c r="C635" s="41" t="n"/>
      <c r="D635" s="41" t="n"/>
      <c r="E635" s="41" t="n"/>
      <c r="F635" s="41" t="n"/>
      <c r="G635" s="41" t="n"/>
    </row>
    <row r="636" ht="15.75" customHeight="1" s="60">
      <c r="A636" s="41" t="n"/>
      <c r="B636" s="41" t="n"/>
      <c r="C636" s="41" t="n"/>
      <c r="D636" s="41" t="n"/>
      <c r="E636" s="41" t="n"/>
      <c r="F636" s="41" t="n"/>
      <c r="G636" s="41" t="n"/>
    </row>
    <row r="637" ht="15.75" customHeight="1" s="60">
      <c r="A637" s="41" t="n"/>
      <c r="B637" s="41" t="n"/>
      <c r="C637" s="41" t="n"/>
      <c r="D637" s="41" t="n"/>
      <c r="E637" s="41" t="n"/>
      <c r="F637" s="41" t="n"/>
      <c r="G637" s="41" t="n"/>
    </row>
    <row r="638" ht="15.75" customHeight="1" s="60">
      <c r="A638" s="41" t="n"/>
      <c r="B638" s="41" t="n"/>
      <c r="C638" s="41" t="n"/>
      <c r="D638" s="41" t="n"/>
      <c r="E638" s="41" t="n"/>
      <c r="F638" s="41" t="n"/>
      <c r="G638" s="41" t="n"/>
    </row>
    <row r="639" ht="15.75" customHeight="1" s="60">
      <c r="A639" s="41" t="n"/>
      <c r="B639" s="41" t="n"/>
      <c r="C639" s="41" t="n"/>
      <c r="D639" s="41" t="n"/>
      <c r="E639" s="41" t="n"/>
      <c r="F639" s="41" t="n"/>
      <c r="G639" s="41" t="n"/>
    </row>
    <row r="640" ht="15.75" customHeight="1" s="60">
      <c r="A640" s="41" t="n"/>
      <c r="B640" s="41" t="n"/>
      <c r="C640" s="41" t="n"/>
      <c r="D640" s="41" t="n"/>
      <c r="E640" s="41" t="n"/>
      <c r="F640" s="41" t="n"/>
      <c r="G640" s="41" t="n"/>
    </row>
    <row r="641" ht="15.75" customHeight="1" s="60">
      <c r="A641" s="41" t="n"/>
      <c r="B641" s="41" t="n"/>
      <c r="C641" s="41" t="n"/>
      <c r="D641" s="41" t="n"/>
      <c r="E641" s="41" t="n"/>
      <c r="F641" s="41" t="n"/>
      <c r="G641" s="41" t="n"/>
    </row>
    <row r="642" ht="15.75" customHeight="1" s="60">
      <c r="A642" s="41" t="n"/>
      <c r="B642" s="41" t="n"/>
      <c r="C642" s="41" t="n"/>
      <c r="D642" s="41" t="n"/>
      <c r="E642" s="41" t="n"/>
      <c r="F642" s="41" t="n"/>
      <c r="G642" s="41" t="n"/>
    </row>
    <row r="643" ht="15.75" customHeight="1" s="60">
      <c r="A643" s="41" t="n"/>
      <c r="B643" s="41" t="n"/>
      <c r="C643" s="41" t="n"/>
      <c r="D643" s="41" t="n"/>
      <c r="E643" s="41" t="n"/>
      <c r="F643" s="41" t="n"/>
      <c r="G643" s="41" t="n"/>
    </row>
    <row r="644" ht="15.75" customHeight="1" s="60">
      <c r="A644" s="41" t="n"/>
      <c r="B644" s="41" t="n"/>
      <c r="C644" s="41" t="n"/>
      <c r="D644" s="41" t="n"/>
      <c r="E644" s="41" t="n"/>
      <c r="F644" s="41" t="n"/>
      <c r="G644" s="41" t="n"/>
    </row>
    <row r="645" ht="15.75" customHeight="1" s="60">
      <c r="A645" s="41" t="n"/>
      <c r="B645" s="41" t="n"/>
      <c r="C645" s="41" t="n"/>
      <c r="D645" s="41" t="n"/>
      <c r="E645" s="41" t="n"/>
      <c r="F645" s="41" t="n"/>
      <c r="G645" s="41" t="n"/>
    </row>
    <row r="646" ht="15.75" customHeight="1" s="60">
      <c r="A646" s="41" t="n"/>
      <c r="B646" s="41" t="n"/>
      <c r="C646" s="41" t="n"/>
      <c r="D646" s="41" t="n"/>
      <c r="E646" s="41" t="n"/>
      <c r="F646" s="41" t="n"/>
      <c r="G646" s="41" t="n"/>
    </row>
    <row r="647" ht="15.75" customHeight="1" s="60">
      <c r="A647" s="41" t="n"/>
      <c r="B647" s="41" t="n"/>
      <c r="C647" s="41" t="n"/>
      <c r="D647" s="41" t="n"/>
      <c r="E647" s="41" t="n"/>
      <c r="F647" s="41" t="n"/>
      <c r="G647" s="41" t="n"/>
    </row>
    <row r="648" ht="15.75" customHeight="1" s="60">
      <c r="A648" s="41" t="n"/>
      <c r="B648" s="41" t="n"/>
      <c r="C648" s="41" t="n"/>
      <c r="D648" s="41" t="n"/>
      <c r="E648" s="41" t="n"/>
      <c r="F648" s="41" t="n"/>
      <c r="G648" s="41" t="n"/>
    </row>
    <row r="649" ht="15.75" customHeight="1" s="60">
      <c r="A649" s="41" t="n"/>
      <c r="B649" s="41" t="n"/>
      <c r="C649" s="41" t="n"/>
      <c r="D649" s="41" t="n"/>
      <c r="E649" s="41" t="n"/>
      <c r="F649" s="41" t="n"/>
      <c r="G649" s="41" t="n"/>
    </row>
    <row r="650" ht="15.75" customHeight="1" s="60">
      <c r="A650" s="41" t="n"/>
      <c r="B650" s="41" t="n"/>
      <c r="C650" s="41" t="n"/>
      <c r="D650" s="41" t="n"/>
      <c r="E650" s="41" t="n"/>
      <c r="F650" s="41" t="n"/>
      <c r="G650" s="41" t="n"/>
    </row>
    <row r="651" ht="15.75" customHeight="1" s="60">
      <c r="A651" s="41" t="n"/>
      <c r="B651" s="41" t="n"/>
      <c r="C651" s="41" t="n"/>
      <c r="D651" s="41" t="n"/>
      <c r="E651" s="41" t="n"/>
      <c r="F651" s="41" t="n"/>
      <c r="G651" s="41" t="n"/>
    </row>
    <row r="652" ht="15.75" customHeight="1" s="60">
      <c r="A652" s="41" t="n"/>
      <c r="B652" s="41" t="n"/>
      <c r="C652" s="41" t="n"/>
      <c r="D652" s="41" t="n"/>
      <c r="E652" s="41" t="n"/>
      <c r="F652" s="41" t="n"/>
      <c r="G652" s="41" t="n"/>
    </row>
    <row r="653" ht="15.75" customHeight="1" s="60">
      <c r="A653" s="41" t="n"/>
      <c r="B653" s="41" t="n"/>
      <c r="C653" s="41" t="n"/>
      <c r="D653" s="41" t="n"/>
      <c r="E653" s="41" t="n"/>
      <c r="F653" s="41" t="n"/>
      <c r="G653" s="41" t="n"/>
    </row>
    <row r="654" ht="15.75" customHeight="1" s="60">
      <c r="A654" s="41" t="n"/>
      <c r="B654" s="41" t="n"/>
      <c r="C654" s="41" t="n"/>
      <c r="D654" s="41" t="n"/>
      <c r="E654" s="41" t="n"/>
      <c r="F654" s="41" t="n"/>
      <c r="G654" s="41" t="n"/>
    </row>
    <row r="655" ht="15.75" customHeight="1" s="60">
      <c r="A655" s="41" t="n"/>
      <c r="B655" s="41" t="n"/>
      <c r="C655" s="41" t="n"/>
      <c r="D655" s="41" t="n"/>
      <c r="E655" s="41" t="n"/>
      <c r="F655" s="41" t="n"/>
      <c r="G655" s="41" t="n"/>
    </row>
    <row r="656" ht="15.75" customHeight="1" s="60">
      <c r="A656" s="41" t="n"/>
      <c r="B656" s="41" t="n"/>
      <c r="C656" s="41" t="n"/>
      <c r="D656" s="41" t="n"/>
      <c r="E656" s="41" t="n"/>
      <c r="F656" s="41" t="n"/>
      <c r="G656" s="41" t="n"/>
    </row>
    <row r="657" ht="15.75" customHeight="1" s="60">
      <c r="A657" s="41" t="n"/>
      <c r="B657" s="41" t="n"/>
      <c r="C657" s="41" t="n"/>
      <c r="D657" s="41" t="n"/>
      <c r="E657" s="41" t="n"/>
      <c r="F657" s="41" t="n"/>
      <c r="G657" s="41" t="n"/>
    </row>
    <row r="658" ht="15.75" customHeight="1" s="60">
      <c r="A658" s="41" t="n"/>
      <c r="B658" s="41" t="n"/>
      <c r="C658" s="41" t="n"/>
      <c r="D658" s="41" t="n"/>
      <c r="E658" s="41" t="n"/>
      <c r="F658" s="41" t="n"/>
      <c r="G658" s="41" t="n"/>
    </row>
    <row r="659" ht="15.75" customHeight="1" s="60">
      <c r="A659" s="41" t="n"/>
      <c r="B659" s="41" t="n"/>
      <c r="C659" s="41" t="n"/>
      <c r="D659" s="41" t="n"/>
      <c r="E659" s="41" t="n"/>
      <c r="F659" s="41" t="n"/>
      <c r="G659" s="41" t="n"/>
    </row>
    <row r="660" ht="15.75" customHeight="1" s="60">
      <c r="A660" s="41" t="n"/>
      <c r="B660" s="41" t="n"/>
      <c r="C660" s="41" t="n"/>
      <c r="D660" s="41" t="n"/>
      <c r="E660" s="41" t="n"/>
      <c r="F660" s="41" t="n"/>
      <c r="G660" s="41" t="n"/>
    </row>
    <row r="661" ht="15.75" customHeight="1" s="60">
      <c r="A661" s="41" t="n"/>
      <c r="B661" s="41" t="n"/>
      <c r="C661" s="41" t="n"/>
      <c r="D661" s="41" t="n"/>
      <c r="E661" s="41" t="n"/>
      <c r="F661" s="41" t="n"/>
      <c r="G661" s="41" t="n"/>
    </row>
    <row r="662" ht="15.75" customHeight="1" s="60">
      <c r="A662" s="41" t="n"/>
      <c r="B662" s="41" t="n"/>
      <c r="C662" s="41" t="n"/>
      <c r="D662" s="41" t="n"/>
      <c r="E662" s="41" t="n"/>
      <c r="F662" s="41" t="n"/>
      <c r="G662" s="41" t="n"/>
    </row>
    <row r="663" ht="15.75" customHeight="1" s="60">
      <c r="A663" s="41" t="n"/>
      <c r="B663" s="41" t="n"/>
      <c r="C663" s="41" t="n"/>
      <c r="D663" s="41" t="n"/>
      <c r="E663" s="41" t="n"/>
      <c r="F663" s="41" t="n"/>
      <c r="G663" s="41" t="n"/>
    </row>
    <row r="664" ht="15.75" customHeight="1" s="60">
      <c r="A664" s="41" t="n"/>
      <c r="B664" s="41" t="n"/>
      <c r="C664" s="41" t="n"/>
      <c r="D664" s="41" t="n"/>
      <c r="E664" s="41" t="n"/>
      <c r="F664" s="41" t="n"/>
      <c r="G664" s="41" t="n"/>
    </row>
    <row r="665" ht="15.75" customHeight="1" s="60">
      <c r="A665" s="41" t="n"/>
      <c r="B665" s="41" t="n"/>
      <c r="C665" s="41" t="n"/>
      <c r="D665" s="41" t="n"/>
      <c r="E665" s="41" t="n"/>
      <c r="F665" s="41" t="n"/>
      <c r="G665" s="41" t="n"/>
    </row>
    <row r="666" ht="15.75" customHeight="1" s="60">
      <c r="A666" s="41" t="n"/>
      <c r="B666" s="41" t="n"/>
      <c r="C666" s="41" t="n"/>
      <c r="D666" s="41" t="n"/>
      <c r="E666" s="41" t="n"/>
      <c r="F666" s="41" t="n"/>
      <c r="G666" s="41" t="n"/>
    </row>
    <row r="667" ht="15.75" customHeight="1" s="60">
      <c r="A667" s="41" t="n"/>
      <c r="B667" s="41" t="n"/>
      <c r="C667" s="41" t="n"/>
      <c r="D667" s="41" t="n"/>
      <c r="E667" s="41" t="n"/>
      <c r="F667" s="41" t="n"/>
      <c r="G667" s="41" t="n"/>
    </row>
    <row r="668" ht="15.75" customHeight="1" s="60">
      <c r="A668" s="41" t="n"/>
      <c r="B668" s="41" t="n"/>
      <c r="C668" s="41" t="n"/>
      <c r="D668" s="41" t="n"/>
      <c r="E668" s="41" t="n"/>
      <c r="F668" s="41" t="n"/>
      <c r="G668" s="41" t="n"/>
    </row>
    <row r="669" ht="15.75" customHeight="1" s="60">
      <c r="A669" s="41" t="n"/>
      <c r="B669" s="41" t="n"/>
      <c r="C669" s="41" t="n"/>
      <c r="D669" s="41" t="n"/>
      <c r="E669" s="41" t="n"/>
      <c r="F669" s="41" t="n"/>
      <c r="G669" s="41" t="n"/>
    </row>
    <row r="670" ht="15.75" customHeight="1" s="60">
      <c r="A670" s="41" t="n"/>
      <c r="B670" s="41" t="n"/>
      <c r="C670" s="41" t="n"/>
      <c r="D670" s="41" t="n"/>
      <c r="E670" s="41" t="n"/>
      <c r="F670" s="41" t="n"/>
      <c r="G670" s="41" t="n"/>
    </row>
    <row r="671" ht="15.75" customHeight="1" s="60">
      <c r="A671" s="41" t="n"/>
      <c r="B671" s="41" t="n"/>
      <c r="C671" s="41" t="n"/>
      <c r="D671" s="41" t="n"/>
      <c r="E671" s="41" t="n"/>
      <c r="F671" s="41" t="n"/>
      <c r="G671" s="41" t="n"/>
    </row>
    <row r="672" ht="15.75" customHeight="1" s="60">
      <c r="A672" s="41" t="n"/>
      <c r="B672" s="41" t="n"/>
      <c r="C672" s="41" t="n"/>
      <c r="D672" s="41" t="n"/>
      <c r="E672" s="41" t="n"/>
      <c r="F672" s="41" t="n"/>
      <c r="G672" s="41" t="n"/>
    </row>
    <row r="673" ht="15.75" customHeight="1" s="60">
      <c r="A673" s="41" t="n"/>
      <c r="B673" s="41" t="n"/>
      <c r="C673" s="41" t="n"/>
      <c r="D673" s="41" t="n"/>
      <c r="E673" s="41" t="n"/>
      <c r="F673" s="41" t="n"/>
      <c r="G673" s="41" t="n"/>
    </row>
    <row r="674" ht="15.75" customHeight="1" s="60">
      <c r="A674" s="41" t="n"/>
      <c r="B674" s="41" t="n"/>
      <c r="C674" s="41" t="n"/>
      <c r="D674" s="41" t="n"/>
      <c r="E674" s="41" t="n"/>
      <c r="F674" s="41" t="n"/>
      <c r="G674" s="41" t="n"/>
    </row>
    <row r="675" ht="15.75" customHeight="1" s="60">
      <c r="A675" s="41" t="n"/>
      <c r="B675" s="41" t="n"/>
      <c r="C675" s="41" t="n"/>
      <c r="D675" s="41" t="n"/>
      <c r="E675" s="41" t="n"/>
      <c r="F675" s="41" t="n"/>
      <c r="G675" s="41" t="n"/>
    </row>
    <row r="676" ht="15.75" customHeight="1" s="60">
      <c r="A676" s="41" t="n"/>
      <c r="B676" s="41" t="n"/>
      <c r="C676" s="41" t="n"/>
      <c r="D676" s="41" t="n"/>
      <c r="E676" s="41" t="n"/>
      <c r="F676" s="41" t="n"/>
      <c r="G676" s="41" t="n"/>
    </row>
    <row r="677" ht="15.75" customHeight="1" s="60">
      <c r="A677" s="41" t="n"/>
      <c r="B677" s="41" t="n"/>
      <c r="C677" s="41" t="n"/>
      <c r="D677" s="41" t="n"/>
      <c r="E677" s="41" t="n"/>
      <c r="F677" s="41" t="n"/>
      <c r="G677" s="41" t="n"/>
    </row>
    <row r="678" ht="15.75" customHeight="1" s="60">
      <c r="A678" s="41" t="n"/>
      <c r="B678" s="41" t="n"/>
      <c r="C678" s="41" t="n"/>
      <c r="D678" s="41" t="n"/>
      <c r="E678" s="41" t="n"/>
      <c r="F678" s="41" t="n"/>
      <c r="G678" s="41" t="n"/>
    </row>
    <row r="679" ht="15.75" customHeight="1" s="60">
      <c r="A679" s="41" t="n"/>
      <c r="B679" s="41" t="n"/>
      <c r="C679" s="41" t="n"/>
      <c r="D679" s="41" t="n"/>
      <c r="E679" s="41" t="n"/>
      <c r="F679" s="41" t="n"/>
      <c r="G679" s="41" t="n"/>
    </row>
    <row r="680" ht="15.75" customHeight="1" s="60">
      <c r="A680" s="41" t="n"/>
      <c r="B680" s="41" t="n"/>
      <c r="C680" s="41" t="n"/>
      <c r="D680" s="41" t="n"/>
      <c r="E680" s="41" t="n"/>
      <c r="F680" s="41" t="n"/>
      <c r="G680" s="41" t="n"/>
    </row>
    <row r="681" ht="15.75" customHeight="1" s="60">
      <c r="A681" s="41" t="n"/>
      <c r="B681" s="41" t="n"/>
      <c r="C681" s="41" t="n"/>
      <c r="D681" s="41" t="n"/>
      <c r="E681" s="41" t="n"/>
      <c r="F681" s="41" t="n"/>
      <c r="G681" s="41" t="n"/>
    </row>
    <row r="682" ht="15.75" customHeight="1" s="60">
      <c r="A682" s="41" t="n"/>
      <c r="B682" s="41" t="n"/>
      <c r="C682" s="41" t="n"/>
      <c r="D682" s="41" t="n"/>
      <c r="E682" s="41" t="n"/>
      <c r="F682" s="41" t="n"/>
      <c r="G682" s="41" t="n"/>
    </row>
    <row r="683" ht="15.75" customHeight="1" s="60">
      <c r="A683" s="41" t="n"/>
      <c r="B683" s="41" t="n"/>
      <c r="C683" s="41" t="n"/>
      <c r="D683" s="41" t="n"/>
      <c r="E683" s="41" t="n"/>
      <c r="F683" s="41" t="n"/>
      <c r="G683" s="41" t="n"/>
    </row>
    <row r="684" ht="15.75" customHeight="1" s="60">
      <c r="A684" s="41" t="n"/>
      <c r="B684" s="41" t="n"/>
      <c r="C684" s="41" t="n"/>
      <c r="D684" s="41" t="n"/>
      <c r="E684" s="41" t="n"/>
      <c r="F684" s="41" t="n"/>
      <c r="G684" s="41" t="n"/>
    </row>
    <row r="685" ht="15.75" customHeight="1" s="60">
      <c r="A685" s="41" t="n"/>
      <c r="B685" s="41" t="n"/>
      <c r="C685" s="41" t="n"/>
      <c r="D685" s="41" t="n"/>
      <c r="E685" s="41" t="n"/>
      <c r="F685" s="41" t="n"/>
      <c r="G685" s="41" t="n"/>
    </row>
    <row r="686" ht="15.75" customHeight="1" s="60">
      <c r="A686" s="41" t="n"/>
      <c r="B686" s="41" t="n"/>
      <c r="C686" s="41" t="n"/>
      <c r="D686" s="41" t="n"/>
      <c r="E686" s="41" t="n"/>
      <c r="F686" s="41" t="n"/>
      <c r="G686" s="41" t="n"/>
    </row>
    <row r="687" ht="15.75" customHeight="1" s="60">
      <c r="A687" s="41" t="n"/>
      <c r="B687" s="41" t="n"/>
      <c r="C687" s="41" t="n"/>
      <c r="D687" s="41" t="n"/>
      <c r="E687" s="41" t="n"/>
      <c r="F687" s="41" t="n"/>
      <c r="G687" s="41" t="n"/>
    </row>
    <row r="688" ht="15.75" customHeight="1" s="60">
      <c r="A688" s="41" t="n"/>
      <c r="B688" s="41" t="n"/>
      <c r="C688" s="41" t="n"/>
      <c r="D688" s="41" t="n"/>
      <c r="E688" s="41" t="n"/>
      <c r="F688" s="41" t="n"/>
      <c r="G688" s="41" t="n"/>
    </row>
    <row r="689" ht="15.75" customHeight="1" s="60">
      <c r="A689" s="41" t="n"/>
      <c r="B689" s="41" t="n"/>
      <c r="C689" s="41" t="n"/>
      <c r="D689" s="41" t="n"/>
      <c r="E689" s="41" t="n"/>
      <c r="F689" s="41" t="n"/>
      <c r="G689" s="41" t="n"/>
    </row>
    <row r="690" ht="15.75" customHeight="1" s="60">
      <c r="A690" s="41" t="n"/>
      <c r="B690" s="41" t="n"/>
      <c r="C690" s="41" t="n"/>
      <c r="D690" s="41" t="n"/>
      <c r="E690" s="41" t="n"/>
      <c r="F690" s="41" t="n"/>
      <c r="G690" s="41" t="n"/>
    </row>
    <row r="691" ht="15.75" customHeight="1" s="60">
      <c r="A691" s="41" t="n"/>
      <c r="B691" s="41" t="n"/>
      <c r="C691" s="41" t="n"/>
      <c r="D691" s="41" t="n"/>
      <c r="E691" s="41" t="n"/>
      <c r="F691" s="41" t="n"/>
      <c r="G691" s="41" t="n"/>
    </row>
    <row r="692" ht="15.75" customHeight="1" s="60">
      <c r="A692" s="41" t="n"/>
      <c r="B692" s="41" t="n"/>
      <c r="C692" s="41" t="n"/>
      <c r="D692" s="41" t="n"/>
      <c r="E692" s="41" t="n"/>
      <c r="F692" s="41" t="n"/>
      <c r="G692" s="41" t="n"/>
    </row>
    <row r="693" ht="15.75" customHeight="1" s="60">
      <c r="A693" s="41" t="n"/>
      <c r="B693" s="41" t="n"/>
      <c r="C693" s="41" t="n"/>
      <c r="D693" s="41" t="n"/>
      <c r="E693" s="41" t="n"/>
      <c r="F693" s="41" t="n"/>
      <c r="G693" s="41" t="n"/>
    </row>
    <row r="694" ht="15.75" customHeight="1" s="60">
      <c r="A694" s="41" t="n"/>
      <c r="B694" s="41" t="n"/>
      <c r="C694" s="41" t="n"/>
      <c r="D694" s="41" t="n"/>
      <c r="E694" s="41" t="n"/>
      <c r="F694" s="41" t="n"/>
      <c r="G694" s="41" t="n"/>
    </row>
    <row r="695" ht="15.75" customHeight="1" s="60">
      <c r="A695" s="41" t="n"/>
      <c r="B695" s="41" t="n"/>
      <c r="C695" s="41" t="n"/>
      <c r="D695" s="41" t="n"/>
      <c r="E695" s="41" t="n"/>
      <c r="F695" s="41" t="n"/>
      <c r="G695" s="41" t="n"/>
    </row>
    <row r="696" ht="15.75" customHeight="1" s="60">
      <c r="A696" s="41" t="n"/>
      <c r="B696" s="41" t="n"/>
      <c r="C696" s="41" t="n"/>
      <c r="D696" s="41" t="n"/>
      <c r="E696" s="41" t="n"/>
      <c r="F696" s="41" t="n"/>
      <c r="G696" s="41" t="n"/>
    </row>
    <row r="697" ht="15.75" customHeight="1" s="60">
      <c r="A697" s="41" t="n"/>
      <c r="B697" s="41" t="n"/>
      <c r="C697" s="41" t="n"/>
      <c r="D697" s="41" t="n"/>
      <c r="E697" s="41" t="n"/>
      <c r="F697" s="41" t="n"/>
      <c r="G697" s="41" t="n"/>
    </row>
    <row r="698" ht="15.75" customHeight="1" s="60">
      <c r="A698" s="41" t="n"/>
      <c r="B698" s="41" t="n"/>
      <c r="C698" s="41" t="n"/>
      <c r="D698" s="41" t="n"/>
      <c r="E698" s="41" t="n"/>
      <c r="F698" s="41" t="n"/>
      <c r="G698" s="41" t="n"/>
    </row>
    <row r="699" ht="15.75" customHeight="1" s="60">
      <c r="A699" s="41" t="n"/>
      <c r="B699" s="41" t="n"/>
      <c r="C699" s="41" t="n"/>
      <c r="D699" s="41" t="n"/>
      <c r="E699" s="41" t="n"/>
      <c r="F699" s="41" t="n"/>
      <c r="G699" s="41" t="n"/>
    </row>
    <row r="700" ht="15.75" customHeight="1" s="60">
      <c r="A700" s="41" t="n"/>
      <c r="B700" s="41" t="n"/>
      <c r="C700" s="41" t="n"/>
      <c r="D700" s="41" t="n"/>
      <c r="E700" s="41" t="n"/>
      <c r="F700" s="41" t="n"/>
      <c r="G700" s="41" t="n"/>
    </row>
    <row r="701" ht="15.75" customHeight="1" s="60">
      <c r="A701" s="41" t="n"/>
      <c r="B701" s="41" t="n"/>
      <c r="C701" s="41" t="n"/>
      <c r="D701" s="41" t="n"/>
      <c r="E701" s="41" t="n"/>
      <c r="F701" s="41" t="n"/>
      <c r="G701" s="41" t="n"/>
    </row>
    <row r="702" ht="15.75" customHeight="1" s="60">
      <c r="A702" s="41" t="n"/>
      <c r="B702" s="41" t="n"/>
      <c r="C702" s="41" t="n"/>
      <c r="D702" s="41" t="n"/>
      <c r="E702" s="41" t="n"/>
      <c r="F702" s="41" t="n"/>
      <c r="G702" s="41" t="n"/>
    </row>
    <row r="703" ht="15.75" customHeight="1" s="60">
      <c r="A703" s="41" t="n"/>
      <c r="B703" s="41" t="n"/>
      <c r="C703" s="41" t="n"/>
      <c r="D703" s="41" t="n"/>
      <c r="E703" s="41" t="n"/>
      <c r="F703" s="41" t="n"/>
      <c r="G703" s="41" t="n"/>
    </row>
    <row r="704" ht="15.75" customHeight="1" s="60">
      <c r="A704" s="41" t="n"/>
      <c r="B704" s="41" t="n"/>
      <c r="C704" s="41" t="n"/>
      <c r="D704" s="41" t="n"/>
      <c r="E704" s="41" t="n"/>
      <c r="F704" s="41" t="n"/>
      <c r="G704" s="41" t="n"/>
    </row>
    <row r="705" ht="15.75" customHeight="1" s="60">
      <c r="A705" s="41" t="n"/>
      <c r="B705" s="41" t="n"/>
      <c r="C705" s="41" t="n"/>
      <c r="D705" s="41" t="n"/>
      <c r="E705" s="41" t="n"/>
      <c r="F705" s="41" t="n"/>
      <c r="G705" s="41" t="n"/>
    </row>
    <row r="706" ht="15.75" customHeight="1" s="60">
      <c r="A706" s="41" t="n"/>
      <c r="B706" s="41" t="n"/>
      <c r="C706" s="41" t="n"/>
      <c r="D706" s="41" t="n"/>
      <c r="E706" s="41" t="n"/>
      <c r="F706" s="41" t="n"/>
      <c r="G706" s="41" t="n"/>
    </row>
    <row r="707" ht="15.75" customHeight="1" s="60">
      <c r="A707" s="41" t="n"/>
      <c r="B707" s="41" t="n"/>
      <c r="C707" s="41" t="n"/>
      <c r="D707" s="41" t="n"/>
      <c r="E707" s="41" t="n"/>
      <c r="F707" s="41" t="n"/>
      <c r="G707" s="41" t="n"/>
    </row>
    <row r="708" ht="15.75" customHeight="1" s="60">
      <c r="A708" s="41" t="n"/>
      <c r="B708" s="41" t="n"/>
      <c r="C708" s="41" t="n"/>
      <c r="D708" s="41" t="n"/>
      <c r="E708" s="41" t="n"/>
      <c r="F708" s="41" t="n"/>
      <c r="G708" s="41" t="n"/>
    </row>
    <row r="709" ht="15.75" customHeight="1" s="60">
      <c r="A709" s="41" t="n"/>
      <c r="B709" s="41" t="n"/>
      <c r="C709" s="41" t="n"/>
      <c r="D709" s="41" t="n"/>
      <c r="E709" s="41" t="n"/>
      <c r="F709" s="41" t="n"/>
      <c r="G709" s="41" t="n"/>
    </row>
    <row r="710" ht="15.75" customHeight="1" s="60">
      <c r="A710" s="41" t="n"/>
      <c r="B710" s="41" t="n"/>
      <c r="C710" s="41" t="n"/>
      <c r="D710" s="41" t="n"/>
      <c r="E710" s="41" t="n"/>
      <c r="F710" s="41" t="n"/>
      <c r="G710" s="41" t="n"/>
    </row>
    <row r="711" ht="15.75" customHeight="1" s="60">
      <c r="A711" s="41" t="n"/>
      <c r="B711" s="41" t="n"/>
      <c r="C711" s="41" t="n"/>
      <c r="D711" s="41" t="n"/>
      <c r="E711" s="41" t="n"/>
      <c r="F711" s="41" t="n"/>
      <c r="G711" s="41" t="n"/>
    </row>
    <row r="712" ht="15.75" customHeight="1" s="60">
      <c r="A712" s="41" t="n"/>
      <c r="B712" s="41" t="n"/>
      <c r="C712" s="41" t="n"/>
      <c r="D712" s="41" t="n"/>
      <c r="E712" s="41" t="n"/>
      <c r="F712" s="41" t="n"/>
      <c r="G712" s="41" t="n"/>
    </row>
    <row r="713" ht="15.75" customHeight="1" s="60">
      <c r="A713" s="41" t="n"/>
      <c r="B713" s="41" t="n"/>
      <c r="C713" s="41" t="n"/>
      <c r="D713" s="41" t="n"/>
      <c r="E713" s="41" t="n"/>
      <c r="F713" s="41" t="n"/>
      <c r="G713" s="41" t="n"/>
    </row>
    <row r="714" ht="15.75" customHeight="1" s="60">
      <c r="A714" s="41" t="n"/>
      <c r="B714" s="41" t="n"/>
      <c r="C714" s="41" t="n"/>
      <c r="D714" s="41" t="n"/>
      <c r="E714" s="41" t="n"/>
      <c r="F714" s="41" t="n"/>
      <c r="G714" s="41" t="n"/>
    </row>
    <row r="715" ht="15.75" customHeight="1" s="60">
      <c r="A715" s="41" t="n"/>
      <c r="B715" s="41" t="n"/>
      <c r="C715" s="41" t="n"/>
      <c r="D715" s="41" t="n"/>
      <c r="E715" s="41" t="n"/>
      <c r="F715" s="41" t="n"/>
      <c r="G715" s="41" t="n"/>
    </row>
    <row r="716" ht="15.75" customHeight="1" s="60">
      <c r="A716" s="41" t="n"/>
      <c r="B716" s="41" t="n"/>
      <c r="C716" s="41" t="n"/>
      <c r="D716" s="41" t="n"/>
      <c r="E716" s="41" t="n"/>
      <c r="F716" s="41" t="n"/>
      <c r="G716" s="41" t="n"/>
    </row>
    <row r="717" ht="15.75" customHeight="1" s="60">
      <c r="A717" s="41" t="n"/>
      <c r="B717" s="41" t="n"/>
      <c r="C717" s="41" t="n"/>
      <c r="D717" s="41" t="n"/>
      <c r="E717" s="41" t="n"/>
      <c r="F717" s="41" t="n"/>
      <c r="G717" s="41" t="n"/>
    </row>
    <row r="718" ht="15.75" customHeight="1" s="60">
      <c r="A718" s="41" t="n"/>
      <c r="B718" s="41" t="n"/>
      <c r="C718" s="41" t="n"/>
      <c r="D718" s="41" t="n"/>
      <c r="E718" s="41" t="n"/>
      <c r="F718" s="41" t="n"/>
      <c r="G718" s="41" t="n"/>
    </row>
    <row r="719" ht="15.75" customHeight="1" s="60">
      <c r="A719" s="41" t="n"/>
      <c r="B719" s="41" t="n"/>
      <c r="C719" s="41" t="n"/>
      <c r="D719" s="41" t="n"/>
      <c r="E719" s="41" t="n"/>
      <c r="F719" s="41" t="n"/>
      <c r="G719" s="41" t="n"/>
    </row>
    <row r="720" ht="15.75" customHeight="1" s="60">
      <c r="A720" s="41" t="n"/>
      <c r="B720" s="41" t="n"/>
      <c r="C720" s="41" t="n"/>
      <c r="D720" s="41" t="n"/>
      <c r="E720" s="41" t="n"/>
      <c r="F720" s="41" t="n"/>
      <c r="G720" s="41" t="n"/>
    </row>
    <row r="721" ht="15.75" customHeight="1" s="60">
      <c r="A721" s="41" t="n"/>
      <c r="B721" s="41" t="n"/>
      <c r="C721" s="41" t="n"/>
      <c r="D721" s="41" t="n"/>
      <c r="E721" s="41" t="n"/>
      <c r="F721" s="41" t="n"/>
      <c r="G721" s="41" t="n"/>
    </row>
    <row r="722" ht="15.75" customHeight="1" s="60">
      <c r="A722" s="41" t="n"/>
      <c r="B722" s="41" t="n"/>
      <c r="C722" s="41" t="n"/>
      <c r="D722" s="41" t="n"/>
      <c r="E722" s="41" t="n"/>
      <c r="F722" s="41" t="n"/>
      <c r="G722" s="41" t="n"/>
    </row>
    <row r="723" ht="15.75" customHeight="1" s="60">
      <c r="A723" s="41" t="n"/>
      <c r="B723" s="41" t="n"/>
      <c r="C723" s="41" t="n"/>
      <c r="D723" s="41" t="n"/>
      <c r="E723" s="41" t="n"/>
      <c r="F723" s="41" t="n"/>
      <c r="G723" s="41" t="n"/>
    </row>
    <row r="724" ht="15.75" customHeight="1" s="60">
      <c r="A724" s="41" t="n"/>
      <c r="B724" s="41" t="n"/>
      <c r="C724" s="41" t="n"/>
      <c r="D724" s="41" t="n"/>
      <c r="E724" s="41" t="n"/>
      <c r="F724" s="41" t="n"/>
      <c r="G724" s="41" t="n"/>
    </row>
    <row r="725" ht="15.75" customHeight="1" s="60">
      <c r="A725" s="41" t="n"/>
      <c r="B725" s="41" t="n"/>
      <c r="C725" s="41" t="n"/>
      <c r="D725" s="41" t="n"/>
      <c r="E725" s="41" t="n"/>
      <c r="F725" s="41" t="n"/>
      <c r="G725" s="41" t="n"/>
    </row>
    <row r="726" ht="15.75" customHeight="1" s="60">
      <c r="A726" s="41" t="n"/>
      <c r="B726" s="41" t="n"/>
      <c r="C726" s="41" t="n"/>
      <c r="D726" s="41" t="n"/>
      <c r="E726" s="41" t="n"/>
      <c r="F726" s="41" t="n"/>
      <c r="G726" s="41" t="n"/>
    </row>
    <row r="727" ht="15.75" customHeight="1" s="60">
      <c r="A727" s="41" t="n"/>
      <c r="B727" s="41" t="n"/>
      <c r="C727" s="41" t="n"/>
      <c r="D727" s="41" t="n"/>
      <c r="E727" s="41" t="n"/>
      <c r="F727" s="41" t="n"/>
      <c r="G727" s="41" t="n"/>
    </row>
    <row r="728" ht="15.75" customHeight="1" s="60">
      <c r="A728" s="41" t="n"/>
      <c r="B728" s="41" t="n"/>
      <c r="C728" s="41" t="n"/>
      <c r="D728" s="41" t="n"/>
      <c r="E728" s="41" t="n"/>
      <c r="F728" s="41" t="n"/>
      <c r="G728" s="41" t="n"/>
    </row>
    <row r="729" ht="15.75" customHeight="1" s="60">
      <c r="A729" s="41" t="n"/>
      <c r="B729" s="41" t="n"/>
      <c r="C729" s="41" t="n"/>
      <c r="D729" s="41" t="n"/>
      <c r="E729" s="41" t="n"/>
      <c r="F729" s="41" t="n"/>
      <c r="G729" s="41" t="n"/>
    </row>
    <row r="730" ht="15.75" customHeight="1" s="60">
      <c r="A730" s="41" t="n"/>
      <c r="B730" s="41" t="n"/>
      <c r="C730" s="41" t="n"/>
      <c r="D730" s="41" t="n"/>
      <c r="E730" s="41" t="n"/>
      <c r="F730" s="41" t="n"/>
      <c r="G730" s="41" t="n"/>
    </row>
    <row r="731" ht="15.75" customHeight="1" s="60">
      <c r="A731" s="41" t="n"/>
      <c r="B731" s="41" t="n"/>
      <c r="C731" s="41" t="n"/>
      <c r="D731" s="41" t="n"/>
      <c r="E731" s="41" t="n"/>
      <c r="F731" s="41" t="n"/>
      <c r="G731" s="41" t="n"/>
    </row>
    <row r="732" ht="15.75" customHeight="1" s="60">
      <c r="A732" s="41" t="n"/>
      <c r="B732" s="41" t="n"/>
      <c r="C732" s="41" t="n"/>
      <c r="D732" s="41" t="n"/>
      <c r="E732" s="41" t="n"/>
      <c r="F732" s="41" t="n"/>
      <c r="G732" s="41" t="n"/>
    </row>
    <row r="733" ht="15.75" customHeight="1" s="60">
      <c r="A733" s="41" t="n"/>
      <c r="B733" s="41" t="n"/>
      <c r="C733" s="41" t="n"/>
      <c r="D733" s="41" t="n"/>
      <c r="E733" s="41" t="n"/>
      <c r="F733" s="41" t="n"/>
      <c r="G733" s="41" t="n"/>
    </row>
    <row r="734" ht="15.75" customHeight="1" s="60">
      <c r="A734" s="41" t="n"/>
      <c r="B734" s="41" t="n"/>
      <c r="C734" s="41" t="n"/>
      <c r="D734" s="41" t="n"/>
      <c r="E734" s="41" t="n"/>
      <c r="F734" s="41" t="n"/>
      <c r="G734" s="41" t="n"/>
    </row>
    <row r="735" ht="15.75" customHeight="1" s="60">
      <c r="A735" s="41" t="n"/>
      <c r="B735" s="41" t="n"/>
      <c r="C735" s="41" t="n"/>
      <c r="D735" s="41" t="n"/>
      <c r="E735" s="41" t="n"/>
      <c r="F735" s="41" t="n"/>
      <c r="G735" s="41" t="n"/>
    </row>
    <row r="736" ht="15.75" customHeight="1" s="60">
      <c r="A736" s="41" t="n"/>
      <c r="B736" s="41" t="n"/>
      <c r="C736" s="41" t="n"/>
      <c r="D736" s="41" t="n"/>
      <c r="E736" s="41" t="n"/>
      <c r="F736" s="41" t="n"/>
      <c r="G736" s="41" t="n"/>
    </row>
    <row r="737" ht="15.75" customHeight="1" s="60">
      <c r="A737" s="41" t="n"/>
      <c r="B737" s="41" t="n"/>
      <c r="C737" s="41" t="n"/>
      <c r="D737" s="41" t="n"/>
      <c r="E737" s="41" t="n"/>
      <c r="F737" s="41" t="n"/>
      <c r="G737" s="41" t="n"/>
    </row>
    <row r="738" ht="15.75" customHeight="1" s="60">
      <c r="A738" s="41" t="n"/>
      <c r="B738" s="41" t="n"/>
      <c r="C738" s="41" t="n"/>
      <c r="D738" s="41" t="n"/>
      <c r="E738" s="41" t="n"/>
      <c r="F738" s="41" t="n"/>
      <c r="G738" s="41" t="n"/>
    </row>
    <row r="739" ht="15.75" customHeight="1" s="60">
      <c r="A739" s="41" t="n"/>
      <c r="B739" s="41" t="n"/>
      <c r="C739" s="41" t="n"/>
      <c r="D739" s="41" t="n"/>
      <c r="E739" s="41" t="n"/>
      <c r="F739" s="41" t="n"/>
      <c r="G739" s="41" t="n"/>
    </row>
    <row r="740" ht="15.75" customHeight="1" s="60">
      <c r="A740" s="41" t="n"/>
      <c r="B740" s="41" t="n"/>
      <c r="C740" s="41" t="n"/>
      <c r="D740" s="41" t="n"/>
      <c r="E740" s="41" t="n"/>
      <c r="F740" s="41" t="n"/>
      <c r="G740" s="41" t="n"/>
    </row>
    <row r="741" ht="15.75" customHeight="1" s="60">
      <c r="A741" s="41" t="n"/>
      <c r="B741" s="41" t="n"/>
      <c r="C741" s="41" t="n"/>
      <c r="D741" s="41" t="n"/>
      <c r="E741" s="41" t="n"/>
      <c r="F741" s="41" t="n"/>
      <c r="G741" s="41" t="n"/>
    </row>
    <row r="742" ht="15.75" customHeight="1" s="60">
      <c r="A742" s="41" t="n"/>
      <c r="B742" s="41" t="n"/>
      <c r="C742" s="41" t="n"/>
      <c r="D742" s="41" t="n"/>
      <c r="E742" s="41" t="n"/>
      <c r="F742" s="41" t="n"/>
      <c r="G742" s="41" t="n"/>
    </row>
    <row r="743" ht="15.75" customHeight="1" s="60">
      <c r="A743" s="41" t="n"/>
      <c r="B743" s="41" t="n"/>
      <c r="C743" s="41" t="n"/>
      <c r="D743" s="41" t="n"/>
      <c r="E743" s="41" t="n"/>
      <c r="F743" s="41" t="n"/>
      <c r="G743" s="41" t="n"/>
    </row>
    <row r="744" ht="15.75" customHeight="1" s="60">
      <c r="A744" s="41" t="n"/>
      <c r="B744" s="41" t="n"/>
      <c r="C744" s="41" t="n"/>
      <c r="D744" s="41" t="n"/>
      <c r="E744" s="41" t="n"/>
      <c r="F744" s="41" t="n"/>
      <c r="G744" s="41" t="n"/>
    </row>
    <row r="745" ht="15.75" customHeight="1" s="60">
      <c r="A745" s="41" t="n"/>
      <c r="B745" s="41" t="n"/>
      <c r="C745" s="41" t="n"/>
      <c r="D745" s="41" t="n"/>
      <c r="E745" s="41" t="n"/>
      <c r="F745" s="41" t="n"/>
      <c r="G745" s="41" t="n"/>
    </row>
    <row r="746" ht="15.75" customHeight="1" s="60">
      <c r="A746" s="41" t="n"/>
      <c r="B746" s="41" t="n"/>
      <c r="C746" s="41" t="n"/>
      <c r="D746" s="41" t="n"/>
      <c r="E746" s="41" t="n"/>
      <c r="F746" s="41" t="n"/>
      <c r="G746" s="41" t="n"/>
    </row>
    <row r="747" ht="15.75" customHeight="1" s="60">
      <c r="A747" s="41" t="n"/>
      <c r="B747" s="41" t="n"/>
      <c r="C747" s="41" t="n"/>
      <c r="D747" s="41" t="n"/>
      <c r="E747" s="41" t="n"/>
      <c r="F747" s="41" t="n"/>
      <c r="G747" s="41" t="n"/>
    </row>
    <row r="748" ht="15.75" customHeight="1" s="60">
      <c r="A748" s="41" t="n"/>
      <c r="B748" s="41" t="n"/>
      <c r="C748" s="41" t="n"/>
      <c r="D748" s="41" t="n"/>
      <c r="E748" s="41" t="n"/>
      <c r="F748" s="41" t="n"/>
      <c r="G748" s="41" t="n"/>
    </row>
    <row r="749" ht="15.75" customHeight="1" s="60">
      <c r="A749" s="41" t="n"/>
      <c r="B749" s="41" t="n"/>
      <c r="C749" s="41" t="n"/>
      <c r="D749" s="41" t="n"/>
      <c r="E749" s="41" t="n"/>
      <c r="F749" s="41" t="n"/>
      <c r="G749" s="41" t="n"/>
    </row>
    <row r="750" ht="15.75" customHeight="1" s="60">
      <c r="A750" s="41" t="n"/>
      <c r="B750" s="41" t="n"/>
      <c r="C750" s="41" t="n"/>
      <c r="D750" s="41" t="n"/>
      <c r="E750" s="41" t="n"/>
      <c r="F750" s="41" t="n"/>
      <c r="G750" s="41" t="n"/>
    </row>
    <row r="751" ht="15.75" customHeight="1" s="60">
      <c r="A751" s="41" t="n"/>
      <c r="B751" s="41" t="n"/>
      <c r="C751" s="41" t="n"/>
      <c r="D751" s="41" t="n"/>
      <c r="E751" s="41" t="n"/>
      <c r="F751" s="41" t="n"/>
      <c r="G751" s="41" t="n"/>
    </row>
    <row r="752" ht="15.75" customHeight="1" s="60">
      <c r="A752" s="41" t="n"/>
      <c r="B752" s="41" t="n"/>
      <c r="C752" s="41" t="n"/>
      <c r="D752" s="41" t="n"/>
      <c r="E752" s="41" t="n"/>
      <c r="F752" s="41" t="n"/>
      <c r="G752" s="41" t="n"/>
    </row>
    <row r="753" ht="15.75" customHeight="1" s="60">
      <c r="A753" s="41" t="n"/>
      <c r="B753" s="41" t="n"/>
      <c r="C753" s="41" t="n"/>
      <c r="D753" s="41" t="n"/>
      <c r="E753" s="41" t="n"/>
      <c r="F753" s="41" t="n"/>
      <c r="G753" s="41" t="n"/>
    </row>
    <row r="754" ht="15.75" customHeight="1" s="60">
      <c r="A754" s="41" t="n"/>
      <c r="B754" s="41" t="n"/>
      <c r="C754" s="41" t="n"/>
      <c r="D754" s="41" t="n"/>
      <c r="E754" s="41" t="n"/>
      <c r="F754" s="41" t="n"/>
      <c r="G754" s="41" t="n"/>
    </row>
    <row r="755" ht="15.75" customHeight="1" s="60">
      <c r="A755" s="41" t="n"/>
      <c r="B755" s="41" t="n"/>
      <c r="C755" s="41" t="n"/>
      <c r="D755" s="41" t="n"/>
      <c r="E755" s="41" t="n"/>
      <c r="F755" s="41" t="n"/>
      <c r="G755" s="41" t="n"/>
    </row>
    <row r="756" ht="15.75" customHeight="1" s="60">
      <c r="A756" s="41" t="n"/>
      <c r="B756" s="41" t="n"/>
      <c r="C756" s="41" t="n"/>
      <c r="D756" s="41" t="n"/>
      <c r="E756" s="41" t="n"/>
      <c r="F756" s="41" t="n"/>
      <c r="G756" s="41" t="n"/>
    </row>
    <row r="757" ht="15.75" customHeight="1" s="60">
      <c r="A757" s="41" t="n"/>
      <c r="B757" s="41" t="n"/>
      <c r="C757" s="41" t="n"/>
      <c r="D757" s="41" t="n"/>
      <c r="E757" s="41" t="n"/>
      <c r="F757" s="41" t="n"/>
      <c r="G757" s="41" t="n"/>
    </row>
    <row r="758" ht="15.75" customHeight="1" s="60">
      <c r="A758" s="41" t="n"/>
      <c r="B758" s="41" t="n"/>
      <c r="C758" s="41" t="n"/>
      <c r="D758" s="41" t="n"/>
      <c r="E758" s="41" t="n"/>
      <c r="F758" s="41" t="n"/>
      <c r="G758" s="41" t="n"/>
    </row>
    <row r="759" ht="15.75" customHeight="1" s="60">
      <c r="A759" s="41" t="n"/>
      <c r="B759" s="41" t="n"/>
      <c r="C759" s="41" t="n"/>
      <c r="D759" s="41" t="n"/>
      <c r="E759" s="41" t="n"/>
      <c r="F759" s="41" t="n"/>
      <c r="G759" s="41" t="n"/>
    </row>
    <row r="760" ht="15.75" customHeight="1" s="60">
      <c r="A760" s="41" t="n"/>
      <c r="B760" s="41" t="n"/>
      <c r="C760" s="41" t="n"/>
      <c r="D760" s="41" t="n"/>
      <c r="E760" s="41" t="n"/>
      <c r="F760" s="41" t="n"/>
      <c r="G760" s="41" t="n"/>
    </row>
    <row r="761" ht="15.75" customHeight="1" s="60">
      <c r="A761" s="41" t="n"/>
      <c r="B761" s="41" t="n"/>
      <c r="C761" s="41" t="n"/>
      <c r="D761" s="41" t="n"/>
      <c r="E761" s="41" t="n"/>
      <c r="F761" s="41" t="n"/>
      <c r="G761" s="41" t="n"/>
    </row>
    <row r="762" ht="15.75" customHeight="1" s="60">
      <c r="A762" s="41" t="n"/>
      <c r="B762" s="41" t="n"/>
      <c r="C762" s="41" t="n"/>
      <c r="D762" s="41" t="n"/>
      <c r="E762" s="41" t="n"/>
      <c r="F762" s="41" t="n"/>
      <c r="G762" s="41" t="n"/>
    </row>
    <row r="763" ht="15.75" customHeight="1" s="60">
      <c r="A763" s="41" t="n"/>
      <c r="B763" s="41" t="n"/>
      <c r="C763" s="41" t="n"/>
      <c r="D763" s="41" t="n"/>
      <c r="E763" s="41" t="n"/>
      <c r="F763" s="41" t="n"/>
      <c r="G763" s="41" t="n"/>
    </row>
    <row r="764" ht="15.75" customHeight="1" s="60">
      <c r="A764" s="41" t="n"/>
      <c r="B764" s="41" t="n"/>
      <c r="C764" s="41" t="n"/>
      <c r="D764" s="41" t="n"/>
      <c r="E764" s="41" t="n"/>
      <c r="F764" s="41" t="n"/>
      <c r="G764" s="41" t="n"/>
    </row>
    <row r="765" ht="15.75" customHeight="1" s="60">
      <c r="A765" s="41" t="n"/>
      <c r="B765" s="41" t="n"/>
      <c r="C765" s="41" t="n"/>
      <c r="D765" s="41" t="n"/>
      <c r="E765" s="41" t="n"/>
      <c r="F765" s="41" t="n"/>
      <c r="G765" s="41" t="n"/>
    </row>
    <row r="766" ht="15.75" customHeight="1" s="60">
      <c r="A766" s="41" t="n"/>
      <c r="B766" s="41" t="n"/>
      <c r="C766" s="41" t="n"/>
      <c r="D766" s="41" t="n"/>
      <c r="E766" s="41" t="n"/>
      <c r="F766" s="41" t="n"/>
      <c r="G766" s="41" t="n"/>
    </row>
    <row r="767" ht="15.75" customHeight="1" s="60">
      <c r="A767" s="41" t="n"/>
      <c r="B767" s="41" t="n"/>
      <c r="C767" s="41" t="n"/>
      <c r="D767" s="41" t="n"/>
      <c r="E767" s="41" t="n"/>
      <c r="F767" s="41" t="n"/>
      <c r="G767" s="41" t="n"/>
    </row>
    <row r="768" ht="15.75" customHeight="1" s="60">
      <c r="A768" s="41" t="n"/>
      <c r="B768" s="41" t="n"/>
      <c r="C768" s="41" t="n"/>
      <c r="D768" s="41" t="n"/>
      <c r="E768" s="41" t="n"/>
      <c r="F768" s="41" t="n"/>
      <c r="G768" s="41" t="n"/>
    </row>
    <row r="769" ht="15.75" customHeight="1" s="60">
      <c r="A769" s="41" t="n"/>
      <c r="B769" s="41" t="n"/>
      <c r="C769" s="41" t="n"/>
      <c r="D769" s="41" t="n"/>
      <c r="E769" s="41" t="n"/>
      <c r="F769" s="41" t="n"/>
      <c r="G769" s="41" t="n"/>
    </row>
    <row r="770" ht="15.75" customHeight="1" s="60">
      <c r="A770" s="41" t="n"/>
      <c r="B770" s="41" t="n"/>
      <c r="C770" s="41" t="n"/>
      <c r="D770" s="41" t="n"/>
      <c r="E770" s="41" t="n"/>
      <c r="F770" s="41" t="n"/>
      <c r="G770" s="41" t="n"/>
    </row>
    <row r="771" ht="15.75" customHeight="1" s="60">
      <c r="A771" s="41" t="n"/>
      <c r="B771" s="41" t="n"/>
      <c r="C771" s="41" t="n"/>
      <c r="D771" s="41" t="n"/>
      <c r="E771" s="41" t="n"/>
      <c r="F771" s="41" t="n"/>
      <c r="G771" s="41" t="n"/>
    </row>
    <row r="772" ht="15.75" customHeight="1" s="60">
      <c r="A772" s="41" t="n"/>
      <c r="B772" s="41" t="n"/>
      <c r="C772" s="41" t="n"/>
      <c r="D772" s="41" t="n"/>
      <c r="E772" s="41" t="n"/>
      <c r="F772" s="41" t="n"/>
      <c r="G772" s="41" t="n"/>
    </row>
    <row r="773" ht="15.75" customHeight="1" s="60">
      <c r="A773" s="41" t="n"/>
      <c r="B773" s="41" t="n"/>
      <c r="C773" s="41" t="n"/>
      <c r="D773" s="41" t="n"/>
      <c r="E773" s="41" t="n"/>
      <c r="F773" s="41" t="n"/>
      <c r="G773" s="41" t="n"/>
    </row>
    <row r="774" ht="15.75" customHeight="1" s="60">
      <c r="A774" s="41" t="n"/>
      <c r="B774" s="41" t="n"/>
      <c r="C774" s="41" t="n"/>
      <c r="D774" s="41" t="n"/>
      <c r="E774" s="41" t="n"/>
      <c r="F774" s="41" t="n"/>
      <c r="G774" s="41" t="n"/>
    </row>
    <row r="775" ht="15.75" customHeight="1" s="60">
      <c r="A775" s="41" t="n"/>
      <c r="B775" s="41" t="n"/>
      <c r="C775" s="41" t="n"/>
      <c r="D775" s="41" t="n"/>
      <c r="E775" s="41" t="n"/>
      <c r="F775" s="41" t="n"/>
      <c r="G775" s="41" t="n"/>
    </row>
    <row r="776" ht="15.75" customHeight="1" s="60">
      <c r="A776" s="41" t="n"/>
      <c r="B776" s="41" t="n"/>
      <c r="C776" s="41" t="n"/>
      <c r="D776" s="41" t="n"/>
      <c r="E776" s="41" t="n"/>
      <c r="F776" s="41" t="n"/>
      <c r="G776" s="41" t="n"/>
    </row>
    <row r="777" ht="15.75" customHeight="1" s="60">
      <c r="A777" s="41" t="n"/>
      <c r="B777" s="41" t="n"/>
      <c r="C777" s="41" t="n"/>
      <c r="D777" s="41" t="n"/>
      <c r="E777" s="41" t="n"/>
      <c r="F777" s="41" t="n"/>
      <c r="G777" s="41" t="n"/>
    </row>
    <row r="778" ht="15.75" customHeight="1" s="60">
      <c r="A778" s="41" t="n"/>
      <c r="B778" s="41" t="n"/>
      <c r="C778" s="41" t="n"/>
      <c r="D778" s="41" t="n"/>
      <c r="E778" s="41" t="n"/>
      <c r="F778" s="41" t="n"/>
      <c r="G778" s="41" t="n"/>
    </row>
    <row r="779" ht="15.75" customHeight="1" s="60">
      <c r="A779" s="41" t="n"/>
      <c r="B779" s="41" t="n"/>
      <c r="C779" s="41" t="n"/>
      <c r="D779" s="41" t="n"/>
      <c r="E779" s="41" t="n"/>
      <c r="F779" s="41" t="n"/>
      <c r="G779" s="41" t="n"/>
    </row>
    <row r="780" ht="15.75" customHeight="1" s="60">
      <c r="A780" s="41" t="n"/>
      <c r="B780" s="41" t="n"/>
      <c r="C780" s="41" t="n"/>
      <c r="D780" s="41" t="n"/>
      <c r="E780" s="41" t="n"/>
      <c r="F780" s="41" t="n"/>
      <c r="G780" s="41" t="n"/>
    </row>
    <row r="781" ht="15.75" customHeight="1" s="60">
      <c r="A781" s="41" t="n"/>
      <c r="B781" s="41" t="n"/>
      <c r="C781" s="41" t="n"/>
      <c r="D781" s="41" t="n"/>
      <c r="E781" s="41" t="n"/>
      <c r="F781" s="41" t="n"/>
      <c r="G781" s="41" t="n"/>
    </row>
    <row r="782" ht="15.75" customHeight="1" s="60">
      <c r="A782" s="41" t="n"/>
      <c r="B782" s="41" t="n"/>
      <c r="C782" s="41" t="n"/>
      <c r="D782" s="41" t="n"/>
      <c r="E782" s="41" t="n"/>
      <c r="F782" s="41" t="n"/>
      <c r="G782" s="41" t="n"/>
    </row>
    <row r="783" ht="15.75" customHeight="1" s="60">
      <c r="A783" s="41" t="n"/>
      <c r="B783" s="41" t="n"/>
      <c r="C783" s="41" t="n"/>
      <c r="D783" s="41" t="n"/>
      <c r="E783" s="41" t="n"/>
      <c r="F783" s="41" t="n"/>
      <c r="G783" s="41" t="n"/>
    </row>
    <row r="784" ht="15.75" customHeight="1" s="60">
      <c r="A784" s="41" t="n"/>
      <c r="B784" s="41" t="n"/>
      <c r="C784" s="41" t="n"/>
      <c r="D784" s="41" t="n"/>
      <c r="E784" s="41" t="n"/>
      <c r="F784" s="41" t="n"/>
      <c r="G784" s="41" t="n"/>
    </row>
    <row r="785" ht="15.75" customHeight="1" s="60">
      <c r="A785" s="41" t="n"/>
      <c r="B785" s="41" t="n"/>
      <c r="C785" s="41" t="n"/>
      <c r="D785" s="41" t="n"/>
      <c r="E785" s="41" t="n"/>
      <c r="F785" s="41" t="n"/>
      <c r="G785" s="41" t="n"/>
    </row>
    <row r="786" ht="15.75" customHeight="1" s="60">
      <c r="A786" s="41" t="n"/>
      <c r="B786" s="41" t="n"/>
      <c r="C786" s="41" t="n"/>
      <c r="D786" s="41" t="n"/>
      <c r="E786" s="41" t="n"/>
      <c r="F786" s="41" t="n"/>
      <c r="G786" s="41" t="n"/>
    </row>
    <row r="787" ht="15.75" customHeight="1" s="60">
      <c r="A787" s="41" t="n"/>
      <c r="B787" s="41" t="n"/>
      <c r="C787" s="41" t="n"/>
      <c r="D787" s="41" t="n"/>
      <c r="E787" s="41" t="n"/>
      <c r="F787" s="41" t="n"/>
      <c r="G787" s="41" t="n"/>
    </row>
    <row r="788" ht="15.75" customHeight="1" s="60">
      <c r="A788" s="41" t="n"/>
      <c r="B788" s="41" t="n"/>
      <c r="C788" s="41" t="n"/>
      <c r="D788" s="41" t="n"/>
      <c r="E788" s="41" t="n"/>
      <c r="F788" s="41" t="n"/>
      <c r="G788" s="41" t="n"/>
    </row>
    <row r="789" ht="15.75" customHeight="1" s="60">
      <c r="A789" s="41" t="n"/>
      <c r="B789" s="41" t="n"/>
      <c r="C789" s="41" t="n"/>
      <c r="D789" s="41" t="n"/>
      <c r="E789" s="41" t="n"/>
      <c r="F789" s="41" t="n"/>
      <c r="G789" s="41" t="n"/>
    </row>
    <row r="790" ht="15.75" customHeight="1" s="60">
      <c r="A790" s="41" t="n"/>
      <c r="B790" s="41" t="n"/>
      <c r="C790" s="41" t="n"/>
      <c r="D790" s="41" t="n"/>
      <c r="E790" s="41" t="n"/>
      <c r="F790" s="41" t="n"/>
      <c r="G790" s="41" t="n"/>
    </row>
    <row r="791" ht="15.75" customHeight="1" s="60">
      <c r="A791" s="41" t="n"/>
      <c r="B791" s="41" t="n"/>
      <c r="C791" s="41" t="n"/>
      <c r="D791" s="41" t="n"/>
      <c r="E791" s="41" t="n"/>
      <c r="F791" s="41" t="n"/>
      <c r="G791" s="41" t="n"/>
    </row>
    <row r="792" ht="15.75" customHeight="1" s="60">
      <c r="A792" s="41" t="n"/>
      <c r="B792" s="41" t="n"/>
      <c r="C792" s="41" t="n"/>
      <c r="D792" s="41" t="n"/>
      <c r="E792" s="41" t="n"/>
      <c r="F792" s="41" t="n"/>
      <c r="G792" s="41" t="n"/>
    </row>
    <row r="793" ht="15.75" customHeight="1" s="60">
      <c r="A793" s="41" t="n"/>
      <c r="B793" s="41" t="n"/>
      <c r="C793" s="41" t="n"/>
      <c r="D793" s="41" t="n"/>
      <c r="E793" s="41" t="n"/>
      <c r="F793" s="41" t="n"/>
      <c r="G793" s="41" t="n"/>
    </row>
    <row r="794" ht="15.75" customHeight="1" s="60">
      <c r="A794" s="41" t="n"/>
      <c r="B794" s="41" t="n"/>
      <c r="C794" s="41" t="n"/>
      <c r="D794" s="41" t="n"/>
      <c r="E794" s="41" t="n"/>
      <c r="F794" s="41" t="n"/>
      <c r="G794" s="41" t="n"/>
    </row>
    <row r="795" ht="15.75" customHeight="1" s="60">
      <c r="A795" s="41" t="n"/>
      <c r="B795" s="41" t="n"/>
      <c r="C795" s="41" t="n"/>
      <c r="D795" s="41" t="n"/>
      <c r="E795" s="41" t="n"/>
      <c r="F795" s="41" t="n"/>
      <c r="G795" s="41" t="n"/>
    </row>
    <row r="796" ht="15.75" customHeight="1" s="60">
      <c r="A796" s="41" t="n"/>
      <c r="B796" s="41" t="n"/>
      <c r="C796" s="41" t="n"/>
      <c r="D796" s="41" t="n"/>
      <c r="E796" s="41" t="n"/>
      <c r="F796" s="41" t="n"/>
      <c r="G796" s="41" t="n"/>
    </row>
    <row r="797" ht="15.75" customHeight="1" s="60">
      <c r="A797" s="41" t="n"/>
      <c r="B797" s="41" t="n"/>
      <c r="C797" s="41" t="n"/>
      <c r="D797" s="41" t="n"/>
      <c r="E797" s="41" t="n"/>
      <c r="F797" s="41" t="n"/>
      <c r="G797" s="41" t="n"/>
    </row>
    <row r="798" ht="15.75" customHeight="1" s="60">
      <c r="A798" s="41" t="n"/>
      <c r="B798" s="41" t="n"/>
      <c r="C798" s="41" t="n"/>
      <c r="D798" s="41" t="n"/>
      <c r="E798" s="41" t="n"/>
      <c r="F798" s="41" t="n"/>
      <c r="G798" s="41" t="n"/>
    </row>
    <row r="799" ht="15.75" customHeight="1" s="60">
      <c r="A799" s="41" t="n"/>
      <c r="B799" s="41" t="n"/>
      <c r="C799" s="41" t="n"/>
      <c r="D799" s="41" t="n"/>
      <c r="E799" s="41" t="n"/>
      <c r="F799" s="41" t="n"/>
      <c r="G799" s="41" t="n"/>
    </row>
    <row r="800" ht="15.75" customHeight="1" s="60">
      <c r="A800" s="41" t="n"/>
      <c r="B800" s="41" t="n"/>
      <c r="C800" s="41" t="n"/>
      <c r="D800" s="41" t="n"/>
      <c r="E800" s="41" t="n"/>
      <c r="F800" s="41" t="n"/>
      <c r="G800" s="41" t="n"/>
    </row>
    <row r="801" ht="15.75" customHeight="1" s="60">
      <c r="A801" s="41" t="n"/>
      <c r="B801" s="41" t="n"/>
      <c r="C801" s="41" t="n"/>
      <c r="D801" s="41" t="n"/>
      <c r="E801" s="41" t="n"/>
      <c r="F801" s="41" t="n"/>
      <c r="G801" s="41" t="n"/>
    </row>
    <row r="802" ht="15.75" customHeight="1" s="60">
      <c r="A802" s="41" t="n"/>
      <c r="B802" s="41" t="n"/>
      <c r="C802" s="41" t="n"/>
      <c r="D802" s="41" t="n"/>
      <c r="E802" s="41" t="n"/>
      <c r="F802" s="41" t="n"/>
      <c r="G802" s="41" t="n"/>
    </row>
    <row r="803" ht="15.75" customHeight="1" s="60">
      <c r="A803" s="41" t="n"/>
      <c r="B803" s="41" t="n"/>
      <c r="C803" s="41" t="n"/>
      <c r="D803" s="41" t="n"/>
      <c r="E803" s="41" t="n"/>
      <c r="F803" s="41" t="n"/>
      <c r="G803" s="41" t="n"/>
    </row>
    <row r="804" ht="15.75" customHeight="1" s="60">
      <c r="A804" s="41" t="n"/>
      <c r="B804" s="41" t="n"/>
      <c r="C804" s="41" t="n"/>
      <c r="D804" s="41" t="n"/>
      <c r="E804" s="41" t="n"/>
      <c r="F804" s="41" t="n"/>
      <c r="G804" s="41" t="n"/>
    </row>
    <row r="805" ht="15.75" customHeight="1" s="60">
      <c r="A805" s="41" t="n"/>
      <c r="B805" s="41" t="n"/>
      <c r="C805" s="41" t="n"/>
      <c r="D805" s="41" t="n"/>
      <c r="E805" s="41" t="n"/>
      <c r="F805" s="41" t="n"/>
      <c r="G805" s="41" t="n"/>
    </row>
    <row r="806" ht="15.75" customHeight="1" s="60">
      <c r="A806" s="41" t="n"/>
      <c r="B806" s="41" t="n"/>
      <c r="C806" s="41" t="n"/>
      <c r="D806" s="41" t="n"/>
      <c r="E806" s="41" t="n"/>
      <c r="F806" s="41" t="n"/>
      <c r="G806" s="41" t="n"/>
    </row>
    <row r="807" ht="15.75" customHeight="1" s="60">
      <c r="A807" s="41" t="n"/>
      <c r="B807" s="41" t="n"/>
      <c r="C807" s="41" t="n"/>
      <c r="D807" s="41" t="n"/>
      <c r="E807" s="41" t="n"/>
      <c r="F807" s="41" t="n"/>
      <c r="G807" s="41" t="n"/>
    </row>
    <row r="808" ht="15.75" customHeight="1" s="60">
      <c r="A808" s="41" t="n"/>
      <c r="B808" s="41" t="n"/>
      <c r="C808" s="41" t="n"/>
      <c r="D808" s="41" t="n"/>
      <c r="E808" s="41" t="n"/>
      <c r="F808" s="41" t="n"/>
      <c r="G808" s="41" t="n"/>
    </row>
    <row r="809" ht="15.75" customHeight="1" s="60">
      <c r="A809" s="41" t="n"/>
      <c r="B809" s="41" t="n"/>
      <c r="C809" s="41" t="n"/>
      <c r="D809" s="41" t="n"/>
      <c r="E809" s="41" t="n"/>
      <c r="F809" s="41" t="n"/>
      <c r="G809" s="41" t="n"/>
    </row>
    <row r="810" ht="15.75" customHeight="1" s="60">
      <c r="A810" s="41" t="n"/>
      <c r="B810" s="41" t="n"/>
      <c r="C810" s="41" t="n"/>
      <c r="D810" s="41" t="n"/>
      <c r="E810" s="41" t="n"/>
      <c r="F810" s="41" t="n"/>
      <c r="G810" s="41" t="n"/>
    </row>
    <row r="811" ht="15.75" customHeight="1" s="60">
      <c r="A811" s="41" t="n"/>
      <c r="B811" s="41" t="n"/>
      <c r="C811" s="41" t="n"/>
      <c r="D811" s="41" t="n"/>
      <c r="E811" s="41" t="n"/>
      <c r="F811" s="41" t="n"/>
      <c r="G811" s="41" t="n"/>
    </row>
    <row r="812" ht="15.75" customHeight="1" s="60">
      <c r="A812" s="41" t="n"/>
      <c r="B812" s="41" t="n"/>
      <c r="C812" s="41" t="n"/>
      <c r="D812" s="41" t="n"/>
      <c r="E812" s="41" t="n"/>
      <c r="F812" s="41" t="n"/>
      <c r="G812" s="41" t="n"/>
    </row>
    <row r="813" ht="15.75" customHeight="1" s="60">
      <c r="A813" s="41" t="n"/>
      <c r="B813" s="41" t="n"/>
      <c r="C813" s="41" t="n"/>
      <c r="D813" s="41" t="n"/>
      <c r="E813" s="41" t="n"/>
      <c r="F813" s="41" t="n"/>
      <c r="G813" s="41" t="n"/>
    </row>
    <row r="814" ht="15.75" customHeight="1" s="60">
      <c r="A814" s="41" t="n"/>
      <c r="B814" s="41" t="n"/>
      <c r="C814" s="41" t="n"/>
      <c r="D814" s="41" t="n"/>
      <c r="E814" s="41" t="n"/>
      <c r="F814" s="41" t="n"/>
      <c r="G814" s="41" t="n"/>
    </row>
    <row r="815" ht="15.75" customHeight="1" s="60">
      <c r="A815" s="41" t="n"/>
      <c r="B815" s="41" t="n"/>
      <c r="C815" s="41" t="n"/>
      <c r="D815" s="41" t="n"/>
      <c r="E815" s="41" t="n"/>
      <c r="F815" s="41" t="n"/>
      <c r="G815" s="41" t="n"/>
    </row>
    <row r="816" ht="15.75" customHeight="1" s="60">
      <c r="A816" s="41" t="n"/>
      <c r="B816" s="41" t="n"/>
      <c r="C816" s="41" t="n"/>
      <c r="D816" s="41" t="n"/>
      <c r="E816" s="41" t="n"/>
      <c r="F816" s="41" t="n"/>
      <c r="G816" s="41" t="n"/>
    </row>
    <row r="817" ht="15.75" customHeight="1" s="60">
      <c r="A817" s="41" t="n"/>
      <c r="B817" s="41" t="n"/>
      <c r="C817" s="41" t="n"/>
      <c r="D817" s="41" t="n"/>
      <c r="E817" s="41" t="n"/>
      <c r="F817" s="41" t="n"/>
      <c r="G817" s="41" t="n"/>
    </row>
    <row r="818" ht="15.75" customHeight="1" s="60">
      <c r="A818" s="41" t="n"/>
      <c r="B818" s="41" t="n"/>
      <c r="C818" s="41" t="n"/>
      <c r="D818" s="41" t="n"/>
      <c r="E818" s="41" t="n"/>
      <c r="F818" s="41" t="n"/>
      <c r="G818" s="41" t="n"/>
    </row>
    <row r="819" ht="15.75" customHeight="1" s="60">
      <c r="A819" s="41" t="n"/>
      <c r="B819" s="41" t="n"/>
      <c r="C819" s="41" t="n"/>
      <c r="D819" s="41" t="n"/>
      <c r="E819" s="41" t="n"/>
      <c r="F819" s="41" t="n"/>
      <c r="G819" s="41" t="n"/>
    </row>
    <row r="820" ht="15.75" customHeight="1" s="60">
      <c r="A820" s="41" t="n"/>
      <c r="B820" s="41" t="n"/>
      <c r="C820" s="41" t="n"/>
      <c r="D820" s="41" t="n"/>
      <c r="E820" s="41" t="n"/>
      <c r="F820" s="41" t="n"/>
      <c r="G820" s="41" t="n"/>
    </row>
    <row r="821" ht="15.75" customHeight="1" s="60">
      <c r="A821" s="41" t="n"/>
      <c r="B821" s="41" t="n"/>
      <c r="C821" s="41" t="n"/>
      <c r="D821" s="41" t="n"/>
      <c r="E821" s="41" t="n"/>
      <c r="F821" s="41" t="n"/>
      <c r="G821" s="41" t="n"/>
    </row>
    <row r="822" ht="15.75" customHeight="1" s="60">
      <c r="A822" s="41" t="n"/>
      <c r="B822" s="41" t="n"/>
      <c r="C822" s="41" t="n"/>
      <c r="D822" s="41" t="n"/>
      <c r="E822" s="41" t="n"/>
      <c r="F822" s="41" t="n"/>
      <c r="G822" s="41" t="n"/>
    </row>
    <row r="823" ht="15.75" customHeight="1" s="60">
      <c r="A823" s="41" t="n"/>
      <c r="B823" s="41" t="n"/>
      <c r="C823" s="41" t="n"/>
      <c r="D823" s="41" t="n"/>
      <c r="E823" s="41" t="n"/>
      <c r="F823" s="41" t="n"/>
      <c r="G823" s="41" t="n"/>
    </row>
    <row r="824" ht="15.75" customHeight="1" s="60">
      <c r="A824" s="41" t="n"/>
      <c r="B824" s="41" t="n"/>
      <c r="C824" s="41" t="n"/>
      <c r="D824" s="41" t="n"/>
      <c r="E824" s="41" t="n"/>
      <c r="F824" s="41" t="n"/>
      <c r="G824" s="41" t="n"/>
    </row>
    <row r="825" ht="15.75" customHeight="1" s="60">
      <c r="A825" s="41" t="n"/>
      <c r="B825" s="41" t="n"/>
      <c r="C825" s="41" t="n"/>
      <c r="D825" s="41" t="n"/>
      <c r="E825" s="41" t="n"/>
      <c r="F825" s="41" t="n"/>
      <c r="G825" s="41" t="n"/>
    </row>
    <row r="826" ht="15.75" customHeight="1" s="60">
      <c r="A826" s="41" t="n"/>
      <c r="B826" s="41" t="n"/>
      <c r="C826" s="41" t="n"/>
      <c r="D826" s="41" t="n"/>
      <c r="E826" s="41" t="n"/>
      <c r="F826" s="41" t="n"/>
      <c r="G826" s="41" t="n"/>
    </row>
    <row r="827" ht="15.75" customHeight="1" s="60">
      <c r="A827" s="41" t="n"/>
      <c r="B827" s="41" t="n"/>
      <c r="C827" s="41" t="n"/>
      <c r="D827" s="41" t="n"/>
      <c r="E827" s="41" t="n"/>
      <c r="F827" s="41" t="n"/>
      <c r="G827" s="41" t="n"/>
    </row>
    <row r="828" ht="15.75" customHeight="1" s="60">
      <c r="A828" s="41" t="n"/>
      <c r="B828" s="41" t="n"/>
      <c r="C828" s="41" t="n"/>
      <c r="D828" s="41" t="n"/>
      <c r="E828" s="41" t="n"/>
      <c r="F828" s="41" t="n"/>
      <c r="G828" s="41" t="n"/>
    </row>
    <row r="829" ht="15.75" customHeight="1" s="60">
      <c r="A829" s="41" t="n"/>
      <c r="B829" s="41" t="n"/>
      <c r="C829" s="41" t="n"/>
      <c r="D829" s="41" t="n"/>
      <c r="E829" s="41" t="n"/>
      <c r="F829" s="41" t="n"/>
      <c r="G829" s="41" t="n"/>
    </row>
    <row r="830" ht="15.75" customHeight="1" s="60">
      <c r="A830" s="41" t="n"/>
      <c r="B830" s="41" t="n"/>
      <c r="C830" s="41" t="n"/>
      <c r="D830" s="41" t="n"/>
      <c r="E830" s="41" t="n"/>
      <c r="F830" s="41" t="n"/>
      <c r="G830" s="41" t="n"/>
    </row>
    <row r="831" ht="15.75" customHeight="1" s="60">
      <c r="A831" s="41" t="n"/>
      <c r="B831" s="41" t="n"/>
      <c r="C831" s="41" t="n"/>
      <c r="D831" s="41" t="n"/>
      <c r="E831" s="41" t="n"/>
      <c r="F831" s="41" t="n"/>
      <c r="G831" s="41" t="n"/>
    </row>
    <row r="832" ht="15.75" customHeight="1" s="60">
      <c r="A832" s="41" t="n"/>
      <c r="B832" s="41" t="n"/>
      <c r="C832" s="41" t="n"/>
      <c r="D832" s="41" t="n"/>
      <c r="E832" s="41" t="n"/>
      <c r="F832" s="41" t="n"/>
      <c r="G832" s="41" t="n"/>
    </row>
    <row r="833" ht="15.75" customHeight="1" s="60">
      <c r="A833" s="41" t="n"/>
      <c r="B833" s="41" t="n"/>
      <c r="C833" s="41" t="n"/>
      <c r="D833" s="41" t="n"/>
      <c r="E833" s="41" t="n"/>
      <c r="F833" s="41" t="n"/>
      <c r="G833" s="41" t="n"/>
    </row>
    <row r="834" ht="15.75" customHeight="1" s="60">
      <c r="A834" s="41" t="n"/>
      <c r="B834" s="41" t="n"/>
      <c r="C834" s="41" t="n"/>
      <c r="D834" s="41" t="n"/>
      <c r="E834" s="41" t="n"/>
      <c r="F834" s="41" t="n"/>
      <c r="G834" s="41" t="n"/>
    </row>
    <row r="835" ht="15.75" customHeight="1" s="60">
      <c r="A835" s="41" t="n"/>
      <c r="B835" s="41" t="n"/>
      <c r="C835" s="41" t="n"/>
      <c r="D835" s="41" t="n"/>
      <c r="E835" s="41" t="n"/>
      <c r="F835" s="41" t="n"/>
      <c r="G835" s="41" t="n"/>
    </row>
    <row r="836" ht="15.75" customHeight="1" s="60">
      <c r="A836" s="41" t="n"/>
      <c r="B836" s="41" t="n"/>
      <c r="C836" s="41" t="n"/>
      <c r="D836" s="41" t="n"/>
      <c r="E836" s="41" t="n"/>
      <c r="F836" s="41" t="n"/>
      <c r="G836" s="41" t="n"/>
    </row>
    <row r="837" ht="15.75" customHeight="1" s="60">
      <c r="A837" s="41" t="n"/>
      <c r="B837" s="41" t="n"/>
      <c r="C837" s="41" t="n"/>
      <c r="D837" s="41" t="n"/>
      <c r="E837" s="41" t="n"/>
      <c r="F837" s="41" t="n"/>
      <c r="G837" s="41" t="n"/>
    </row>
    <row r="838" ht="15.75" customHeight="1" s="60">
      <c r="A838" s="41" t="n"/>
      <c r="B838" s="41" t="n"/>
      <c r="C838" s="41" t="n"/>
      <c r="D838" s="41" t="n"/>
      <c r="E838" s="41" t="n"/>
      <c r="F838" s="41" t="n"/>
      <c r="G838" s="41" t="n"/>
    </row>
    <row r="839" ht="15.75" customHeight="1" s="60">
      <c r="A839" s="41" t="n"/>
      <c r="B839" s="41" t="n"/>
      <c r="C839" s="41" t="n"/>
      <c r="D839" s="41" t="n"/>
      <c r="E839" s="41" t="n"/>
      <c r="F839" s="41" t="n"/>
      <c r="G839" s="41" t="n"/>
    </row>
    <row r="840" ht="15.75" customHeight="1" s="60">
      <c r="A840" s="41" t="n"/>
      <c r="B840" s="41" t="n"/>
      <c r="C840" s="41" t="n"/>
      <c r="D840" s="41" t="n"/>
      <c r="E840" s="41" t="n"/>
      <c r="F840" s="41" t="n"/>
      <c r="G840" s="41" t="n"/>
    </row>
    <row r="841" ht="15.75" customHeight="1" s="60">
      <c r="A841" s="41" t="n"/>
      <c r="B841" s="41" t="n"/>
      <c r="C841" s="41" t="n"/>
      <c r="D841" s="41" t="n"/>
      <c r="E841" s="41" t="n"/>
      <c r="F841" s="41" t="n"/>
      <c r="G841" s="41" t="n"/>
    </row>
    <row r="842" ht="15.75" customHeight="1" s="60">
      <c r="A842" s="41" t="n"/>
      <c r="B842" s="41" t="n"/>
      <c r="C842" s="41" t="n"/>
      <c r="D842" s="41" t="n"/>
      <c r="E842" s="41" t="n"/>
      <c r="F842" s="41" t="n"/>
      <c r="G842" s="41" t="n"/>
    </row>
    <row r="843" ht="15.75" customHeight="1" s="60">
      <c r="A843" s="41" t="n"/>
      <c r="B843" s="41" t="n"/>
      <c r="C843" s="41" t="n"/>
      <c r="D843" s="41" t="n"/>
      <c r="E843" s="41" t="n"/>
      <c r="F843" s="41" t="n"/>
      <c r="G843" s="41" t="n"/>
    </row>
    <row r="844" ht="15.75" customHeight="1" s="60">
      <c r="A844" s="41" t="n"/>
      <c r="B844" s="41" t="n"/>
      <c r="C844" s="41" t="n"/>
      <c r="D844" s="41" t="n"/>
      <c r="E844" s="41" t="n"/>
      <c r="F844" s="41" t="n"/>
      <c r="G844" s="41" t="n"/>
    </row>
    <row r="845" ht="15.75" customHeight="1" s="60">
      <c r="A845" s="41" t="n"/>
      <c r="B845" s="41" t="n"/>
      <c r="C845" s="41" t="n"/>
      <c r="D845" s="41" t="n"/>
      <c r="E845" s="41" t="n"/>
      <c r="F845" s="41" t="n"/>
      <c r="G845" s="41" t="n"/>
    </row>
    <row r="846" ht="15.75" customHeight="1" s="60">
      <c r="A846" s="41" t="n"/>
      <c r="B846" s="41" t="n"/>
      <c r="C846" s="41" t="n"/>
      <c r="D846" s="41" t="n"/>
      <c r="E846" s="41" t="n"/>
      <c r="F846" s="41" t="n"/>
      <c r="G846" s="41" t="n"/>
    </row>
    <row r="847" ht="15.75" customHeight="1" s="60">
      <c r="A847" s="41" t="n"/>
      <c r="B847" s="41" t="n"/>
      <c r="C847" s="41" t="n"/>
      <c r="D847" s="41" t="n"/>
      <c r="E847" s="41" t="n"/>
      <c r="F847" s="41" t="n"/>
      <c r="G847" s="41" t="n"/>
    </row>
    <row r="848" ht="15.75" customHeight="1" s="60">
      <c r="A848" s="41" t="n"/>
      <c r="B848" s="41" t="n"/>
      <c r="C848" s="41" t="n"/>
      <c r="D848" s="41" t="n"/>
      <c r="E848" s="41" t="n"/>
      <c r="F848" s="41" t="n"/>
      <c r="G848" s="41" t="n"/>
    </row>
    <row r="849" ht="15.75" customHeight="1" s="60">
      <c r="A849" s="41" t="n"/>
      <c r="B849" s="41" t="n"/>
      <c r="C849" s="41" t="n"/>
      <c r="D849" s="41" t="n"/>
      <c r="E849" s="41" t="n"/>
      <c r="F849" s="41" t="n"/>
      <c r="G849" s="41" t="n"/>
    </row>
    <row r="850" ht="15.75" customHeight="1" s="60">
      <c r="A850" s="41" t="n"/>
      <c r="B850" s="41" t="n"/>
      <c r="C850" s="41" t="n"/>
      <c r="D850" s="41" t="n"/>
      <c r="E850" s="41" t="n"/>
      <c r="F850" s="41" t="n"/>
      <c r="G850" s="41" t="n"/>
    </row>
    <row r="851" ht="15.75" customHeight="1" s="60">
      <c r="A851" s="41" t="n"/>
      <c r="B851" s="41" t="n"/>
      <c r="C851" s="41" t="n"/>
      <c r="D851" s="41" t="n"/>
      <c r="E851" s="41" t="n"/>
      <c r="F851" s="41" t="n"/>
      <c r="G851" s="41" t="n"/>
    </row>
    <row r="852" ht="15.75" customHeight="1" s="60">
      <c r="A852" s="41" t="n"/>
      <c r="B852" s="41" t="n"/>
      <c r="C852" s="41" t="n"/>
      <c r="D852" s="41" t="n"/>
      <c r="E852" s="41" t="n"/>
      <c r="F852" s="41" t="n"/>
      <c r="G852" s="41" t="n"/>
    </row>
    <row r="853" ht="15.75" customHeight="1" s="60">
      <c r="A853" s="41" t="n"/>
      <c r="B853" s="41" t="n"/>
      <c r="C853" s="41" t="n"/>
      <c r="D853" s="41" t="n"/>
      <c r="E853" s="41" t="n"/>
      <c r="F853" s="41" t="n"/>
      <c r="G853" s="41" t="n"/>
    </row>
    <row r="854" ht="15.75" customHeight="1" s="60">
      <c r="A854" s="41" t="n"/>
      <c r="B854" s="41" t="n"/>
      <c r="C854" s="41" t="n"/>
      <c r="D854" s="41" t="n"/>
      <c r="E854" s="41" t="n"/>
      <c r="F854" s="41" t="n"/>
      <c r="G854" s="41" t="n"/>
    </row>
    <row r="855" ht="15.75" customHeight="1" s="60">
      <c r="A855" s="41" t="n"/>
      <c r="B855" s="41" t="n"/>
      <c r="C855" s="41" t="n"/>
      <c r="D855" s="41" t="n"/>
      <c r="E855" s="41" t="n"/>
      <c r="F855" s="41" t="n"/>
      <c r="G855" s="41" t="n"/>
    </row>
    <row r="856" ht="15.75" customHeight="1" s="60">
      <c r="A856" s="41" t="n"/>
      <c r="B856" s="41" t="n"/>
      <c r="C856" s="41" t="n"/>
      <c r="D856" s="41" t="n"/>
      <c r="E856" s="41" t="n"/>
      <c r="F856" s="41" t="n"/>
      <c r="G856" s="41" t="n"/>
    </row>
    <row r="857" ht="15.75" customHeight="1" s="60">
      <c r="A857" s="41" t="n"/>
      <c r="B857" s="41" t="n"/>
      <c r="C857" s="41" t="n"/>
      <c r="D857" s="41" t="n"/>
      <c r="E857" s="41" t="n"/>
      <c r="F857" s="41" t="n"/>
      <c r="G857" s="41" t="n"/>
    </row>
    <row r="858" ht="15.75" customHeight="1" s="60">
      <c r="A858" s="41" t="n"/>
      <c r="B858" s="41" t="n"/>
      <c r="C858" s="41" t="n"/>
      <c r="D858" s="41" t="n"/>
      <c r="E858" s="41" t="n"/>
      <c r="F858" s="41" t="n"/>
      <c r="G858" s="41" t="n"/>
    </row>
    <row r="859" ht="15.75" customHeight="1" s="60">
      <c r="A859" s="41" t="n"/>
      <c r="B859" s="41" t="n"/>
      <c r="C859" s="41" t="n"/>
      <c r="D859" s="41" t="n"/>
      <c r="E859" s="41" t="n"/>
      <c r="F859" s="41" t="n"/>
      <c r="G859" s="41" t="n"/>
    </row>
    <row r="860" ht="15.75" customHeight="1" s="60">
      <c r="A860" s="41" t="n"/>
      <c r="B860" s="41" t="n"/>
      <c r="C860" s="41" t="n"/>
      <c r="D860" s="41" t="n"/>
      <c r="E860" s="41" t="n"/>
      <c r="F860" s="41" t="n"/>
      <c r="G860" s="41" t="n"/>
    </row>
    <row r="861" ht="15.75" customHeight="1" s="60">
      <c r="A861" s="41" t="n"/>
      <c r="B861" s="41" t="n"/>
      <c r="C861" s="41" t="n"/>
      <c r="D861" s="41" t="n"/>
      <c r="E861" s="41" t="n"/>
      <c r="F861" s="41" t="n"/>
      <c r="G861" s="41" t="n"/>
    </row>
    <row r="862" ht="15.75" customHeight="1" s="60">
      <c r="A862" s="41" t="n"/>
      <c r="B862" s="41" t="n"/>
      <c r="C862" s="41" t="n"/>
      <c r="D862" s="41" t="n"/>
      <c r="E862" s="41" t="n"/>
      <c r="F862" s="41" t="n"/>
      <c r="G862" s="41" t="n"/>
    </row>
    <row r="863" ht="15.75" customHeight="1" s="60">
      <c r="A863" s="41" t="n"/>
      <c r="B863" s="41" t="n"/>
      <c r="C863" s="41" t="n"/>
      <c r="D863" s="41" t="n"/>
      <c r="E863" s="41" t="n"/>
      <c r="F863" s="41" t="n"/>
      <c r="G863" s="41" t="n"/>
    </row>
    <row r="864" ht="15.75" customHeight="1" s="60">
      <c r="A864" s="41" t="n"/>
      <c r="B864" s="41" t="n"/>
      <c r="C864" s="41" t="n"/>
      <c r="D864" s="41" t="n"/>
      <c r="E864" s="41" t="n"/>
      <c r="F864" s="41" t="n"/>
      <c r="G864" s="41" t="n"/>
    </row>
    <row r="865" ht="15.75" customHeight="1" s="60">
      <c r="A865" s="41" t="n"/>
      <c r="B865" s="41" t="n"/>
      <c r="C865" s="41" t="n"/>
      <c r="D865" s="41" t="n"/>
      <c r="E865" s="41" t="n"/>
      <c r="F865" s="41" t="n"/>
      <c r="G865" s="41" t="n"/>
    </row>
    <row r="866" ht="15.75" customHeight="1" s="60">
      <c r="A866" s="41" t="n"/>
      <c r="B866" s="41" t="n"/>
      <c r="C866" s="41" t="n"/>
      <c r="D866" s="41" t="n"/>
      <c r="E866" s="41" t="n"/>
      <c r="F866" s="41" t="n"/>
      <c r="G866" s="41" t="n"/>
    </row>
    <row r="867" ht="15.75" customHeight="1" s="60">
      <c r="A867" s="41" t="n"/>
      <c r="B867" s="41" t="n"/>
      <c r="C867" s="41" t="n"/>
      <c r="D867" s="41" t="n"/>
      <c r="E867" s="41" t="n"/>
      <c r="F867" s="41" t="n"/>
      <c r="G867" s="41" t="n"/>
    </row>
    <row r="868" ht="15.75" customHeight="1" s="60">
      <c r="A868" s="41" t="n"/>
      <c r="B868" s="41" t="n"/>
      <c r="C868" s="41" t="n"/>
      <c r="D868" s="41" t="n"/>
      <c r="E868" s="41" t="n"/>
      <c r="F868" s="41" t="n"/>
      <c r="G868" s="41" t="n"/>
    </row>
    <row r="869" ht="15.75" customHeight="1" s="60">
      <c r="A869" s="41" t="n"/>
      <c r="B869" s="41" t="n"/>
      <c r="C869" s="41" t="n"/>
      <c r="D869" s="41" t="n"/>
      <c r="E869" s="41" t="n"/>
      <c r="F869" s="41" t="n"/>
      <c r="G869" s="41" t="n"/>
    </row>
    <row r="870" ht="15.75" customHeight="1" s="60">
      <c r="A870" s="41" t="n"/>
      <c r="B870" s="41" t="n"/>
      <c r="C870" s="41" t="n"/>
      <c r="D870" s="41" t="n"/>
      <c r="E870" s="41" t="n"/>
      <c r="F870" s="41" t="n"/>
      <c r="G870" s="41" t="n"/>
    </row>
    <row r="871" ht="15.75" customHeight="1" s="60">
      <c r="A871" s="41" t="n"/>
      <c r="B871" s="41" t="n"/>
      <c r="C871" s="41" t="n"/>
      <c r="D871" s="41" t="n"/>
      <c r="E871" s="41" t="n"/>
      <c r="F871" s="41" t="n"/>
      <c r="G871" s="41" t="n"/>
    </row>
    <row r="872" ht="15.75" customHeight="1" s="60">
      <c r="A872" s="41" t="n"/>
      <c r="B872" s="41" t="n"/>
      <c r="C872" s="41" t="n"/>
      <c r="D872" s="41" t="n"/>
      <c r="E872" s="41" t="n"/>
      <c r="F872" s="41" t="n"/>
      <c r="G872" s="41" t="n"/>
    </row>
    <row r="873" ht="15.75" customHeight="1" s="60">
      <c r="A873" s="41" t="n"/>
      <c r="B873" s="41" t="n"/>
      <c r="C873" s="41" t="n"/>
      <c r="D873" s="41" t="n"/>
      <c r="E873" s="41" t="n"/>
      <c r="F873" s="41" t="n"/>
      <c r="G873" s="41" t="n"/>
    </row>
    <row r="874" ht="15.75" customHeight="1" s="60">
      <c r="A874" s="41" t="n"/>
      <c r="B874" s="41" t="n"/>
      <c r="C874" s="41" t="n"/>
      <c r="D874" s="41" t="n"/>
      <c r="E874" s="41" t="n"/>
      <c r="F874" s="41" t="n"/>
      <c r="G874" s="41" t="n"/>
    </row>
    <row r="875" ht="15.75" customHeight="1" s="60">
      <c r="A875" s="41" t="n"/>
      <c r="B875" s="41" t="n"/>
      <c r="C875" s="41" t="n"/>
      <c r="D875" s="41" t="n"/>
      <c r="E875" s="41" t="n"/>
      <c r="F875" s="41" t="n"/>
      <c r="G875" s="41" t="n"/>
    </row>
    <row r="876" ht="15.75" customHeight="1" s="60">
      <c r="A876" s="41" t="n"/>
      <c r="B876" s="41" t="n"/>
      <c r="C876" s="41" t="n"/>
      <c r="D876" s="41" t="n"/>
      <c r="E876" s="41" t="n"/>
      <c r="F876" s="41" t="n"/>
      <c r="G876" s="41" t="n"/>
    </row>
    <row r="877" ht="15.75" customHeight="1" s="60">
      <c r="A877" s="41" t="n"/>
      <c r="B877" s="41" t="n"/>
      <c r="C877" s="41" t="n"/>
      <c r="D877" s="41" t="n"/>
      <c r="E877" s="41" t="n"/>
      <c r="F877" s="41" t="n"/>
      <c r="G877" s="41" t="n"/>
    </row>
    <row r="878" ht="15.75" customHeight="1" s="60">
      <c r="A878" s="41" t="n"/>
      <c r="B878" s="41" t="n"/>
      <c r="C878" s="41" t="n"/>
      <c r="D878" s="41" t="n"/>
      <c r="E878" s="41" t="n"/>
      <c r="F878" s="41" t="n"/>
      <c r="G878" s="41" t="n"/>
    </row>
    <row r="879" ht="15.75" customHeight="1" s="60">
      <c r="A879" s="41" t="n"/>
      <c r="B879" s="41" t="n"/>
      <c r="C879" s="41" t="n"/>
      <c r="D879" s="41" t="n"/>
      <c r="E879" s="41" t="n"/>
      <c r="F879" s="41" t="n"/>
      <c r="G879" s="41" t="n"/>
    </row>
    <row r="880" ht="15.75" customHeight="1" s="60">
      <c r="A880" s="41" t="n"/>
      <c r="B880" s="41" t="n"/>
      <c r="C880" s="41" t="n"/>
      <c r="D880" s="41" t="n"/>
      <c r="E880" s="41" t="n"/>
      <c r="F880" s="41" t="n"/>
      <c r="G880" s="41" t="n"/>
    </row>
    <row r="881" ht="15.75" customHeight="1" s="60">
      <c r="A881" s="41" t="n"/>
      <c r="B881" s="41" t="n"/>
      <c r="C881" s="41" t="n"/>
      <c r="D881" s="41" t="n"/>
      <c r="E881" s="41" t="n"/>
      <c r="F881" s="41" t="n"/>
      <c r="G881" s="41" t="n"/>
    </row>
    <row r="882" ht="15.75" customHeight="1" s="60">
      <c r="A882" s="41" t="n"/>
      <c r="B882" s="41" t="n"/>
      <c r="C882" s="41" t="n"/>
      <c r="D882" s="41" t="n"/>
      <c r="E882" s="41" t="n"/>
      <c r="F882" s="41" t="n"/>
      <c r="G882" s="41" t="n"/>
    </row>
    <row r="883" ht="15.75" customHeight="1" s="60">
      <c r="A883" s="41" t="n"/>
      <c r="B883" s="41" t="n"/>
      <c r="C883" s="41" t="n"/>
      <c r="D883" s="41" t="n"/>
      <c r="E883" s="41" t="n"/>
      <c r="F883" s="41" t="n"/>
      <c r="G883" s="41" t="n"/>
    </row>
    <row r="884" ht="15.75" customHeight="1" s="60">
      <c r="A884" s="41" t="n"/>
      <c r="B884" s="41" t="n"/>
      <c r="C884" s="41" t="n"/>
      <c r="D884" s="41" t="n"/>
      <c r="E884" s="41" t="n"/>
      <c r="F884" s="41" t="n"/>
      <c r="G884" s="41" t="n"/>
    </row>
    <row r="885" ht="15.75" customHeight="1" s="60">
      <c r="A885" s="41" t="n"/>
      <c r="B885" s="41" t="n"/>
      <c r="C885" s="41" t="n"/>
      <c r="D885" s="41" t="n"/>
      <c r="E885" s="41" t="n"/>
      <c r="F885" s="41" t="n"/>
      <c r="G885" s="41" t="n"/>
    </row>
    <row r="886" ht="15.75" customHeight="1" s="60">
      <c r="A886" s="41" t="n"/>
      <c r="B886" s="41" t="n"/>
      <c r="C886" s="41" t="n"/>
      <c r="D886" s="41" t="n"/>
      <c r="E886" s="41" t="n"/>
      <c r="F886" s="41" t="n"/>
      <c r="G886" s="41" t="n"/>
    </row>
    <row r="887" ht="15.75" customHeight="1" s="60">
      <c r="A887" s="41" t="n"/>
      <c r="B887" s="41" t="n"/>
      <c r="C887" s="41" t="n"/>
      <c r="D887" s="41" t="n"/>
      <c r="E887" s="41" t="n"/>
      <c r="F887" s="41" t="n"/>
      <c r="G887" s="41" t="n"/>
    </row>
    <row r="888" ht="15.75" customHeight="1" s="60">
      <c r="A888" s="41" t="n"/>
      <c r="B888" s="41" t="n"/>
      <c r="C888" s="41" t="n"/>
      <c r="D888" s="41" t="n"/>
      <c r="E888" s="41" t="n"/>
      <c r="F888" s="41" t="n"/>
      <c r="G888" s="41" t="n"/>
    </row>
    <row r="889" ht="15.75" customHeight="1" s="60">
      <c r="A889" s="41" t="n"/>
      <c r="B889" s="41" t="n"/>
      <c r="C889" s="41" t="n"/>
      <c r="D889" s="41" t="n"/>
      <c r="E889" s="41" t="n"/>
      <c r="F889" s="41" t="n"/>
      <c r="G889" s="41" t="n"/>
    </row>
    <row r="890" ht="15.75" customHeight="1" s="60">
      <c r="A890" s="41" t="n"/>
      <c r="B890" s="41" t="n"/>
      <c r="C890" s="41" t="n"/>
      <c r="D890" s="41" t="n"/>
      <c r="E890" s="41" t="n"/>
      <c r="F890" s="41" t="n"/>
      <c r="G890" s="41" t="n"/>
    </row>
    <row r="891" ht="15.75" customHeight="1" s="60">
      <c r="A891" s="41" t="n"/>
      <c r="B891" s="41" t="n"/>
      <c r="C891" s="41" t="n"/>
      <c r="D891" s="41" t="n"/>
      <c r="E891" s="41" t="n"/>
      <c r="F891" s="41" t="n"/>
      <c r="G891" s="41" t="n"/>
    </row>
    <row r="892" ht="15.75" customHeight="1" s="60">
      <c r="A892" s="41" t="n"/>
      <c r="B892" s="41" t="n"/>
      <c r="C892" s="41" t="n"/>
      <c r="D892" s="41" t="n"/>
      <c r="E892" s="41" t="n"/>
      <c r="F892" s="41" t="n"/>
      <c r="G892" s="41" t="n"/>
    </row>
    <row r="893" ht="15.75" customHeight="1" s="60">
      <c r="A893" s="41" t="n"/>
      <c r="B893" s="41" t="n"/>
      <c r="C893" s="41" t="n"/>
      <c r="D893" s="41" t="n"/>
      <c r="E893" s="41" t="n"/>
      <c r="F893" s="41" t="n"/>
      <c r="G893" s="41" t="n"/>
    </row>
    <row r="894" ht="15.75" customHeight="1" s="60">
      <c r="A894" s="41" t="n"/>
      <c r="B894" s="41" t="n"/>
      <c r="C894" s="41" t="n"/>
      <c r="D894" s="41" t="n"/>
      <c r="E894" s="41" t="n"/>
      <c r="F894" s="41" t="n"/>
      <c r="G894" s="41" t="n"/>
    </row>
    <row r="895" ht="15.75" customHeight="1" s="60">
      <c r="A895" s="41" t="n"/>
      <c r="B895" s="41" t="n"/>
      <c r="C895" s="41" t="n"/>
      <c r="D895" s="41" t="n"/>
      <c r="E895" s="41" t="n"/>
      <c r="F895" s="41" t="n"/>
      <c r="G895" s="41" t="n"/>
    </row>
    <row r="896" ht="15.75" customHeight="1" s="60">
      <c r="A896" s="41" t="n"/>
      <c r="B896" s="41" t="n"/>
      <c r="C896" s="41" t="n"/>
      <c r="D896" s="41" t="n"/>
      <c r="E896" s="41" t="n"/>
      <c r="F896" s="41" t="n"/>
      <c r="G896" s="41" t="n"/>
    </row>
    <row r="897" ht="15.75" customHeight="1" s="60">
      <c r="A897" s="41" t="n"/>
      <c r="B897" s="41" t="n"/>
      <c r="C897" s="41" t="n"/>
      <c r="D897" s="41" t="n"/>
      <c r="E897" s="41" t="n"/>
      <c r="F897" s="41" t="n"/>
      <c r="G897" s="41" t="n"/>
    </row>
    <row r="898" ht="15.75" customHeight="1" s="60">
      <c r="A898" s="41" t="n"/>
      <c r="B898" s="41" t="n"/>
      <c r="C898" s="41" t="n"/>
      <c r="D898" s="41" t="n"/>
      <c r="E898" s="41" t="n"/>
      <c r="F898" s="41" t="n"/>
      <c r="G898" s="41" t="n"/>
    </row>
    <row r="899" ht="15.75" customHeight="1" s="60">
      <c r="A899" s="41" t="n"/>
      <c r="B899" s="41" t="n"/>
      <c r="C899" s="41" t="n"/>
      <c r="D899" s="41" t="n"/>
      <c r="E899" s="41" t="n"/>
      <c r="F899" s="41" t="n"/>
      <c r="G899" s="41" t="n"/>
    </row>
    <row r="900" ht="15.75" customHeight="1" s="60">
      <c r="A900" s="41" t="n"/>
      <c r="B900" s="41" t="n"/>
      <c r="C900" s="41" t="n"/>
      <c r="D900" s="41" t="n"/>
      <c r="E900" s="41" t="n"/>
      <c r="F900" s="41" t="n"/>
      <c r="G900" s="41" t="n"/>
    </row>
    <row r="901" ht="15.75" customHeight="1" s="60">
      <c r="A901" s="41" t="n"/>
      <c r="B901" s="41" t="n"/>
      <c r="C901" s="41" t="n"/>
      <c r="D901" s="41" t="n"/>
      <c r="E901" s="41" t="n"/>
      <c r="F901" s="41" t="n"/>
      <c r="G901" s="41" t="n"/>
    </row>
    <row r="902" ht="15.75" customHeight="1" s="60">
      <c r="A902" s="41" t="n"/>
      <c r="B902" s="41" t="n"/>
      <c r="C902" s="41" t="n"/>
      <c r="D902" s="41" t="n"/>
      <c r="E902" s="41" t="n"/>
      <c r="F902" s="41" t="n"/>
      <c r="G902" s="41" t="n"/>
    </row>
    <row r="903" ht="15.75" customHeight="1" s="60">
      <c r="A903" s="41" t="n"/>
      <c r="B903" s="41" t="n"/>
      <c r="C903" s="41" t="n"/>
      <c r="D903" s="41" t="n"/>
      <c r="E903" s="41" t="n"/>
      <c r="F903" s="41" t="n"/>
      <c r="G903" s="41" t="n"/>
    </row>
    <row r="904" ht="15.75" customHeight="1" s="60">
      <c r="A904" s="41" t="n"/>
      <c r="B904" s="41" t="n"/>
      <c r="C904" s="41" t="n"/>
      <c r="D904" s="41" t="n"/>
      <c r="E904" s="41" t="n"/>
      <c r="F904" s="41" t="n"/>
      <c r="G904" s="41" t="n"/>
    </row>
    <row r="905" ht="15.75" customHeight="1" s="60">
      <c r="A905" s="41" t="n"/>
      <c r="B905" s="41" t="n"/>
      <c r="C905" s="41" t="n"/>
      <c r="D905" s="41" t="n"/>
      <c r="E905" s="41" t="n"/>
      <c r="F905" s="41" t="n"/>
      <c r="G905" s="41" t="n"/>
    </row>
    <row r="906" ht="15.75" customHeight="1" s="60">
      <c r="A906" s="41" t="n"/>
      <c r="B906" s="41" t="n"/>
      <c r="C906" s="41" t="n"/>
      <c r="D906" s="41" t="n"/>
      <c r="E906" s="41" t="n"/>
      <c r="F906" s="41" t="n"/>
      <c r="G906" s="41" t="n"/>
    </row>
    <row r="907" ht="15.75" customHeight="1" s="60">
      <c r="A907" s="41" t="n"/>
      <c r="B907" s="41" t="n"/>
      <c r="C907" s="41" t="n"/>
      <c r="D907" s="41" t="n"/>
      <c r="E907" s="41" t="n"/>
      <c r="F907" s="41" t="n"/>
      <c r="G907" s="41" t="n"/>
    </row>
    <row r="908" ht="15.75" customHeight="1" s="60">
      <c r="A908" s="41" t="n"/>
      <c r="B908" s="41" t="n"/>
      <c r="C908" s="41" t="n"/>
      <c r="D908" s="41" t="n"/>
      <c r="E908" s="41" t="n"/>
      <c r="F908" s="41" t="n"/>
      <c r="G908" s="41" t="n"/>
    </row>
    <row r="909" ht="15.75" customHeight="1" s="60">
      <c r="A909" s="41" t="n"/>
      <c r="B909" s="41" t="n"/>
      <c r="C909" s="41" t="n"/>
      <c r="D909" s="41" t="n"/>
      <c r="E909" s="41" t="n"/>
      <c r="F909" s="41" t="n"/>
      <c r="G909" s="41" t="n"/>
    </row>
    <row r="910" ht="15.75" customHeight="1" s="60">
      <c r="A910" s="41" t="n"/>
      <c r="B910" s="41" t="n"/>
      <c r="C910" s="41" t="n"/>
      <c r="D910" s="41" t="n"/>
      <c r="E910" s="41" t="n"/>
      <c r="F910" s="41" t="n"/>
      <c r="G910" s="41" t="n"/>
    </row>
    <row r="911" ht="15.75" customHeight="1" s="60">
      <c r="A911" s="41" t="n"/>
      <c r="B911" s="41" t="n"/>
      <c r="C911" s="41" t="n"/>
      <c r="D911" s="41" t="n"/>
      <c r="E911" s="41" t="n"/>
      <c r="F911" s="41" t="n"/>
      <c r="G911" s="41" t="n"/>
    </row>
    <row r="912" ht="15.75" customHeight="1" s="60">
      <c r="A912" s="41" t="n"/>
      <c r="B912" s="41" t="n"/>
      <c r="C912" s="41" t="n"/>
      <c r="D912" s="41" t="n"/>
      <c r="E912" s="41" t="n"/>
      <c r="F912" s="41" t="n"/>
      <c r="G912" s="41" t="n"/>
    </row>
    <row r="913" ht="15.75" customHeight="1" s="60">
      <c r="A913" s="41" t="n"/>
      <c r="B913" s="41" t="n"/>
      <c r="C913" s="41" t="n"/>
      <c r="D913" s="41" t="n"/>
      <c r="E913" s="41" t="n"/>
      <c r="F913" s="41" t="n"/>
      <c r="G913" s="41" t="n"/>
    </row>
    <row r="914" ht="15.75" customHeight="1" s="60">
      <c r="A914" s="41" t="n"/>
      <c r="B914" s="41" t="n"/>
      <c r="C914" s="41" t="n"/>
      <c r="D914" s="41" t="n"/>
      <c r="E914" s="41" t="n"/>
      <c r="F914" s="41" t="n"/>
      <c r="G914" s="41" t="n"/>
    </row>
    <row r="915" ht="15.75" customHeight="1" s="60">
      <c r="A915" s="41" t="n"/>
      <c r="B915" s="41" t="n"/>
      <c r="C915" s="41" t="n"/>
      <c r="D915" s="41" t="n"/>
      <c r="E915" s="41" t="n"/>
      <c r="F915" s="41" t="n"/>
      <c r="G915" s="41" t="n"/>
    </row>
    <row r="916" ht="15.75" customHeight="1" s="60">
      <c r="A916" s="41" t="n"/>
      <c r="B916" s="41" t="n"/>
      <c r="C916" s="41" t="n"/>
      <c r="D916" s="41" t="n"/>
      <c r="E916" s="41" t="n"/>
      <c r="F916" s="41" t="n"/>
      <c r="G916" s="41" t="n"/>
    </row>
    <row r="917" ht="15.75" customHeight="1" s="60">
      <c r="A917" s="41" t="n"/>
      <c r="B917" s="41" t="n"/>
      <c r="C917" s="41" t="n"/>
      <c r="D917" s="41" t="n"/>
      <c r="E917" s="41" t="n"/>
      <c r="F917" s="41" t="n"/>
      <c r="G917" s="41" t="n"/>
    </row>
    <row r="918" ht="15.75" customHeight="1" s="60">
      <c r="A918" s="41" t="n"/>
      <c r="B918" s="41" t="n"/>
      <c r="C918" s="41" t="n"/>
      <c r="D918" s="41" t="n"/>
      <c r="E918" s="41" t="n"/>
      <c r="F918" s="41" t="n"/>
      <c r="G918" s="41" t="n"/>
    </row>
    <row r="919" ht="15.75" customHeight="1" s="60">
      <c r="A919" s="41" t="n"/>
      <c r="B919" s="41" t="n"/>
      <c r="C919" s="41" t="n"/>
      <c r="D919" s="41" t="n"/>
      <c r="E919" s="41" t="n"/>
      <c r="F919" s="41" t="n"/>
      <c r="G919" s="41" t="n"/>
    </row>
    <row r="920" ht="15.75" customHeight="1" s="60">
      <c r="A920" s="41" t="n"/>
      <c r="B920" s="41" t="n"/>
      <c r="C920" s="41" t="n"/>
      <c r="D920" s="41" t="n"/>
      <c r="E920" s="41" t="n"/>
      <c r="F920" s="41" t="n"/>
      <c r="G920" s="41" t="n"/>
    </row>
    <row r="921" ht="15.75" customHeight="1" s="60">
      <c r="A921" s="41" t="n"/>
      <c r="B921" s="41" t="n"/>
      <c r="C921" s="41" t="n"/>
      <c r="D921" s="41" t="n"/>
      <c r="E921" s="41" t="n"/>
      <c r="F921" s="41" t="n"/>
      <c r="G921" s="41" t="n"/>
    </row>
    <row r="922" ht="15.75" customHeight="1" s="60">
      <c r="A922" s="41" t="n"/>
      <c r="B922" s="41" t="n"/>
      <c r="C922" s="41" t="n"/>
      <c r="D922" s="41" t="n"/>
      <c r="E922" s="41" t="n"/>
      <c r="F922" s="41" t="n"/>
      <c r="G922" s="41" t="n"/>
    </row>
    <row r="923" ht="15.75" customHeight="1" s="60">
      <c r="A923" s="41" t="n"/>
      <c r="B923" s="41" t="n"/>
      <c r="C923" s="41" t="n"/>
      <c r="D923" s="41" t="n"/>
      <c r="E923" s="41" t="n"/>
      <c r="F923" s="41" t="n"/>
      <c r="G923" s="41" t="n"/>
    </row>
    <row r="924" ht="15.75" customHeight="1" s="60">
      <c r="A924" s="41" t="n"/>
      <c r="B924" s="41" t="n"/>
      <c r="C924" s="41" t="n"/>
      <c r="D924" s="41" t="n"/>
      <c r="E924" s="41" t="n"/>
      <c r="F924" s="41" t="n"/>
      <c r="G924" s="41" t="n"/>
    </row>
    <row r="925" ht="15.75" customHeight="1" s="60">
      <c r="A925" s="41" t="n"/>
      <c r="B925" s="41" t="n"/>
      <c r="C925" s="41" t="n"/>
      <c r="D925" s="41" t="n"/>
      <c r="E925" s="41" t="n"/>
      <c r="F925" s="41" t="n"/>
      <c r="G925" s="41" t="n"/>
    </row>
    <row r="926" ht="15.75" customHeight="1" s="60">
      <c r="A926" s="41" t="n"/>
      <c r="B926" s="41" t="n"/>
      <c r="C926" s="41" t="n"/>
      <c r="D926" s="41" t="n"/>
      <c r="E926" s="41" t="n"/>
      <c r="F926" s="41" t="n"/>
      <c r="G926" s="41" t="n"/>
    </row>
    <row r="927" ht="15.75" customHeight="1" s="60">
      <c r="A927" s="41" t="n"/>
      <c r="B927" s="41" t="n"/>
      <c r="C927" s="41" t="n"/>
      <c r="D927" s="41" t="n"/>
      <c r="E927" s="41" t="n"/>
      <c r="F927" s="41" t="n"/>
      <c r="G927" s="41" t="n"/>
    </row>
    <row r="928" ht="15.75" customHeight="1" s="60">
      <c r="A928" s="41" t="n"/>
      <c r="B928" s="41" t="n"/>
      <c r="C928" s="41" t="n"/>
      <c r="D928" s="41" t="n"/>
      <c r="E928" s="41" t="n"/>
      <c r="F928" s="41" t="n"/>
      <c r="G928" s="41" t="n"/>
    </row>
    <row r="929" ht="15.75" customHeight="1" s="60">
      <c r="A929" s="41" t="n"/>
      <c r="B929" s="41" t="n"/>
      <c r="C929" s="41" t="n"/>
      <c r="D929" s="41" t="n"/>
      <c r="E929" s="41" t="n"/>
      <c r="F929" s="41" t="n"/>
      <c r="G929" s="41" t="n"/>
    </row>
    <row r="930" ht="15.75" customHeight="1" s="60">
      <c r="A930" s="41" t="n"/>
      <c r="B930" s="41" t="n"/>
      <c r="C930" s="41" t="n"/>
      <c r="D930" s="41" t="n"/>
      <c r="E930" s="41" t="n"/>
      <c r="F930" s="41" t="n"/>
      <c r="G930" s="41" t="n"/>
    </row>
    <row r="931" ht="15.75" customHeight="1" s="60">
      <c r="A931" s="41" t="n"/>
      <c r="B931" s="41" t="n"/>
      <c r="C931" s="41" t="n"/>
      <c r="D931" s="41" t="n"/>
      <c r="E931" s="41" t="n"/>
      <c r="F931" s="41" t="n"/>
      <c r="G931" s="41" t="n"/>
    </row>
    <row r="932" ht="15.75" customHeight="1" s="60">
      <c r="A932" s="41" t="n"/>
      <c r="B932" s="41" t="n"/>
      <c r="C932" s="41" t="n"/>
      <c r="D932" s="41" t="n"/>
      <c r="E932" s="41" t="n"/>
      <c r="F932" s="41" t="n"/>
      <c r="G932" s="41" t="n"/>
    </row>
    <row r="933" ht="15.75" customHeight="1" s="60">
      <c r="A933" s="41" t="n"/>
      <c r="B933" s="41" t="n"/>
      <c r="C933" s="41" t="n"/>
      <c r="D933" s="41" t="n"/>
      <c r="E933" s="41" t="n"/>
      <c r="F933" s="41" t="n"/>
      <c r="G933" s="41" t="n"/>
    </row>
    <row r="934" ht="15.75" customHeight="1" s="60">
      <c r="A934" s="41" t="n"/>
      <c r="B934" s="41" t="n"/>
      <c r="C934" s="41" t="n"/>
      <c r="D934" s="41" t="n"/>
      <c r="E934" s="41" t="n"/>
      <c r="F934" s="41" t="n"/>
      <c r="G934" s="41" t="n"/>
    </row>
    <row r="935" ht="15.75" customHeight="1" s="60">
      <c r="A935" s="41" t="n"/>
      <c r="B935" s="41" t="n"/>
      <c r="C935" s="41" t="n"/>
      <c r="D935" s="41" t="n"/>
      <c r="E935" s="41" t="n"/>
      <c r="F935" s="41" t="n"/>
      <c r="G935" s="41" t="n"/>
    </row>
    <row r="936" ht="15.75" customHeight="1" s="60">
      <c r="A936" s="41" t="n"/>
      <c r="B936" s="41" t="n"/>
      <c r="C936" s="41" t="n"/>
      <c r="D936" s="41" t="n"/>
      <c r="E936" s="41" t="n"/>
      <c r="F936" s="41" t="n"/>
      <c r="G936" s="41" t="n"/>
    </row>
    <row r="937" ht="15.75" customHeight="1" s="60">
      <c r="A937" s="41" t="n"/>
      <c r="B937" s="41" t="n"/>
      <c r="C937" s="41" t="n"/>
      <c r="D937" s="41" t="n"/>
      <c r="E937" s="41" t="n"/>
      <c r="F937" s="41" t="n"/>
      <c r="G937" s="41" t="n"/>
    </row>
    <row r="938" ht="15.75" customHeight="1" s="60">
      <c r="A938" s="41" t="n"/>
      <c r="B938" s="41" t="n"/>
      <c r="C938" s="41" t="n"/>
      <c r="D938" s="41" t="n"/>
      <c r="E938" s="41" t="n"/>
      <c r="F938" s="41" t="n"/>
      <c r="G938" s="41" t="n"/>
    </row>
    <row r="939" ht="15.75" customHeight="1" s="60">
      <c r="A939" s="41" t="n"/>
      <c r="B939" s="41" t="n"/>
      <c r="C939" s="41" t="n"/>
      <c r="D939" s="41" t="n"/>
      <c r="E939" s="41" t="n"/>
      <c r="F939" s="41" t="n"/>
      <c r="G939" s="41" t="n"/>
    </row>
    <row r="940" ht="15.75" customHeight="1" s="60">
      <c r="A940" s="41" t="n"/>
      <c r="B940" s="41" t="n"/>
      <c r="C940" s="41" t="n"/>
      <c r="D940" s="41" t="n"/>
      <c r="E940" s="41" t="n"/>
      <c r="F940" s="41" t="n"/>
      <c r="G940" s="41" t="n"/>
    </row>
    <row r="941" ht="15.75" customHeight="1" s="60">
      <c r="A941" s="41" t="n"/>
      <c r="B941" s="41" t="n"/>
      <c r="C941" s="41" t="n"/>
      <c r="D941" s="41" t="n"/>
      <c r="E941" s="41" t="n"/>
      <c r="F941" s="41" t="n"/>
      <c r="G941" s="41" t="n"/>
    </row>
    <row r="942" ht="15.75" customHeight="1" s="60">
      <c r="A942" s="41" t="n"/>
      <c r="B942" s="41" t="n"/>
      <c r="C942" s="41" t="n"/>
      <c r="D942" s="41" t="n"/>
      <c r="E942" s="41" t="n"/>
      <c r="F942" s="41" t="n"/>
      <c r="G942" s="41" t="n"/>
    </row>
    <row r="943" ht="15.75" customHeight="1" s="60">
      <c r="A943" s="41" t="n"/>
      <c r="B943" s="41" t="n"/>
      <c r="C943" s="41" t="n"/>
      <c r="D943" s="41" t="n"/>
      <c r="E943" s="41" t="n"/>
      <c r="F943" s="41" t="n"/>
      <c r="G943" s="41" t="n"/>
    </row>
    <row r="944" ht="15.75" customHeight="1" s="60">
      <c r="A944" s="41" t="n"/>
      <c r="B944" s="41" t="n"/>
      <c r="C944" s="41" t="n"/>
      <c r="D944" s="41" t="n"/>
      <c r="E944" s="41" t="n"/>
      <c r="F944" s="41" t="n"/>
      <c r="G944" s="41" t="n"/>
    </row>
    <row r="945" ht="15.75" customHeight="1" s="60">
      <c r="A945" s="41" t="n"/>
      <c r="B945" s="41" t="n"/>
      <c r="C945" s="41" t="n"/>
      <c r="D945" s="41" t="n"/>
      <c r="E945" s="41" t="n"/>
      <c r="F945" s="41" t="n"/>
      <c r="G945" s="41" t="n"/>
    </row>
    <row r="946" ht="15.75" customHeight="1" s="60">
      <c r="A946" s="41" t="n"/>
      <c r="B946" s="41" t="n"/>
      <c r="C946" s="41" t="n"/>
      <c r="D946" s="41" t="n"/>
      <c r="E946" s="41" t="n"/>
      <c r="F946" s="41" t="n"/>
      <c r="G946" s="41" t="n"/>
    </row>
    <row r="947" ht="15.75" customHeight="1" s="60">
      <c r="A947" s="41" t="n"/>
      <c r="B947" s="41" t="n"/>
      <c r="C947" s="41" t="n"/>
      <c r="D947" s="41" t="n"/>
      <c r="E947" s="41" t="n"/>
      <c r="F947" s="41" t="n"/>
      <c r="G947" s="41" t="n"/>
    </row>
    <row r="948" ht="15.75" customHeight="1" s="60">
      <c r="A948" s="41" t="n"/>
      <c r="B948" s="41" t="n"/>
      <c r="C948" s="41" t="n"/>
      <c r="D948" s="41" t="n"/>
      <c r="E948" s="41" t="n"/>
      <c r="F948" s="41" t="n"/>
      <c r="G948" s="41" t="n"/>
    </row>
    <row r="949" ht="15.75" customHeight="1" s="60">
      <c r="A949" s="41" t="n"/>
      <c r="B949" s="41" t="n"/>
      <c r="C949" s="41" t="n"/>
      <c r="D949" s="41" t="n"/>
      <c r="E949" s="41" t="n"/>
      <c r="F949" s="41" t="n"/>
      <c r="G949" s="41" t="n"/>
    </row>
    <row r="950" ht="15.75" customHeight="1" s="60">
      <c r="A950" s="41" t="n"/>
      <c r="B950" s="41" t="n"/>
      <c r="C950" s="41" t="n"/>
      <c r="D950" s="41" t="n"/>
      <c r="E950" s="41" t="n"/>
      <c r="F950" s="41" t="n"/>
      <c r="G950" s="41" t="n"/>
    </row>
    <row r="951" ht="15.75" customHeight="1" s="60">
      <c r="A951" s="41" t="n"/>
      <c r="B951" s="41" t="n"/>
      <c r="C951" s="41" t="n"/>
      <c r="D951" s="41" t="n"/>
      <c r="E951" s="41" t="n"/>
      <c r="F951" s="41" t="n"/>
      <c r="G951" s="41" t="n"/>
    </row>
    <row r="952" ht="15.75" customHeight="1" s="60">
      <c r="A952" s="41" t="n"/>
      <c r="B952" s="41" t="n"/>
      <c r="C952" s="41" t="n"/>
      <c r="D952" s="41" t="n"/>
      <c r="E952" s="41" t="n"/>
      <c r="F952" s="41" t="n"/>
      <c r="G952" s="41" t="n"/>
    </row>
    <row r="953" ht="15.75" customHeight="1" s="60">
      <c r="A953" s="41" t="n"/>
      <c r="B953" s="41" t="n"/>
      <c r="C953" s="41" t="n"/>
      <c r="D953" s="41" t="n"/>
      <c r="E953" s="41" t="n"/>
      <c r="F953" s="41" t="n"/>
      <c r="G953" s="41" t="n"/>
    </row>
    <row r="954" ht="15.75" customHeight="1" s="60">
      <c r="A954" s="41" t="n"/>
      <c r="B954" s="41" t="n"/>
      <c r="C954" s="41" t="n"/>
      <c r="D954" s="41" t="n"/>
      <c r="E954" s="41" t="n"/>
      <c r="F954" s="41" t="n"/>
      <c r="G954" s="41" t="n"/>
    </row>
    <row r="955" ht="15.75" customHeight="1" s="60">
      <c r="A955" s="41" t="n"/>
      <c r="B955" s="41" t="n"/>
      <c r="C955" s="41" t="n"/>
      <c r="D955" s="41" t="n"/>
      <c r="E955" s="41" t="n"/>
      <c r="F955" s="41" t="n"/>
      <c r="G955" s="41" t="n"/>
    </row>
    <row r="956" ht="15.75" customHeight="1" s="60">
      <c r="A956" s="41" t="n"/>
      <c r="B956" s="41" t="n"/>
      <c r="C956" s="41" t="n"/>
      <c r="D956" s="41" t="n"/>
      <c r="E956" s="41" t="n"/>
      <c r="F956" s="41" t="n"/>
      <c r="G956" s="41" t="n"/>
    </row>
    <row r="957" ht="15.75" customHeight="1" s="60">
      <c r="A957" s="41" t="n"/>
      <c r="B957" s="41" t="n"/>
      <c r="C957" s="41" t="n"/>
      <c r="D957" s="41" t="n"/>
      <c r="E957" s="41" t="n"/>
      <c r="F957" s="41" t="n"/>
      <c r="G957" s="41" t="n"/>
    </row>
    <row r="958" ht="15.75" customHeight="1" s="60">
      <c r="A958" s="41" t="n"/>
      <c r="B958" s="41" t="n"/>
      <c r="C958" s="41" t="n"/>
      <c r="D958" s="41" t="n"/>
      <c r="E958" s="41" t="n"/>
      <c r="F958" s="41" t="n"/>
      <c r="G958" s="41" t="n"/>
    </row>
    <row r="959" ht="15.75" customHeight="1" s="60">
      <c r="A959" s="41" t="n"/>
      <c r="B959" s="41" t="n"/>
      <c r="C959" s="41" t="n"/>
      <c r="D959" s="41" t="n"/>
      <c r="E959" s="41" t="n"/>
      <c r="F959" s="41" t="n"/>
      <c r="G959" s="41" t="n"/>
    </row>
    <row r="960" ht="15.75" customHeight="1" s="60">
      <c r="A960" s="41" t="n"/>
      <c r="B960" s="41" t="n"/>
      <c r="C960" s="41" t="n"/>
      <c r="D960" s="41" t="n"/>
      <c r="E960" s="41" t="n"/>
      <c r="F960" s="41" t="n"/>
      <c r="G960" s="41" t="n"/>
    </row>
    <row r="961" ht="15.75" customHeight="1" s="60">
      <c r="A961" s="41" t="n"/>
      <c r="B961" s="41" t="n"/>
      <c r="C961" s="41" t="n"/>
      <c r="D961" s="41" t="n"/>
      <c r="E961" s="41" t="n"/>
      <c r="F961" s="41" t="n"/>
      <c r="G961" s="41" t="n"/>
    </row>
    <row r="962" ht="15.75" customHeight="1" s="60">
      <c r="A962" s="41" t="n"/>
      <c r="B962" s="41" t="n"/>
      <c r="C962" s="41" t="n"/>
      <c r="D962" s="41" t="n"/>
      <c r="E962" s="41" t="n"/>
      <c r="F962" s="41" t="n"/>
      <c r="G962" s="41" t="n"/>
    </row>
    <row r="963" ht="15.75" customHeight="1" s="60">
      <c r="A963" s="41" t="n"/>
      <c r="B963" s="41" t="n"/>
      <c r="C963" s="41" t="n"/>
      <c r="D963" s="41" t="n"/>
      <c r="E963" s="41" t="n"/>
      <c r="F963" s="41" t="n"/>
      <c r="G963" s="41" t="n"/>
    </row>
    <row r="964" ht="15.75" customHeight="1" s="60">
      <c r="A964" s="41" t="n"/>
      <c r="B964" s="41" t="n"/>
      <c r="C964" s="41" t="n"/>
      <c r="D964" s="41" t="n"/>
      <c r="E964" s="41" t="n"/>
      <c r="F964" s="41" t="n"/>
      <c r="G964" s="41" t="n"/>
    </row>
    <row r="965" ht="15.75" customHeight="1" s="60">
      <c r="A965" s="41" t="n"/>
      <c r="B965" s="41" t="n"/>
      <c r="C965" s="41" t="n"/>
      <c r="D965" s="41" t="n"/>
      <c r="E965" s="41" t="n"/>
      <c r="F965" s="41" t="n"/>
      <c r="G965" s="41" t="n"/>
    </row>
    <row r="966" ht="15.75" customHeight="1" s="60">
      <c r="A966" s="41" t="n"/>
      <c r="B966" s="41" t="n"/>
      <c r="C966" s="41" t="n"/>
      <c r="D966" s="41" t="n"/>
      <c r="E966" s="41" t="n"/>
      <c r="F966" s="41" t="n"/>
      <c r="G966" s="41" t="n"/>
    </row>
    <row r="967" ht="15.75" customHeight="1" s="60">
      <c r="A967" s="41" t="n"/>
      <c r="B967" s="41" t="n"/>
      <c r="C967" s="41" t="n"/>
      <c r="D967" s="41" t="n"/>
      <c r="E967" s="41" t="n"/>
      <c r="F967" s="41" t="n"/>
      <c r="G967" s="41" t="n"/>
    </row>
    <row r="968" ht="15.75" customHeight="1" s="60">
      <c r="A968" s="41" t="n"/>
      <c r="B968" s="41" t="n"/>
      <c r="C968" s="41" t="n"/>
      <c r="D968" s="41" t="n"/>
      <c r="E968" s="41" t="n"/>
      <c r="F968" s="41" t="n"/>
      <c r="G968" s="41" t="n"/>
    </row>
    <row r="969" ht="15.75" customHeight="1" s="60">
      <c r="A969" s="41" t="n"/>
      <c r="B969" s="41" t="n"/>
      <c r="C969" s="41" t="n"/>
      <c r="D969" s="41" t="n"/>
      <c r="E969" s="41" t="n"/>
      <c r="F969" s="41" t="n"/>
      <c r="G969" s="41" t="n"/>
    </row>
    <row r="970" ht="15.75" customHeight="1" s="60">
      <c r="A970" s="41" t="n"/>
      <c r="B970" s="41" t="n"/>
      <c r="C970" s="41" t="n"/>
      <c r="D970" s="41" t="n"/>
      <c r="E970" s="41" t="n"/>
      <c r="F970" s="41" t="n"/>
      <c r="G970" s="41" t="n"/>
    </row>
    <row r="971" ht="15.75" customHeight="1" s="60">
      <c r="A971" s="41" t="n"/>
      <c r="B971" s="41" t="n"/>
      <c r="C971" s="41" t="n"/>
      <c r="D971" s="41" t="n"/>
      <c r="E971" s="41" t="n"/>
      <c r="F971" s="41" t="n"/>
      <c r="G971" s="41" t="n"/>
    </row>
    <row r="972" ht="15.75" customHeight="1" s="60">
      <c r="A972" s="41" t="n"/>
      <c r="B972" s="41" t="n"/>
      <c r="C972" s="41" t="n"/>
      <c r="D972" s="41" t="n"/>
      <c r="E972" s="41" t="n"/>
      <c r="F972" s="41" t="n"/>
      <c r="G972" s="41" t="n"/>
    </row>
    <row r="973" ht="15.75" customHeight="1" s="60">
      <c r="A973" s="41" t="n"/>
      <c r="B973" s="41" t="n"/>
      <c r="C973" s="41" t="n"/>
      <c r="D973" s="41" t="n"/>
      <c r="E973" s="41" t="n"/>
      <c r="F973" s="41" t="n"/>
      <c r="G973" s="41" t="n"/>
    </row>
    <row r="974" ht="15.75" customHeight="1" s="60">
      <c r="A974" s="41" t="n"/>
      <c r="B974" s="41" t="n"/>
      <c r="C974" s="41" t="n"/>
      <c r="D974" s="41" t="n"/>
      <c r="E974" s="41" t="n"/>
      <c r="F974" s="41" t="n"/>
      <c r="G974" s="41" t="n"/>
    </row>
    <row r="975" ht="15.75" customHeight="1" s="60">
      <c r="A975" s="41" t="n"/>
      <c r="B975" s="41" t="n"/>
      <c r="C975" s="41" t="n"/>
      <c r="D975" s="41" t="n"/>
      <c r="E975" s="41" t="n"/>
      <c r="F975" s="41" t="n"/>
      <c r="G975" s="41" t="n"/>
    </row>
    <row r="976" ht="15.75" customHeight="1" s="60">
      <c r="A976" s="41" t="n"/>
      <c r="B976" s="41" t="n"/>
      <c r="C976" s="41" t="n"/>
      <c r="D976" s="41" t="n"/>
      <c r="E976" s="41" t="n"/>
      <c r="F976" s="41" t="n"/>
      <c r="G976" s="41" t="n"/>
    </row>
    <row r="977" ht="15.75" customHeight="1" s="60">
      <c r="A977" s="41" t="n"/>
      <c r="B977" s="41" t="n"/>
      <c r="C977" s="41" t="n"/>
      <c r="D977" s="41" t="n"/>
      <c r="E977" s="41" t="n"/>
      <c r="F977" s="41" t="n"/>
      <c r="G977" s="41" t="n"/>
    </row>
    <row r="978" ht="15.75" customHeight="1" s="60">
      <c r="A978" s="41" t="n"/>
      <c r="B978" s="41" t="n"/>
      <c r="C978" s="41" t="n"/>
      <c r="D978" s="41" t="n"/>
      <c r="E978" s="41" t="n"/>
      <c r="F978" s="41" t="n"/>
      <c r="G978" s="41" t="n"/>
    </row>
    <row r="979" ht="15.75" customHeight="1" s="60">
      <c r="A979" s="41" t="n"/>
      <c r="B979" s="41" t="n"/>
      <c r="C979" s="41" t="n"/>
      <c r="D979" s="41" t="n"/>
      <c r="E979" s="41" t="n"/>
      <c r="F979" s="41" t="n"/>
      <c r="G979" s="41" t="n"/>
    </row>
    <row r="980" ht="15.75" customHeight="1" s="60">
      <c r="A980" s="41" t="n"/>
      <c r="B980" s="41" t="n"/>
      <c r="C980" s="41" t="n"/>
      <c r="D980" s="41" t="n"/>
      <c r="E980" s="41" t="n"/>
      <c r="F980" s="41" t="n"/>
      <c r="G980" s="41" t="n"/>
    </row>
    <row r="981" ht="15.75" customHeight="1" s="60">
      <c r="A981" s="41" t="n"/>
      <c r="B981" s="41" t="n"/>
      <c r="C981" s="41" t="n"/>
      <c r="D981" s="41" t="n"/>
      <c r="E981" s="41" t="n"/>
      <c r="F981" s="41" t="n"/>
      <c r="G981" s="41" t="n"/>
    </row>
    <row r="982" ht="15.75" customHeight="1" s="60">
      <c r="A982" s="41" t="n"/>
      <c r="B982" s="41" t="n"/>
      <c r="C982" s="41" t="n"/>
      <c r="D982" s="41" t="n"/>
      <c r="E982" s="41" t="n"/>
      <c r="F982" s="41" t="n"/>
      <c r="G982" s="41" t="n"/>
    </row>
    <row r="983" ht="15.75" customHeight="1" s="60">
      <c r="A983" s="41" t="n"/>
      <c r="B983" s="41" t="n"/>
      <c r="C983" s="41" t="n"/>
      <c r="D983" s="41" t="n"/>
      <c r="E983" s="41" t="n"/>
      <c r="F983" s="41" t="n"/>
      <c r="G983" s="41" t="n"/>
    </row>
    <row r="984" ht="15.75" customHeight="1" s="60">
      <c r="A984" s="41" t="n"/>
      <c r="B984" s="41" t="n"/>
      <c r="C984" s="41" t="n"/>
      <c r="D984" s="41" t="n"/>
      <c r="E984" s="41" t="n"/>
      <c r="F984" s="41" t="n"/>
      <c r="G984" s="41" t="n"/>
    </row>
    <row r="985" ht="15.75" customHeight="1" s="60">
      <c r="A985" s="41" t="n"/>
      <c r="B985" s="41" t="n"/>
      <c r="C985" s="41" t="n"/>
      <c r="D985" s="41" t="n"/>
      <c r="E985" s="41" t="n"/>
      <c r="F985" s="41" t="n"/>
      <c r="G985" s="41" t="n"/>
    </row>
    <row r="986" ht="15.75" customHeight="1" s="60">
      <c r="A986" s="41" t="n"/>
      <c r="B986" s="41" t="n"/>
      <c r="C986" s="41" t="n"/>
      <c r="D986" s="41" t="n"/>
      <c r="E986" s="41" t="n"/>
      <c r="F986" s="41" t="n"/>
      <c r="G986" s="41" t="n"/>
    </row>
    <row r="987" ht="15.75" customHeight="1" s="60">
      <c r="A987" s="41" t="n"/>
      <c r="B987" s="41" t="n"/>
      <c r="C987" s="41" t="n"/>
      <c r="D987" s="41" t="n"/>
      <c r="E987" s="41" t="n"/>
      <c r="F987" s="41" t="n"/>
      <c r="G987" s="41" t="n"/>
    </row>
    <row r="988" ht="15.75" customHeight="1" s="60">
      <c r="A988" s="41" t="n"/>
      <c r="B988" s="41" t="n"/>
      <c r="C988" s="41" t="n"/>
      <c r="D988" s="41" t="n"/>
      <c r="E988" s="41" t="n"/>
      <c r="F988" s="41" t="n"/>
      <c r="G988" s="41" t="n"/>
    </row>
    <row r="989" ht="15.75" customHeight="1" s="60">
      <c r="A989" s="41" t="n"/>
      <c r="B989" s="41" t="n"/>
      <c r="C989" s="41" t="n"/>
      <c r="D989" s="41" t="n"/>
      <c r="E989" s="41" t="n"/>
      <c r="F989" s="41" t="n"/>
      <c r="G989" s="41" t="n"/>
    </row>
    <row r="990" ht="15.75" customHeight="1" s="60">
      <c r="A990" s="41" t="n"/>
      <c r="B990" s="41" t="n"/>
      <c r="C990" s="41" t="n"/>
      <c r="D990" s="41" t="n"/>
      <c r="E990" s="41" t="n"/>
      <c r="F990" s="41" t="n"/>
      <c r="G990" s="41" t="n"/>
    </row>
    <row r="991" ht="15.75" customHeight="1" s="60">
      <c r="A991" s="41" t="n"/>
      <c r="B991" s="41" t="n"/>
      <c r="C991" s="41" t="n"/>
      <c r="D991" s="41" t="n"/>
      <c r="E991" s="41" t="n"/>
      <c r="F991" s="41" t="n"/>
      <c r="G991" s="41" t="n"/>
    </row>
    <row r="992" ht="15.75" customHeight="1" s="60">
      <c r="A992" s="41" t="n"/>
      <c r="B992" s="41" t="n"/>
      <c r="C992" s="41" t="n"/>
      <c r="D992" s="41" t="n"/>
      <c r="E992" s="41" t="n"/>
      <c r="F992" s="41" t="n"/>
      <c r="G992" s="41" t="n"/>
    </row>
    <row r="993" ht="15.75" customHeight="1" s="60">
      <c r="A993" s="41" t="n"/>
      <c r="B993" s="41" t="n"/>
      <c r="C993" s="41" t="n"/>
      <c r="D993" s="41" t="n"/>
      <c r="E993" s="41" t="n"/>
      <c r="F993" s="41" t="n"/>
      <c r="G993" s="41" t="n"/>
    </row>
    <row r="994" ht="15.75" customHeight="1" s="60">
      <c r="A994" s="41" t="n"/>
      <c r="B994" s="41" t="n"/>
      <c r="C994" s="41" t="n"/>
      <c r="D994" s="41" t="n"/>
      <c r="E994" s="41" t="n"/>
      <c r="F994" s="41" t="n"/>
      <c r="G994" s="41" t="n"/>
    </row>
    <row r="995" ht="15.75" customHeight="1" s="60">
      <c r="A995" s="41" t="n"/>
      <c r="B995" s="41" t="n"/>
      <c r="C995" s="41" t="n"/>
      <c r="D995" s="41" t="n"/>
      <c r="E995" s="41" t="n"/>
      <c r="F995" s="41" t="n"/>
      <c r="G995" s="41" t="n"/>
    </row>
    <row r="996" ht="15.75" customHeight="1" s="60">
      <c r="A996" s="41" t="n"/>
      <c r="B996" s="41" t="n"/>
      <c r="C996" s="41" t="n"/>
      <c r="D996" s="41" t="n"/>
      <c r="E996" s="41" t="n"/>
      <c r="F996" s="41" t="n"/>
      <c r="G996" s="41" t="n"/>
    </row>
    <row r="997" ht="15.75" customHeight="1" s="60">
      <c r="A997" s="41" t="n"/>
      <c r="B997" s="41" t="n"/>
      <c r="C997" s="41" t="n"/>
      <c r="D997" s="41" t="n"/>
      <c r="E997" s="41" t="n"/>
      <c r="F997" s="41" t="n"/>
      <c r="G997" s="41" t="n"/>
    </row>
    <row r="998" ht="15.75" customHeight="1" s="60">
      <c r="A998" s="41" t="n"/>
      <c r="B998" s="41" t="n"/>
      <c r="C998" s="41" t="n"/>
      <c r="D998" s="41" t="n"/>
      <c r="E998" s="41" t="n"/>
      <c r="F998" s="41" t="n"/>
      <c r="G998" s="41" t="n"/>
    </row>
    <row r="999" ht="15.75" customHeight="1" s="60">
      <c r="A999" s="41" t="n"/>
      <c r="B999" s="41" t="n"/>
      <c r="C999" s="41" t="n"/>
      <c r="D999" s="41" t="n"/>
      <c r="E999" s="41" t="n"/>
      <c r="F999" s="41" t="n"/>
      <c r="G999" s="41" t="n"/>
    </row>
    <row r="1000" ht="15.75" customHeight="1" s="60">
      <c r="A1000" s="41" t="n"/>
      <c r="B1000" s="41" t="n"/>
      <c r="C1000" s="41" t="n"/>
      <c r="D1000" s="41" t="n"/>
      <c r="E1000" s="41" t="n"/>
      <c r="F1000" s="41" t="n"/>
      <c r="G1000" s="41" t="n"/>
    </row>
  </sheetData>
  <pageMargins left="0.75" right="0.75" top="1" bottom="1" header="0" footer="0"/>
  <pageSetup orientation="portrait" paperSize="9"/>
</worksheet>
</file>

<file path=xl/worksheets/sheet9.xml><?xml version="1.0" encoding="utf-8"?>
<worksheet xmlns="http://schemas.openxmlformats.org/spreadsheetml/2006/main">
  <sheetPr>
    <outlinePr summaryBelow="0" summaryRight="0"/>
    <pageSetUpPr/>
  </sheetPr>
  <dimension ref="A1:G2"/>
  <sheetViews>
    <sheetView workbookViewId="0">
      <selection activeCell="A1" sqref="A1"/>
    </sheetView>
  </sheetViews>
  <sheetFormatPr baseColWidth="8" defaultColWidth="14.43" defaultRowHeight="15" customHeight="1"/>
  <sheetData>
    <row r="1">
      <c r="A1" s="42" t="inlineStr">
        <is>
          <t>Tarikh &amp; Masa</t>
        </is>
      </c>
      <c r="B1" s="42" t="inlineStr">
        <is>
          <t>Pengguna</t>
        </is>
      </c>
      <c r="C1" s="42" t="inlineStr">
        <is>
          <t>Helaian</t>
        </is>
      </c>
      <c r="D1" s="42" t="inlineStr">
        <is>
          <t>Sel</t>
        </is>
      </c>
      <c r="E1" s="42" t="inlineStr">
        <is>
          <t>Nilai Lama</t>
        </is>
      </c>
      <c r="F1" s="42" t="inlineStr">
        <is>
          <t>Nilai Baharu</t>
        </is>
      </c>
      <c r="G1" s="42" t="inlineStr">
        <is>
          <t>Sebab</t>
        </is>
      </c>
    </row>
    <row r="2">
      <c r="A2" s="43" t="n">
        <v>46280.00340258102</v>
      </c>
      <c r="B2" s="44" t="inlineStr">
        <is>
          <t>reysourcez.ent@gmail.com</t>
        </is>
      </c>
      <c r="C2" s="44" t="inlineStr">
        <is>
          <t>Baris_Transaksi</t>
        </is>
      </c>
      <c r="D2" s="44" t="inlineStr">
        <is>
          <t>E5</t>
        </is>
      </c>
      <c r="E2" s="44" t="n">
        <v>0</v>
      </c>
      <c r="F2" s="44" t="n">
        <v>13123</v>
      </c>
      <c r="G2" s="44" t="inlineStr">
        <is>
          <t>salah taip jumlah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00"/>
  <sheetViews>
    <sheetView workbookViewId="0">
      <pane ySplit="4" topLeftCell="A5" activePane="bottomLeft" state="frozen"/>
      <selection pane="bottomLeft" activeCell="B6" sqref="B6"/>
    </sheetView>
  </sheetViews>
  <sheetFormatPr baseColWidth="8" defaultColWidth="14.43" defaultRowHeight="15" customHeight="1"/>
  <cols>
    <col width="10" customWidth="1" style="60" min="1" max="1"/>
    <col width="34" customWidth="1" style="60" min="2" max="2"/>
    <col width="14" customWidth="1" style="60" min="3" max="3"/>
    <col width="15" customWidth="1" style="60" min="4" max="7"/>
    <col width="18" customWidth="1" style="60" min="8" max="8"/>
    <col width="8.710000000000001" customWidth="1" style="60" min="9" max="26"/>
  </cols>
  <sheetData>
    <row r="1" ht="17.25" customHeight="1" s="60">
      <c r="A1" s="1" t="inlineStr">
        <is>
          <t>IMBANGAN DUGA (TRIAL BALANCE)</t>
        </is>
      </c>
      <c r="B1" s="41" t="n"/>
      <c r="C1" s="41" t="n"/>
      <c r="D1" s="41" t="n"/>
      <c r="E1" s="41" t="n"/>
      <c r="F1" s="41" t="n"/>
      <c r="G1" s="41" t="n"/>
      <c r="H1" s="41" t="n"/>
    </row>
    <row r="2" ht="15" customHeight="1" s="60">
      <c r="A2" s="5" t="inlineStr">
        <is>
          <t>Formula pra-isi sampai baris 150 supaya akaun baharu (Tambah Akaun) automatik terpakai tanpa ubah julat.</t>
        </is>
      </c>
      <c r="B2" s="41" t="n"/>
      <c r="C2" s="41" t="n"/>
      <c r="D2" s="41" t="n"/>
      <c r="E2" s="41" t="n"/>
      <c r="F2" s="41" t="n"/>
      <c r="G2" s="41" t="n"/>
      <c r="H2" s="41" t="n"/>
    </row>
    <row r="3">
      <c r="A3" s="41" t="n"/>
      <c r="B3" s="41" t="n"/>
      <c r="C3" s="41" t="n"/>
      <c r="D3" s="41" t="n"/>
      <c r="E3" s="41" t="n"/>
      <c r="F3" s="41" t="n"/>
      <c r="G3" s="41" t="n"/>
      <c r="H3" s="41" t="n"/>
    </row>
    <row r="4" ht="25.5" customHeight="1" s="60">
      <c r="A4" s="7" t="inlineStr">
        <is>
          <t>Kod Akaun</t>
        </is>
      </c>
      <c r="B4" s="7" t="inlineStr">
        <is>
          <t>Nama Akaun</t>
        </is>
      </c>
      <c r="C4" s="7" t="inlineStr">
        <is>
          <t>Jenis</t>
        </is>
      </c>
      <c r="D4" s="7" t="inlineStr">
        <is>
          <t>Jumlah Debit</t>
        </is>
      </c>
      <c r="E4" s="7" t="inlineStr">
        <is>
          <t>Jumlah Kredit</t>
        </is>
      </c>
      <c r="F4" s="7" t="inlineStr">
        <is>
          <t>Baki Debit</t>
        </is>
      </c>
      <c r="G4" s="7" t="inlineStr">
        <is>
          <t>Baki Kredit</t>
        </is>
      </c>
      <c r="H4" s="7" t="inlineStr">
        <is>
          <t>Baki Bersih (bertanda)</t>
        </is>
      </c>
    </row>
    <row r="5" ht="15" customHeight="1" s="60">
      <c r="A5" s="12">
        <f>Akaun!A5</f>
        <v/>
      </c>
      <c r="B5" s="38">
        <f>Akaun!C5</f>
        <v/>
      </c>
      <c r="C5" s="38">
        <f>Akaun!D5</f>
        <v/>
      </c>
      <c r="D5" s="40">
        <f>SUMIF(Baris_Transaksi!$C$5:$C$500,A5,Baris_Transaksi!$D$5:$D$500)</f>
        <v/>
      </c>
      <c r="E5" s="40">
        <f>SUMIF(Baris_Transaksi!$C$5:$C$500,A5,Baris_Transaksi!$E$5:$E$500)</f>
        <v/>
      </c>
      <c r="F5" s="40">
        <f>IF(D5-E5&gt;0,D5-E5,0)</f>
        <v/>
      </c>
      <c r="G5" s="40">
        <f>IF(E5-D5&gt;0,E5-D5,0)</f>
        <v/>
      </c>
      <c r="H5" s="40">
        <f>IF(OR(C5="Aset",C5="Perbelanjaan"),D5-E5,E5-D5)</f>
        <v/>
      </c>
    </row>
    <row r="6" ht="15" customHeight="1" s="60">
      <c r="A6" s="12">
        <f>Akaun!A6</f>
        <v/>
      </c>
      <c r="B6" s="38">
        <f>Akaun!C6</f>
        <v/>
      </c>
      <c r="C6" s="38">
        <f>Akaun!D6</f>
        <v/>
      </c>
      <c r="D6" s="40">
        <f>SUMIF(Baris_Transaksi!$C$5:$C$500,A6,Baris_Transaksi!$D$5:$D$500)</f>
        <v/>
      </c>
      <c r="E6" s="40">
        <f>SUMIF(Baris_Transaksi!$C$5:$C$500,A6,Baris_Transaksi!$E$5:$E$500)</f>
        <v/>
      </c>
      <c r="F6" s="40">
        <f>IF(D6-E6&gt;0,D6-E6,0)</f>
        <v/>
      </c>
      <c r="G6" s="40">
        <f>IF(E6-D6&gt;0,E6-D6,0)</f>
        <v/>
      </c>
      <c r="H6" s="40">
        <f>IF(OR(C6="Aset",C6="Perbelanjaan"),D6-E6,E6-D6)</f>
        <v/>
      </c>
    </row>
    <row r="7" ht="15" customHeight="1" s="60">
      <c r="A7" s="12">
        <f>Akaun!A7</f>
        <v/>
      </c>
      <c r="B7" s="38">
        <f>Akaun!C7</f>
        <v/>
      </c>
      <c r="C7" s="38">
        <f>Akaun!D7</f>
        <v/>
      </c>
      <c r="D7" s="40">
        <f>SUMIF(Baris_Transaksi!$C$5:$C$500,A7,Baris_Transaksi!$D$5:$D$500)</f>
        <v/>
      </c>
      <c r="E7" s="40">
        <f>SUMIF(Baris_Transaksi!$C$5:$C$500,A7,Baris_Transaksi!$E$5:$E$500)</f>
        <v/>
      </c>
      <c r="F7" s="40">
        <f>IF(D7-E7&gt;0,D7-E7,0)</f>
        <v/>
      </c>
      <c r="G7" s="40">
        <f>IF(E7-D7&gt;0,E7-D7,0)</f>
        <v/>
      </c>
      <c r="H7" s="40">
        <f>IF(OR(C7="Aset",C7="Perbelanjaan"),D7-E7,E7-D7)</f>
        <v/>
      </c>
    </row>
    <row r="8" ht="15" customHeight="1" s="60">
      <c r="A8" s="12">
        <f>Akaun!A8</f>
        <v/>
      </c>
      <c r="B8" s="38">
        <f>Akaun!C8</f>
        <v/>
      </c>
      <c r="C8" s="38">
        <f>Akaun!D8</f>
        <v/>
      </c>
      <c r="D8" s="40">
        <f>SUMIF(Baris_Transaksi!$C$5:$C$500,A8,Baris_Transaksi!$D$5:$D$500)</f>
        <v/>
      </c>
      <c r="E8" s="40">
        <f>SUMIF(Baris_Transaksi!$C$5:$C$500,A8,Baris_Transaksi!$E$5:$E$500)</f>
        <v/>
      </c>
      <c r="F8" s="40">
        <f>IF(D8-E8&gt;0,D8-E8,0)</f>
        <v/>
      </c>
      <c r="G8" s="40">
        <f>IF(E8-D8&gt;0,E8-D8,0)</f>
        <v/>
      </c>
      <c r="H8" s="40">
        <f>IF(OR(C8="Aset",C8="Perbelanjaan"),D8-E8,E8-D8)</f>
        <v/>
      </c>
    </row>
    <row r="9" ht="15" customHeight="1" s="60">
      <c r="A9" s="12">
        <f>Akaun!A9</f>
        <v/>
      </c>
      <c r="B9" s="38">
        <f>Akaun!C9</f>
        <v/>
      </c>
      <c r="C9" s="38">
        <f>Akaun!D9</f>
        <v/>
      </c>
      <c r="D9" s="40">
        <f>SUMIF(Baris_Transaksi!$C$5:$C$500,A9,Baris_Transaksi!$D$5:$D$500)</f>
        <v/>
      </c>
      <c r="E9" s="40">
        <f>SUMIF(Baris_Transaksi!$C$5:$C$500,A9,Baris_Transaksi!$E$5:$E$500)</f>
        <v/>
      </c>
      <c r="F9" s="40">
        <f>IF(D9-E9&gt;0,D9-E9,0)</f>
        <v/>
      </c>
      <c r="G9" s="40">
        <f>IF(E9-D9&gt;0,E9-D9,0)</f>
        <v/>
      </c>
      <c r="H9" s="40">
        <f>IF(OR(C9="Aset",C9="Perbelanjaan"),D9-E9,E9-D9)</f>
        <v/>
      </c>
    </row>
    <row r="10" ht="15" customHeight="1" s="60">
      <c r="A10" s="12">
        <f>Akaun!A10</f>
        <v/>
      </c>
      <c r="B10" s="38">
        <f>Akaun!C10</f>
        <v/>
      </c>
      <c r="C10" s="38">
        <f>Akaun!D10</f>
        <v/>
      </c>
      <c r="D10" s="40">
        <f>SUMIF(Baris_Transaksi!$C$5:$C$500,A10,Baris_Transaksi!$D$5:$D$500)</f>
        <v/>
      </c>
      <c r="E10" s="40">
        <f>SUMIF(Baris_Transaksi!$C$5:$C$500,A10,Baris_Transaksi!$E$5:$E$500)</f>
        <v/>
      </c>
      <c r="F10" s="40">
        <f>IF(D10-E10&gt;0,D10-E10,0)</f>
        <v/>
      </c>
      <c r="G10" s="40">
        <f>IF(E10-D10&gt;0,E10-D10,0)</f>
        <v/>
      </c>
      <c r="H10" s="40">
        <f>IF(OR(C10="Aset",C10="Perbelanjaan"),D10-E10,E10-D10)</f>
        <v/>
      </c>
    </row>
    <row r="11" ht="15" customHeight="1" s="60">
      <c r="A11" s="12">
        <f>Akaun!A11</f>
        <v/>
      </c>
      <c r="B11" s="38">
        <f>Akaun!C11</f>
        <v/>
      </c>
      <c r="C11" s="38">
        <f>Akaun!D11</f>
        <v/>
      </c>
      <c r="D11" s="40">
        <f>SUMIF(Baris_Transaksi!$C$5:$C$500,A11,Baris_Transaksi!$D$5:$D$500)</f>
        <v/>
      </c>
      <c r="E11" s="40">
        <f>SUMIF(Baris_Transaksi!$C$5:$C$500,A11,Baris_Transaksi!$E$5:$E$500)</f>
        <v/>
      </c>
      <c r="F11" s="40">
        <f>IF(D11-E11&gt;0,D11-E11,0)</f>
        <v/>
      </c>
      <c r="G11" s="40">
        <f>IF(E11-D11&gt;0,E11-D11,0)</f>
        <v/>
      </c>
      <c r="H11" s="40">
        <f>IF(OR(C11="Aset",C11="Perbelanjaan"),D11-E11,E11-D11)</f>
        <v/>
      </c>
    </row>
    <row r="12" ht="15" customHeight="1" s="60">
      <c r="A12" s="12">
        <f>Akaun!A12</f>
        <v/>
      </c>
      <c r="B12" s="38">
        <f>Akaun!C12</f>
        <v/>
      </c>
      <c r="C12" s="38">
        <f>Akaun!D12</f>
        <v/>
      </c>
      <c r="D12" s="40">
        <f>SUMIF(Baris_Transaksi!$C$5:$C$500,A12,Baris_Transaksi!$D$5:$D$500)</f>
        <v/>
      </c>
      <c r="E12" s="40">
        <f>SUMIF(Baris_Transaksi!$C$5:$C$500,A12,Baris_Transaksi!$E$5:$E$500)</f>
        <v/>
      </c>
      <c r="F12" s="40">
        <f>IF(D12-E12&gt;0,D12-E12,0)</f>
        <v/>
      </c>
      <c r="G12" s="40">
        <f>IF(E12-D12&gt;0,E12-D12,0)</f>
        <v/>
      </c>
      <c r="H12" s="40">
        <f>IF(OR(C12="Aset",C12="Perbelanjaan"),D12-E12,E12-D12)</f>
        <v/>
      </c>
    </row>
    <row r="13" ht="15" customHeight="1" s="60">
      <c r="A13" s="12">
        <f>Akaun!A13</f>
        <v/>
      </c>
      <c r="B13" s="38">
        <f>Akaun!C13</f>
        <v/>
      </c>
      <c r="C13" s="38">
        <f>Akaun!D13</f>
        <v/>
      </c>
      <c r="D13" s="40">
        <f>SUMIF(Baris_Transaksi!$C$5:$C$500,A13,Baris_Transaksi!$D$5:$D$500)</f>
        <v/>
      </c>
      <c r="E13" s="40">
        <f>SUMIF(Baris_Transaksi!$C$5:$C$500,A13,Baris_Transaksi!$E$5:$E$500)</f>
        <v/>
      </c>
      <c r="F13" s="40">
        <f>IF(D13-E13&gt;0,D13-E13,0)</f>
        <v/>
      </c>
      <c r="G13" s="40">
        <f>IF(E13-D13&gt;0,E13-D13,0)</f>
        <v/>
      </c>
      <c r="H13" s="40">
        <f>IF(OR(C13="Aset",C13="Perbelanjaan"),D13-E13,E13-D13)</f>
        <v/>
      </c>
    </row>
    <row r="14" ht="15" customHeight="1" s="60">
      <c r="A14" s="12">
        <f>Akaun!A14</f>
        <v/>
      </c>
      <c r="B14" s="38">
        <f>Akaun!C14</f>
        <v/>
      </c>
      <c r="C14" s="38">
        <f>Akaun!D14</f>
        <v/>
      </c>
      <c r="D14" s="40">
        <f>SUMIF(Baris_Transaksi!$C$5:$C$500,A14,Baris_Transaksi!$D$5:$D$500)</f>
        <v/>
      </c>
      <c r="E14" s="40">
        <f>SUMIF(Baris_Transaksi!$C$5:$C$500,A14,Baris_Transaksi!$E$5:$E$500)</f>
        <v/>
      </c>
      <c r="F14" s="40">
        <f>IF(D14-E14&gt;0,D14-E14,0)</f>
        <v/>
      </c>
      <c r="G14" s="40">
        <f>IF(E14-D14&gt;0,E14-D14,0)</f>
        <v/>
      </c>
      <c r="H14" s="40">
        <f>IF(OR(C14="Aset",C14="Perbelanjaan"),D14-E14,E14-D14)</f>
        <v/>
      </c>
    </row>
    <row r="15" ht="15" customHeight="1" s="60">
      <c r="A15" s="12">
        <f>Akaun!A15</f>
        <v/>
      </c>
      <c r="B15" s="38">
        <f>Akaun!C15</f>
        <v/>
      </c>
      <c r="C15" s="38">
        <f>Akaun!D15</f>
        <v/>
      </c>
      <c r="D15" s="40">
        <f>SUMIF(Baris_Transaksi!$C$5:$C$500,A15,Baris_Transaksi!$D$5:$D$500)</f>
        <v/>
      </c>
      <c r="E15" s="40">
        <f>SUMIF(Baris_Transaksi!$C$5:$C$500,A15,Baris_Transaksi!$E$5:$E$500)</f>
        <v/>
      </c>
      <c r="F15" s="40">
        <f>IF(D15-E15&gt;0,D15-E15,0)</f>
        <v/>
      </c>
      <c r="G15" s="40">
        <f>IF(E15-D15&gt;0,E15-D15,0)</f>
        <v/>
      </c>
      <c r="H15" s="40">
        <f>IF(OR(C15="Aset",C15="Perbelanjaan"),D15-E15,E15-D15)</f>
        <v/>
      </c>
    </row>
    <row r="16" ht="15" customHeight="1" s="60">
      <c r="A16" s="12">
        <f>Akaun!A16</f>
        <v/>
      </c>
      <c r="B16" s="38">
        <f>Akaun!C16</f>
        <v/>
      </c>
      <c r="C16" s="38">
        <f>Akaun!D16</f>
        <v/>
      </c>
      <c r="D16" s="40">
        <f>SUMIF(Baris_Transaksi!$C$5:$C$500,A16,Baris_Transaksi!$D$5:$D$500)</f>
        <v/>
      </c>
      <c r="E16" s="40">
        <f>SUMIF(Baris_Transaksi!$C$5:$C$500,A16,Baris_Transaksi!$E$5:$E$500)</f>
        <v/>
      </c>
      <c r="F16" s="40">
        <f>IF(D16-E16&gt;0,D16-E16,0)</f>
        <v/>
      </c>
      <c r="G16" s="40">
        <f>IF(E16-D16&gt;0,E16-D16,0)</f>
        <v/>
      </c>
      <c r="H16" s="40">
        <f>IF(OR(C16="Aset",C16="Perbelanjaan"),D16-E16,E16-D16)</f>
        <v/>
      </c>
    </row>
    <row r="17" ht="15" customHeight="1" s="60">
      <c r="A17" s="12">
        <f>Akaun!A17</f>
        <v/>
      </c>
      <c r="B17" s="38">
        <f>Akaun!C17</f>
        <v/>
      </c>
      <c r="C17" s="38">
        <f>Akaun!D17</f>
        <v/>
      </c>
      <c r="D17" s="40">
        <f>SUMIF(Baris_Transaksi!$C$5:$C$500,A17,Baris_Transaksi!$D$5:$D$500)</f>
        <v/>
      </c>
      <c r="E17" s="40">
        <f>SUMIF(Baris_Transaksi!$C$5:$C$500,A17,Baris_Transaksi!$E$5:$E$500)</f>
        <v/>
      </c>
      <c r="F17" s="40">
        <f>IF(D17-E17&gt;0,D17-E17,0)</f>
        <v/>
      </c>
      <c r="G17" s="40">
        <f>IF(E17-D17&gt;0,E17-D17,0)</f>
        <v/>
      </c>
      <c r="H17" s="40">
        <f>IF(OR(C17="Aset",C17="Perbelanjaan"),D17-E17,E17-D17)</f>
        <v/>
      </c>
    </row>
    <row r="18" ht="15" customHeight="1" s="60">
      <c r="A18" s="12">
        <f>Akaun!A18</f>
        <v/>
      </c>
      <c r="B18" s="38">
        <f>Akaun!C18</f>
        <v/>
      </c>
      <c r="C18" s="38">
        <f>Akaun!D18</f>
        <v/>
      </c>
      <c r="D18" s="40">
        <f>SUMIF(Baris_Transaksi!$C$5:$C$500,A18,Baris_Transaksi!$D$5:$D$500)</f>
        <v/>
      </c>
      <c r="E18" s="40">
        <f>SUMIF(Baris_Transaksi!$C$5:$C$500,A18,Baris_Transaksi!$E$5:$E$500)</f>
        <v/>
      </c>
      <c r="F18" s="40">
        <f>IF(D18-E18&gt;0,D18-E18,0)</f>
        <v/>
      </c>
      <c r="G18" s="40">
        <f>IF(E18-D18&gt;0,E18-D18,0)</f>
        <v/>
      </c>
      <c r="H18" s="40">
        <f>IF(OR(C18="Aset",C18="Perbelanjaan"),D18-E18,E18-D18)</f>
        <v/>
      </c>
    </row>
    <row r="19" ht="15" customHeight="1" s="60">
      <c r="A19" s="12">
        <f>Akaun!A19</f>
        <v/>
      </c>
      <c r="B19" s="38">
        <f>Akaun!C19</f>
        <v/>
      </c>
      <c r="C19" s="38">
        <f>Akaun!D19</f>
        <v/>
      </c>
      <c r="D19" s="40">
        <f>SUMIF(Baris_Transaksi!$C$5:$C$500,A19,Baris_Transaksi!$D$5:$D$500)</f>
        <v/>
      </c>
      <c r="E19" s="40">
        <f>SUMIF(Baris_Transaksi!$C$5:$C$500,A19,Baris_Transaksi!$E$5:$E$500)</f>
        <v/>
      </c>
      <c r="F19" s="40">
        <f>IF(D19-E19&gt;0,D19-E19,0)</f>
        <v/>
      </c>
      <c r="G19" s="40">
        <f>IF(E19-D19&gt;0,E19-D19,0)</f>
        <v/>
      </c>
      <c r="H19" s="40">
        <f>IF(OR(C19="Aset",C19="Perbelanjaan"),D19-E19,E19-D19)</f>
        <v/>
      </c>
    </row>
    <row r="20" ht="15" customHeight="1" s="60">
      <c r="A20" s="12">
        <f>Akaun!A20</f>
        <v/>
      </c>
      <c r="B20" s="38">
        <f>Akaun!C20</f>
        <v/>
      </c>
      <c r="C20" s="38">
        <f>Akaun!D20</f>
        <v/>
      </c>
      <c r="D20" s="40">
        <f>SUMIF(Baris_Transaksi!$C$5:$C$500,A20,Baris_Transaksi!$D$5:$D$500)</f>
        <v/>
      </c>
      <c r="E20" s="40">
        <f>SUMIF(Baris_Transaksi!$C$5:$C$500,A20,Baris_Transaksi!$E$5:$E$500)</f>
        <v/>
      </c>
      <c r="F20" s="40">
        <f>IF(D20-E20&gt;0,D20-E20,0)</f>
        <v/>
      </c>
      <c r="G20" s="40">
        <f>IF(E20-D20&gt;0,E20-D20,0)</f>
        <v/>
      </c>
      <c r="H20" s="40">
        <f>IF(OR(C20="Aset",C20="Perbelanjaan"),D20-E20,E20-D20)</f>
        <v/>
      </c>
    </row>
    <row r="21" ht="15" customHeight="1" s="60">
      <c r="A21" s="12">
        <f>Akaun!A21</f>
        <v/>
      </c>
      <c r="B21" s="38">
        <f>Akaun!C21</f>
        <v/>
      </c>
      <c r="C21" s="38">
        <f>Akaun!D21</f>
        <v/>
      </c>
      <c r="D21" s="40">
        <f>SUMIF(Baris_Transaksi!$C$5:$C$500,A21,Baris_Transaksi!$D$5:$D$500)</f>
        <v/>
      </c>
      <c r="E21" s="40">
        <f>SUMIF(Baris_Transaksi!$C$5:$C$500,A21,Baris_Transaksi!$E$5:$E$500)</f>
        <v/>
      </c>
      <c r="F21" s="40">
        <f>IF(D21-E21&gt;0,D21-E21,0)</f>
        <v/>
      </c>
      <c r="G21" s="40">
        <f>IF(E21-D21&gt;0,E21-D21,0)</f>
        <v/>
      </c>
      <c r="H21" s="40">
        <f>IF(OR(C21="Aset",C21="Perbelanjaan"),D21-E21,E21-D21)</f>
        <v/>
      </c>
    </row>
    <row r="22" ht="15" customHeight="1" s="60">
      <c r="A22" s="12">
        <f>Akaun!A22</f>
        <v/>
      </c>
      <c r="B22" s="38">
        <f>Akaun!C22</f>
        <v/>
      </c>
      <c r="C22" s="38">
        <f>Akaun!D22</f>
        <v/>
      </c>
      <c r="D22" s="40">
        <f>SUMIF(Baris_Transaksi!$C$5:$C$500,A22,Baris_Transaksi!$D$5:$D$500)</f>
        <v/>
      </c>
      <c r="E22" s="40">
        <f>SUMIF(Baris_Transaksi!$C$5:$C$500,A22,Baris_Transaksi!$E$5:$E$500)</f>
        <v/>
      </c>
      <c r="F22" s="40">
        <f>IF(D22-E22&gt;0,D22-E22,0)</f>
        <v/>
      </c>
      <c r="G22" s="40">
        <f>IF(E22-D22&gt;0,E22-D22,0)</f>
        <v/>
      </c>
      <c r="H22" s="40">
        <f>IF(OR(C22="Aset",C22="Perbelanjaan"),D22-E22,E22-D22)</f>
        <v/>
      </c>
    </row>
    <row r="23" ht="15" customHeight="1" s="60">
      <c r="A23" s="38">
        <f>Akaun!A23</f>
        <v/>
      </c>
      <c r="B23" s="38">
        <f>Akaun!C23</f>
        <v/>
      </c>
      <c r="C23" s="38">
        <f>Akaun!D23</f>
        <v/>
      </c>
      <c r="D23" s="40">
        <f>SUMIF(Baris_Transaksi!$C$5:$C$500,A23,Baris_Transaksi!$D$5:$D$500)</f>
        <v/>
      </c>
      <c r="E23" s="40">
        <f>SUMIF(Baris_Transaksi!$C$5:$C$500,A23,Baris_Transaksi!$E$5:$E$500)</f>
        <v/>
      </c>
      <c r="F23" s="40">
        <f>IF(D23-E23&gt;0,D23-E23,0)</f>
        <v/>
      </c>
      <c r="G23" s="40">
        <f>IF(E23-D23&gt;0,E23-D23,0)</f>
        <v/>
      </c>
      <c r="H23" s="40">
        <f>IF(OR(C23="Aset",C23="Perbelanjaan"),D23-E23,E23-D23)</f>
        <v/>
      </c>
    </row>
    <row r="24" ht="15" customHeight="1" s="60">
      <c r="A24" s="38">
        <f>Akaun!A24</f>
        <v/>
      </c>
      <c r="B24" s="38">
        <f>Akaun!C24</f>
        <v/>
      </c>
      <c r="C24" s="38">
        <f>Akaun!D24</f>
        <v/>
      </c>
      <c r="D24" s="40">
        <f>SUMIF(Baris_Transaksi!$C$5:$C$500,A24,Baris_Transaksi!$D$5:$D$500)</f>
        <v/>
      </c>
      <c r="E24" s="40">
        <f>SUMIF(Baris_Transaksi!$C$5:$C$500,A24,Baris_Transaksi!$E$5:$E$500)</f>
        <v/>
      </c>
      <c r="F24" s="40">
        <f>IF(D24-E24&gt;0,D24-E24,0)</f>
        <v/>
      </c>
      <c r="G24" s="40">
        <f>IF(E24-D24&gt;0,E24-D24,0)</f>
        <v/>
      </c>
      <c r="H24" s="40">
        <f>IF(OR(C24="Aset",C24="Perbelanjaan"),D24-E24,E24-D24)</f>
        <v/>
      </c>
    </row>
    <row r="25" ht="15" customHeight="1" s="60">
      <c r="A25" s="38">
        <f>Akaun!A25</f>
        <v/>
      </c>
      <c r="B25" s="38">
        <f>Akaun!C25</f>
        <v/>
      </c>
      <c r="C25" s="38">
        <f>Akaun!D25</f>
        <v/>
      </c>
      <c r="D25" s="40">
        <f>SUMIF(Baris_Transaksi!$C$5:$C$500,A25,Baris_Transaksi!$D$5:$D$500)</f>
        <v/>
      </c>
      <c r="E25" s="40">
        <f>SUMIF(Baris_Transaksi!$C$5:$C$500,A25,Baris_Transaksi!$E$5:$E$500)</f>
        <v/>
      </c>
      <c r="F25" s="40">
        <f>IF(D25-E25&gt;0,D25-E25,0)</f>
        <v/>
      </c>
      <c r="G25" s="40">
        <f>IF(E25-D25&gt;0,E25-D25,0)</f>
        <v/>
      </c>
      <c r="H25" s="40">
        <f>IF(OR(C25="Aset",C25="Perbelanjaan"),D25-E25,E25-D25)</f>
        <v/>
      </c>
    </row>
    <row r="26" ht="15" customHeight="1" s="60">
      <c r="A26" s="38">
        <f>Akaun!A26</f>
        <v/>
      </c>
      <c r="B26" s="38">
        <f>Akaun!C26</f>
        <v/>
      </c>
      <c r="C26" s="38">
        <f>Akaun!D26</f>
        <v/>
      </c>
      <c r="D26" s="40">
        <f>SUMIF(Baris_Transaksi!$C$5:$C$500,A26,Baris_Transaksi!$D$5:$D$500)</f>
        <v/>
      </c>
      <c r="E26" s="40">
        <f>SUMIF(Baris_Transaksi!$C$5:$C$500,A26,Baris_Transaksi!$E$5:$E$500)</f>
        <v/>
      </c>
      <c r="F26" s="40">
        <f>IF(D26-E26&gt;0,D26-E26,0)</f>
        <v/>
      </c>
      <c r="G26" s="40">
        <f>IF(E26-D26&gt;0,E26-D26,0)</f>
        <v/>
      </c>
      <c r="H26" s="40">
        <f>IF(OR(C26="Aset",C26="Perbelanjaan"),D26-E26,E26-D26)</f>
        <v/>
      </c>
    </row>
    <row r="27" ht="15" customHeight="1" s="60">
      <c r="A27" s="38">
        <f>Akaun!A27</f>
        <v/>
      </c>
      <c r="B27" s="38">
        <f>Akaun!C27</f>
        <v/>
      </c>
      <c r="C27" s="38">
        <f>Akaun!D27</f>
        <v/>
      </c>
      <c r="D27" s="40">
        <f>SUMIF(Baris_Transaksi!$C$5:$C$500,A27,Baris_Transaksi!$D$5:$D$500)</f>
        <v/>
      </c>
      <c r="E27" s="40">
        <f>SUMIF(Baris_Transaksi!$C$5:$C$500,A27,Baris_Transaksi!$E$5:$E$500)</f>
        <v/>
      </c>
      <c r="F27" s="40">
        <f>IF(D27-E27&gt;0,D27-E27,0)</f>
        <v/>
      </c>
      <c r="G27" s="40">
        <f>IF(E27-D27&gt;0,E27-D27,0)</f>
        <v/>
      </c>
      <c r="H27" s="40">
        <f>IF(OR(C27="Aset",C27="Perbelanjaan"),D27-E27,E27-D27)</f>
        <v/>
      </c>
    </row>
    <row r="28" ht="15" customHeight="1" s="60">
      <c r="A28" s="38">
        <f>Akaun!A28</f>
        <v/>
      </c>
      <c r="B28" s="38">
        <f>Akaun!C28</f>
        <v/>
      </c>
      <c r="C28" s="38">
        <f>Akaun!D28</f>
        <v/>
      </c>
      <c r="D28" s="40">
        <f>SUMIF(Baris_Transaksi!$C$5:$C$500,A28,Baris_Transaksi!$D$5:$D$500)</f>
        <v/>
      </c>
      <c r="E28" s="40">
        <f>SUMIF(Baris_Transaksi!$C$5:$C$500,A28,Baris_Transaksi!$E$5:$E$500)</f>
        <v/>
      </c>
      <c r="F28" s="40">
        <f>IF(D28-E28&gt;0,D28-E28,0)</f>
        <v/>
      </c>
      <c r="G28" s="40">
        <f>IF(E28-D28&gt;0,E28-D28,0)</f>
        <v/>
      </c>
      <c r="H28" s="40">
        <f>IF(OR(C28="Aset",C28="Perbelanjaan"),D28-E28,E28-D28)</f>
        <v/>
      </c>
    </row>
    <row r="29" ht="15" customHeight="1" s="60">
      <c r="A29" s="38">
        <f>Akaun!A29</f>
        <v/>
      </c>
      <c r="B29" s="38">
        <f>Akaun!C29</f>
        <v/>
      </c>
      <c r="C29" s="38">
        <f>Akaun!D29</f>
        <v/>
      </c>
      <c r="D29" s="40">
        <f>SUMIF(Baris_Transaksi!$C$5:$C$500,A29,Baris_Transaksi!$D$5:$D$500)</f>
        <v/>
      </c>
      <c r="E29" s="40">
        <f>SUMIF(Baris_Transaksi!$C$5:$C$500,A29,Baris_Transaksi!$E$5:$E$500)</f>
        <v/>
      </c>
      <c r="F29" s="40">
        <f>IF(D29-E29&gt;0,D29-E29,0)</f>
        <v/>
      </c>
      <c r="G29" s="40">
        <f>IF(E29-D29&gt;0,E29-D29,0)</f>
        <v/>
      </c>
      <c r="H29" s="40">
        <f>IF(OR(C29="Aset",C29="Perbelanjaan"),D29-E29,E29-D29)</f>
        <v/>
      </c>
    </row>
    <row r="30" ht="15" customHeight="1" s="60">
      <c r="A30" s="38">
        <f>Akaun!A30</f>
        <v/>
      </c>
      <c r="B30" s="38">
        <f>Akaun!C30</f>
        <v/>
      </c>
      <c r="C30" s="38">
        <f>Akaun!D30</f>
        <v/>
      </c>
      <c r="D30" s="40">
        <f>SUMIF(Baris_Transaksi!$C$5:$C$500,A30,Baris_Transaksi!$D$5:$D$500)</f>
        <v/>
      </c>
      <c r="E30" s="40">
        <f>SUMIF(Baris_Transaksi!$C$5:$C$500,A30,Baris_Transaksi!$E$5:$E$500)</f>
        <v/>
      </c>
      <c r="F30" s="40">
        <f>IF(D30-E30&gt;0,D30-E30,0)</f>
        <v/>
      </c>
      <c r="G30" s="40">
        <f>IF(E30-D30&gt;0,E30-D30,0)</f>
        <v/>
      </c>
      <c r="H30" s="40">
        <f>IF(OR(C30="Aset",C30="Perbelanjaan"),D30-E30,E30-D30)</f>
        <v/>
      </c>
    </row>
    <row r="31" ht="15" customHeight="1" s="60">
      <c r="A31" s="38">
        <f>Akaun!A31</f>
        <v/>
      </c>
      <c r="B31" s="38">
        <f>Akaun!C31</f>
        <v/>
      </c>
      <c r="C31" s="38">
        <f>Akaun!D31</f>
        <v/>
      </c>
      <c r="D31" s="40">
        <f>SUMIF(Baris_Transaksi!$C$5:$C$500,A31,Baris_Transaksi!$D$5:$D$500)</f>
        <v/>
      </c>
      <c r="E31" s="40">
        <f>SUMIF(Baris_Transaksi!$C$5:$C$500,A31,Baris_Transaksi!$E$5:$E$500)</f>
        <v/>
      </c>
      <c r="F31" s="40">
        <f>IF(D31-E31&gt;0,D31-E31,0)</f>
        <v/>
      </c>
      <c r="G31" s="40">
        <f>IF(E31-D31&gt;0,E31-D31,0)</f>
        <v/>
      </c>
      <c r="H31" s="40">
        <f>IF(OR(C31="Aset",C31="Perbelanjaan"),D31-E31,E31-D31)</f>
        <v/>
      </c>
    </row>
    <row r="32" ht="15" customHeight="1" s="60">
      <c r="A32" s="38">
        <f>Akaun!A32</f>
        <v/>
      </c>
      <c r="B32" s="38">
        <f>Akaun!C32</f>
        <v/>
      </c>
      <c r="C32" s="38">
        <f>Akaun!D32</f>
        <v/>
      </c>
      <c r="D32" s="40">
        <f>SUMIF(Baris_Transaksi!$C$5:$C$500,A32,Baris_Transaksi!$D$5:$D$500)</f>
        <v/>
      </c>
      <c r="E32" s="40">
        <f>SUMIF(Baris_Transaksi!$C$5:$C$500,A32,Baris_Transaksi!$E$5:$E$500)</f>
        <v/>
      </c>
      <c r="F32" s="40">
        <f>IF(D32-E32&gt;0,D32-E32,0)</f>
        <v/>
      </c>
      <c r="G32" s="40">
        <f>IF(E32-D32&gt;0,E32-D32,0)</f>
        <v/>
      </c>
      <c r="H32" s="40">
        <f>IF(OR(C32="Aset",C32="Perbelanjaan"),D32-E32,E32-D32)</f>
        <v/>
      </c>
    </row>
    <row r="33" ht="15" customHeight="1" s="60">
      <c r="A33" s="38">
        <f>Akaun!A33</f>
        <v/>
      </c>
      <c r="B33" s="38">
        <f>Akaun!C33</f>
        <v/>
      </c>
      <c r="C33" s="38">
        <f>Akaun!D33</f>
        <v/>
      </c>
      <c r="D33" s="40">
        <f>SUMIF(Baris_Transaksi!$C$5:$C$500,A33,Baris_Transaksi!$D$5:$D$500)</f>
        <v/>
      </c>
      <c r="E33" s="40">
        <f>SUMIF(Baris_Transaksi!$C$5:$C$500,A33,Baris_Transaksi!$E$5:$E$500)</f>
        <v/>
      </c>
      <c r="F33" s="40">
        <f>IF(D33-E33&gt;0,D33-E33,0)</f>
        <v/>
      </c>
      <c r="G33" s="40">
        <f>IF(E33-D33&gt;0,E33-D33,0)</f>
        <v/>
      </c>
      <c r="H33" s="40">
        <f>IF(OR(C33="Aset",C33="Perbelanjaan"),D33-E33,E33-D33)</f>
        <v/>
      </c>
    </row>
    <row r="34" ht="15" customHeight="1" s="60">
      <c r="A34" s="38">
        <f>Akaun!A34</f>
        <v/>
      </c>
      <c r="B34" s="38">
        <f>Akaun!C34</f>
        <v/>
      </c>
      <c r="C34" s="38">
        <f>Akaun!D34</f>
        <v/>
      </c>
      <c r="D34" s="40">
        <f>SUMIF(Baris_Transaksi!$C$5:$C$500,A34,Baris_Transaksi!$D$5:$D$500)</f>
        <v/>
      </c>
      <c r="E34" s="40">
        <f>SUMIF(Baris_Transaksi!$C$5:$C$500,A34,Baris_Transaksi!$E$5:$E$500)</f>
        <v/>
      </c>
      <c r="F34" s="40">
        <f>IF(D34-E34&gt;0,D34-E34,0)</f>
        <v/>
      </c>
      <c r="G34" s="40">
        <f>IF(E34-D34&gt;0,E34-D34,0)</f>
        <v/>
      </c>
      <c r="H34" s="40">
        <f>IF(OR(C34="Aset",C34="Perbelanjaan"),D34-E34,E34-D34)</f>
        <v/>
      </c>
    </row>
    <row r="35" ht="15" customHeight="1" s="60">
      <c r="A35" s="38">
        <f>Akaun!A35</f>
        <v/>
      </c>
      <c r="B35" s="38">
        <f>Akaun!C35</f>
        <v/>
      </c>
      <c r="C35" s="38">
        <f>Akaun!D35</f>
        <v/>
      </c>
      <c r="D35" s="40">
        <f>SUMIF(Baris_Transaksi!$C$5:$C$500,A35,Baris_Transaksi!$D$5:$D$500)</f>
        <v/>
      </c>
      <c r="E35" s="40">
        <f>SUMIF(Baris_Transaksi!$C$5:$C$500,A35,Baris_Transaksi!$E$5:$E$500)</f>
        <v/>
      </c>
      <c r="F35" s="40">
        <f>IF(D35-E35&gt;0,D35-E35,0)</f>
        <v/>
      </c>
      <c r="G35" s="40">
        <f>IF(E35-D35&gt;0,E35-D35,0)</f>
        <v/>
      </c>
      <c r="H35" s="40">
        <f>IF(OR(C35="Aset",C35="Perbelanjaan"),D35-E35,E35-D35)</f>
        <v/>
      </c>
    </row>
    <row r="36" ht="15" customHeight="1" s="60">
      <c r="A36" s="38">
        <f>Akaun!A36</f>
        <v/>
      </c>
      <c r="B36" s="38">
        <f>Akaun!C36</f>
        <v/>
      </c>
      <c r="C36" s="38">
        <f>Akaun!D36</f>
        <v/>
      </c>
      <c r="D36" s="40">
        <f>SUMIF(Baris_Transaksi!$C$5:$C$500,A36,Baris_Transaksi!$D$5:$D$500)</f>
        <v/>
      </c>
      <c r="E36" s="40">
        <f>SUMIF(Baris_Transaksi!$C$5:$C$500,A36,Baris_Transaksi!$E$5:$E$500)</f>
        <v/>
      </c>
      <c r="F36" s="40">
        <f>IF(D36-E36&gt;0,D36-E36,0)</f>
        <v/>
      </c>
      <c r="G36" s="40">
        <f>IF(E36-D36&gt;0,E36-D36,0)</f>
        <v/>
      </c>
      <c r="H36" s="40">
        <f>IF(OR(C36="Aset",C36="Perbelanjaan"),D36-E36,E36-D36)</f>
        <v/>
      </c>
    </row>
    <row r="37" ht="15" customHeight="1" s="60">
      <c r="A37" s="38">
        <f>Akaun!A37</f>
        <v/>
      </c>
      <c r="B37" s="38">
        <f>Akaun!C37</f>
        <v/>
      </c>
      <c r="C37" s="38">
        <f>Akaun!D37</f>
        <v/>
      </c>
      <c r="D37" s="40">
        <f>SUMIF(Baris_Transaksi!$C$5:$C$500,A37,Baris_Transaksi!$D$5:$D$500)</f>
        <v/>
      </c>
      <c r="E37" s="40">
        <f>SUMIF(Baris_Transaksi!$C$5:$C$500,A37,Baris_Transaksi!$E$5:$E$500)</f>
        <v/>
      </c>
      <c r="F37" s="40">
        <f>IF(D37-E37&gt;0,D37-E37,0)</f>
        <v/>
      </c>
      <c r="G37" s="40">
        <f>IF(E37-D37&gt;0,E37-D37,0)</f>
        <v/>
      </c>
      <c r="H37" s="40">
        <f>IF(OR(C37="Aset",C37="Perbelanjaan"),D37-E37,E37-D37)</f>
        <v/>
      </c>
    </row>
    <row r="38" ht="15" customHeight="1" s="60">
      <c r="A38" s="38">
        <f>Akaun!A38</f>
        <v/>
      </c>
      <c r="B38" s="38">
        <f>Akaun!C38</f>
        <v/>
      </c>
      <c r="C38" s="38">
        <f>Akaun!D38</f>
        <v/>
      </c>
      <c r="D38" s="40">
        <f>SUMIF(Baris_Transaksi!$C$5:$C$500,A38,Baris_Transaksi!$D$5:$D$500)</f>
        <v/>
      </c>
      <c r="E38" s="40">
        <f>SUMIF(Baris_Transaksi!$C$5:$C$500,A38,Baris_Transaksi!$E$5:$E$500)</f>
        <v/>
      </c>
      <c r="F38" s="40">
        <f>IF(D38-E38&gt;0,D38-E38,0)</f>
        <v/>
      </c>
      <c r="G38" s="40">
        <f>IF(E38-D38&gt;0,E38-D38,0)</f>
        <v/>
      </c>
      <c r="H38" s="40">
        <f>IF(OR(C38="Aset",C38="Perbelanjaan"),D38-E38,E38-D38)</f>
        <v/>
      </c>
    </row>
    <row r="39" ht="15" customHeight="1" s="60">
      <c r="A39" s="38">
        <f>Akaun!A39</f>
        <v/>
      </c>
      <c r="B39" s="38">
        <f>Akaun!C39</f>
        <v/>
      </c>
      <c r="C39" s="38">
        <f>Akaun!D39</f>
        <v/>
      </c>
      <c r="D39" s="40">
        <f>SUMIF(Baris_Transaksi!$C$5:$C$500,A39,Baris_Transaksi!$D$5:$D$500)</f>
        <v/>
      </c>
      <c r="E39" s="40">
        <f>SUMIF(Baris_Transaksi!$C$5:$C$500,A39,Baris_Transaksi!$E$5:$E$500)</f>
        <v/>
      </c>
      <c r="F39" s="40">
        <f>IF(D39-E39&gt;0,D39-E39,0)</f>
        <v/>
      </c>
      <c r="G39" s="40">
        <f>IF(E39-D39&gt;0,E39-D39,0)</f>
        <v/>
      </c>
      <c r="H39" s="40">
        <f>IF(OR(C39="Aset",C39="Perbelanjaan"),D39-E39,E39-D39)</f>
        <v/>
      </c>
    </row>
    <row r="40" ht="15" customHeight="1" s="60">
      <c r="A40" s="38">
        <f>Akaun!A40</f>
        <v/>
      </c>
      <c r="B40" s="38">
        <f>Akaun!C40</f>
        <v/>
      </c>
      <c r="C40" s="38">
        <f>Akaun!D40</f>
        <v/>
      </c>
      <c r="D40" s="40">
        <f>SUMIF(Baris_Transaksi!$C$5:$C$500,A40,Baris_Transaksi!$D$5:$D$500)</f>
        <v/>
      </c>
      <c r="E40" s="40">
        <f>SUMIF(Baris_Transaksi!$C$5:$C$500,A40,Baris_Transaksi!$E$5:$E$500)</f>
        <v/>
      </c>
      <c r="F40" s="40">
        <f>IF(D40-E40&gt;0,D40-E40,0)</f>
        <v/>
      </c>
      <c r="G40" s="40">
        <f>IF(E40-D40&gt;0,E40-D40,0)</f>
        <v/>
      </c>
      <c r="H40" s="40">
        <f>IF(OR(C40="Aset",C40="Perbelanjaan"),D40-E40,E40-D40)</f>
        <v/>
      </c>
    </row>
    <row r="41" ht="15" customHeight="1" s="60">
      <c r="A41" s="38">
        <f>Akaun!A41</f>
        <v/>
      </c>
      <c r="B41" s="38">
        <f>Akaun!C41</f>
        <v/>
      </c>
      <c r="C41" s="38">
        <f>Akaun!D41</f>
        <v/>
      </c>
      <c r="D41" s="40">
        <f>SUMIF(Baris_Transaksi!$C$5:$C$500,A41,Baris_Transaksi!$D$5:$D$500)</f>
        <v/>
      </c>
      <c r="E41" s="40">
        <f>SUMIF(Baris_Transaksi!$C$5:$C$500,A41,Baris_Transaksi!$E$5:$E$500)</f>
        <v/>
      </c>
      <c r="F41" s="40">
        <f>IF(D41-E41&gt;0,D41-E41,0)</f>
        <v/>
      </c>
      <c r="G41" s="40">
        <f>IF(E41-D41&gt;0,E41-D41,0)</f>
        <v/>
      </c>
      <c r="H41" s="40">
        <f>IF(OR(C41="Aset",C41="Perbelanjaan"),D41-E41,E41-D41)</f>
        <v/>
      </c>
    </row>
    <row r="42" ht="15" customHeight="1" s="60">
      <c r="A42" s="38">
        <f>Akaun!A42</f>
        <v/>
      </c>
      <c r="B42" s="38">
        <f>Akaun!C42</f>
        <v/>
      </c>
      <c r="C42" s="38">
        <f>Akaun!D42</f>
        <v/>
      </c>
      <c r="D42" s="40">
        <f>SUMIF(Baris_Transaksi!$C$5:$C$500,A42,Baris_Transaksi!$D$5:$D$500)</f>
        <v/>
      </c>
      <c r="E42" s="40">
        <f>SUMIF(Baris_Transaksi!$C$5:$C$500,A42,Baris_Transaksi!$E$5:$E$500)</f>
        <v/>
      </c>
      <c r="F42" s="40">
        <f>IF(D42-E42&gt;0,D42-E42,0)</f>
        <v/>
      </c>
      <c r="G42" s="40">
        <f>IF(E42-D42&gt;0,E42-D42,0)</f>
        <v/>
      </c>
      <c r="H42" s="40">
        <f>IF(OR(C42="Aset",C42="Perbelanjaan"),D42-E42,E42-D42)</f>
        <v/>
      </c>
    </row>
    <row r="43" ht="15" customHeight="1" s="60">
      <c r="A43" s="38">
        <f>Akaun!A43</f>
        <v/>
      </c>
      <c r="B43" s="38">
        <f>Akaun!C43</f>
        <v/>
      </c>
      <c r="C43" s="38">
        <f>Akaun!D43</f>
        <v/>
      </c>
      <c r="D43" s="40">
        <f>SUMIF(Baris_Transaksi!$C$5:$C$500,A43,Baris_Transaksi!$D$5:$D$500)</f>
        <v/>
      </c>
      <c r="E43" s="40">
        <f>SUMIF(Baris_Transaksi!$C$5:$C$500,A43,Baris_Transaksi!$E$5:$E$500)</f>
        <v/>
      </c>
      <c r="F43" s="40">
        <f>IF(D43-E43&gt;0,D43-E43,0)</f>
        <v/>
      </c>
      <c r="G43" s="40">
        <f>IF(E43-D43&gt;0,E43-D43,0)</f>
        <v/>
      </c>
      <c r="H43" s="40">
        <f>IF(OR(C43="Aset",C43="Perbelanjaan"),D43-E43,E43-D43)</f>
        <v/>
      </c>
    </row>
    <row r="44" ht="15" customHeight="1" s="60">
      <c r="A44" s="38">
        <f>Akaun!A44</f>
        <v/>
      </c>
      <c r="B44" s="38">
        <f>Akaun!C44</f>
        <v/>
      </c>
      <c r="C44" s="38">
        <f>Akaun!D44</f>
        <v/>
      </c>
      <c r="D44" s="40">
        <f>SUMIF(Baris_Transaksi!$C$5:$C$500,A44,Baris_Transaksi!$D$5:$D$500)</f>
        <v/>
      </c>
      <c r="E44" s="40">
        <f>SUMIF(Baris_Transaksi!$C$5:$C$500,A44,Baris_Transaksi!$E$5:$E$500)</f>
        <v/>
      </c>
      <c r="F44" s="40">
        <f>IF(D44-E44&gt;0,D44-E44,0)</f>
        <v/>
      </c>
      <c r="G44" s="40">
        <f>IF(E44-D44&gt;0,E44-D44,0)</f>
        <v/>
      </c>
      <c r="H44" s="40">
        <f>IF(OR(C44="Aset",C44="Perbelanjaan"),D44-E44,E44-D44)</f>
        <v/>
      </c>
    </row>
    <row r="45" ht="15" customHeight="1" s="60">
      <c r="A45" s="38">
        <f>Akaun!A45</f>
        <v/>
      </c>
      <c r="B45" s="38">
        <f>Akaun!C45</f>
        <v/>
      </c>
      <c r="C45" s="38">
        <f>Akaun!D45</f>
        <v/>
      </c>
      <c r="D45" s="40">
        <f>SUMIF(Baris_Transaksi!$C$5:$C$500,A45,Baris_Transaksi!$D$5:$D$500)</f>
        <v/>
      </c>
      <c r="E45" s="40">
        <f>SUMIF(Baris_Transaksi!$C$5:$C$500,A45,Baris_Transaksi!$E$5:$E$500)</f>
        <v/>
      </c>
      <c r="F45" s="40">
        <f>IF(D45-E45&gt;0,D45-E45,0)</f>
        <v/>
      </c>
      <c r="G45" s="40">
        <f>IF(E45-D45&gt;0,E45-D45,0)</f>
        <v/>
      </c>
      <c r="H45" s="40">
        <f>IF(OR(C45="Aset",C45="Perbelanjaan"),D45-E45,E45-D45)</f>
        <v/>
      </c>
    </row>
    <row r="46" ht="15" customHeight="1" s="60">
      <c r="A46" s="38">
        <f>Akaun!A46</f>
        <v/>
      </c>
      <c r="B46" s="38">
        <f>Akaun!C46</f>
        <v/>
      </c>
      <c r="C46" s="38">
        <f>Akaun!D46</f>
        <v/>
      </c>
      <c r="D46" s="40">
        <f>SUMIF(Baris_Transaksi!$C$5:$C$500,A46,Baris_Transaksi!$D$5:$D$500)</f>
        <v/>
      </c>
      <c r="E46" s="40">
        <f>SUMIF(Baris_Transaksi!$C$5:$C$500,A46,Baris_Transaksi!$E$5:$E$500)</f>
        <v/>
      </c>
      <c r="F46" s="40">
        <f>IF(D46-E46&gt;0,D46-E46,0)</f>
        <v/>
      </c>
      <c r="G46" s="40">
        <f>IF(E46-D46&gt;0,E46-D46,0)</f>
        <v/>
      </c>
      <c r="H46" s="40">
        <f>IF(OR(C46="Aset",C46="Perbelanjaan"),D46-E46,E46-D46)</f>
        <v/>
      </c>
    </row>
    <row r="47" ht="15" customHeight="1" s="60">
      <c r="A47" s="38">
        <f>Akaun!A47</f>
        <v/>
      </c>
      <c r="B47" s="38">
        <f>Akaun!C47</f>
        <v/>
      </c>
      <c r="C47" s="38">
        <f>Akaun!D47</f>
        <v/>
      </c>
      <c r="D47" s="40">
        <f>SUMIF(Baris_Transaksi!$C$5:$C$500,A47,Baris_Transaksi!$D$5:$D$500)</f>
        <v/>
      </c>
      <c r="E47" s="40">
        <f>SUMIF(Baris_Transaksi!$C$5:$C$500,A47,Baris_Transaksi!$E$5:$E$500)</f>
        <v/>
      </c>
      <c r="F47" s="40">
        <f>IF(D47-E47&gt;0,D47-E47,0)</f>
        <v/>
      </c>
      <c r="G47" s="40">
        <f>IF(E47-D47&gt;0,E47-D47,0)</f>
        <v/>
      </c>
      <c r="H47" s="40">
        <f>IF(OR(C47="Aset",C47="Perbelanjaan"),D47-E47,E47-D47)</f>
        <v/>
      </c>
    </row>
    <row r="48" ht="15" customHeight="1" s="60">
      <c r="A48" s="38">
        <f>Akaun!A48</f>
        <v/>
      </c>
      <c r="B48" s="38">
        <f>Akaun!C48</f>
        <v/>
      </c>
      <c r="C48" s="38">
        <f>Akaun!D48</f>
        <v/>
      </c>
      <c r="D48" s="40">
        <f>SUMIF(Baris_Transaksi!$C$5:$C$500,A48,Baris_Transaksi!$D$5:$D$500)</f>
        <v/>
      </c>
      <c r="E48" s="40">
        <f>SUMIF(Baris_Transaksi!$C$5:$C$500,A48,Baris_Transaksi!$E$5:$E$500)</f>
        <v/>
      </c>
      <c r="F48" s="40">
        <f>IF(D48-E48&gt;0,D48-E48,0)</f>
        <v/>
      </c>
      <c r="G48" s="40">
        <f>IF(E48-D48&gt;0,E48-D48,0)</f>
        <v/>
      </c>
      <c r="H48" s="40">
        <f>IF(OR(C48="Aset",C48="Perbelanjaan"),D48-E48,E48-D48)</f>
        <v/>
      </c>
    </row>
    <row r="49" ht="15" customHeight="1" s="60">
      <c r="A49" s="38">
        <f>Akaun!A49</f>
        <v/>
      </c>
      <c r="B49" s="38">
        <f>Akaun!C49</f>
        <v/>
      </c>
      <c r="C49" s="38">
        <f>Akaun!D49</f>
        <v/>
      </c>
      <c r="D49" s="40">
        <f>SUMIF(Baris_Transaksi!$C$5:$C$500,A49,Baris_Transaksi!$D$5:$D$500)</f>
        <v/>
      </c>
      <c r="E49" s="40">
        <f>SUMIF(Baris_Transaksi!$C$5:$C$500,A49,Baris_Transaksi!$E$5:$E$500)</f>
        <v/>
      </c>
      <c r="F49" s="40">
        <f>IF(D49-E49&gt;0,D49-E49,0)</f>
        <v/>
      </c>
      <c r="G49" s="40">
        <f>IF(E49-D49&gt;0,E49-D49,0)</f>
        <v/>
      </c>
      <c r="H49" s="40">
        <f>IF(OR(C49="Aset",C49="Perbelanjaan"),D49-E49,E49-D49)</f>
        <v/>
      </c>
    </row>
    <row r="50" ht="15" customHeight="1" s="60">
      <c r="A50" s="38">
        <f>Akaun!A50</f>
        <v/>
      </c>
      <c r="B50" s="38">
        <f>Akaun!C50</f>
        <v/>
      </c>
      <c r="C50" s="38">
        <f>Akaun!D50</f>
        <v/>
      </c>
      <c r="D50" s="40">
        <f>SUMIF(Baris_Transaksi!$C$5:$C$500,A50,Baris_Transaksi!$D$5:$D$500)</f>
        <v/>
      </c>
      <c r="E50" s="40">
        <f>SUMIF(Baris_Transaksi!$C$5:$C$500,A50,Baris_Transaksi!$E$5:$E$500)</f>
        <v/>
      </c>
      <c r="F50" s="40">
        <f>IF(D50-E50&gt;0,D50-E50,0)</f>
        <v/>
      </c>
      <c r="G50" s="40">
        <f>IF(E50-D50&gt;0,E50-D50,0)</f>
        <v/>
      </c>
      <c r="H50" s="40">
        <f>IF(OR(C50="Aset",C50="Perbelanjaan"),D50-E50,E50-D50)</f>
        <v/>
      </c>
    </row>
    <row r="51" ht="15" customHeight="1" s="60">
      <c r="A51" s="38">
        <f>Akaun!A51</f>
        <v/>
      </c>
      <c r="B51" s="38">
        <f>Akaun!C51</f>
        <v/>
      </c>
      <c r="C51" s="38">
        <f>Akaun!D51</f>
        <v/>
      </c>
      <c r="D51" s="40">
        <f>SUMIF(Baris_Transaksi!$C$5:$C$500,A51,Baris_Transaksi!$D$5:$D$500)</f>
        <v/>
      </c>
      <c r="E51" s="40">
        <f>SUMIF(Baris_Transaksi!$C$5:$C$500,A51,Baris_Transaksi!$E$5:$E$500)</f>
        <v/>
      </c>
      <c r="F51" s="40">
        <f>IF(D51-E51&gt;0,D51-E51,0)</f>
        <v/>
      </c>
      <c r="G51" s="40">
        <f>IF(E51-D51&gt;0,E51-D51,0)</f>
        <v/>
      </c>
      <c r="H51" s="40">
        <f>IF(OR(C51="Aset",C51="Perbelanjaan"),D51-E51,E51-D51)</f>
        <v/>
      </c>
    </row>
    <row r="52" ht="15" customHeight="1" s="60">
      <c r="A52" s="38">
        <f>Akaun!A52</f>
        <v/>
      </c>
      <c r="B52" s="38">
        <f>Akaun!C52</f>
        <v/>
      </c>
      <c r="C52" s="38">
        <f>Akaun!D52</f>
        <v/>
      </c>
      <c r="D52" s="40">
        <f>SUMIF(Baris_Transaksi!$C$5:$C$500,A52,Baris_Transaksi!$D$5:$D$500)</f>
        <v/>
      </c>
      <c r="E52" s="40">
        <f>SUMIF(Baris_Transaksi!$C$5:$C$500,A52,Baris_Transaksi!$E$5:$E$500)</f>
        <v/>
      </c>
      <c r="F52" s="40">
        <f>IF(D52-E52&gt;0,D52-E52,0)</f>
        <v/>
      </c>
      <c r="G52" s="40">
        <f>IF(E52-D52&gt;0,E52-D52,0)</f>
        <v/>
      </c>
      <c r="H52" s="40">
        <f>IF(OR(C52="Aset",C52="Perbelanjaan"),D52-E52,E52-D52)</f>
        <v/>
      </c>
    </row>
    <row r="53" ht="15" customHeight="1" s="60">
      <c r="A53" s="38">
        <f>Akaun!A53</f>
        <v/>
      </c>
      <c r="B53" s="38">
        <f>Akaun!C53</f>
        <v/>
      </c>
      <c r="C53" s="38">
        <f>Akaun!D53</f>
        <v/>
      </c>
      <c r="D53" s="40">
        <f>SUMIF(Baris_Transaksi!$C$5:$C$500,A53,Baris_Transaksi!$D$5:$D$500)</f>
        <v/>
      </c>
      <c r="E53" s="40">
        <f>SUMIF(Baris_Transaksi!$C$5:$C$500,A53,Baris_Transaksi!$E$5:$E$500)</f>
        <v/>
      </c>
      <c r="F53" s="40">
        <f>IF(D53-E53&gt;0,D53-E53,0)</f>
        <v/>
      </c>
      <c r="G53" s="40">
        <f>IF(E53-D53&gt;0,E53-D53,0)</f>
        <v/>
      </c>
      <c r="H53" s="40">
        <f>IF(OR(C53="Aset",C53="Perbelanjaan"),D53-E53,E53-D53)</f>
        <v/>
      </c>
    </row>
    <row r="54" ht="15" customHeight="1" s="60">
      <c r="A54" s="38">
        <f>Akaun!A54</f>
        <v/>
      </c>
      <c r="B54" s="38">
        <f>Akaun!C54</f>
        <v/>
      </c>
      <c r="C54" s="38">
        <f>Akaun!D54</f>
        <v/>
      </c>
      <c r="D54" s="40">
        <f>SUMIF(Baris_Transaksi!$C$5:$C$500,A54,Baris_Transaksi!$D$5:$D$500)</f>
        <v/>
      </c>
      <c r="E54" s="40">
        <f>SUMIF(Baris_Transaksi!$C$5:$C$500,A54,Baris_Transaksi!$E$5:$E$500)</f>
        <v/>
      </c>
      <c r="F54" s="40">
        <f>IF(D54-E54&gt;0,D54-E54,0)</f>
        <v/>
      </c>
      <c r="G54" s="40">
        <f>IF(E54-D54&gt;0,E54-D54,0)</f>
        <v/>
      </c>
      <c r="H54" s="40">
        <f>IF(OR(C54="Aset",C54="Perbelanjaan"),D54-E54,E54-D54)</f>
        <v/>
      </c>
    </row>
    <row r="55" ht="15" customHeight="1" s="60">
      <c r="A55" s="38">
        <f>Akaun!A55</f>
        <v/>
      </c>
      <c r="B55" s="38">
        <f>Akaun!C55</f>
        <v/>
      </c>
      <c r="C55" s="38">
        <f>Akaun!D55</f>
        <v/>
      </c>
      <c r="D55" s="40">
        <f>SUMIF(Baris_Transaksi!$C$5:$C$500,A55,Baris_Transaksi!$D$5:$D$500)</f>
        <v/>
      </c>
      <c r="E55" s="40">
        <f>SUMIF(Baris_Transaksi!$C$5:$C$500,A55,Baris_Transaksi!$E$5:$E$500)</f>
        <v/>
      </c>
      <c r="F55" s="40">
        <f>IF(D55-E55&gt;0,D55-E55,0)</f>
        <v/>
      </c>
      <c r="G55" s="40">
        <f>IF(E55-D55&gt;0,E55-D55,0)</f>
        <v/>
      </c>
      <c r="H55" s="40">
        <f>IF(OR(C55="Aset",C55="Perbelanjaan"),D55-E55,E55-D55)</f>
        <v/>
      </c>
    </row>
    <row r="56" ht="15" customHeight="1" s="60">
      <c r="A56" s="38">
        <f>Akaun!A56</f>
        <v/>
      </c>
      <c r="B56" s="38">
        <f>Akaun!C56</f>
        <v/>
      </c>
      <c r="C56" s="38">
        <f>Akaun!D56</f>
        <v/>
      </c>
      <c r="D56" s="40">
        <f>SUMIF(Baris_Transaksi!$C$5:$C$500,A56,Baris_Transaksi!$D$5:$D$500)</f>
        <v/>
      </c>
      <c r="E56" s="40">
        <f>SUMIF(Baris_Transaksi!$C$5:$C$500,A56,Baris_Transaksi!$E$5:$E$500)</f>
        <v/>
      </c>
      <c r="F56" s="40">
        <f>IF(D56-E56&gt;0,D56-E56,0)</f>
        <v/>
      </c>
      <c r="G56" s="40">
        <f>IF(E56-D56&gt;0,E56-D56,0)</f>
        <v/>
      </c>
      <c r="H56" s="40">
        <f>IF(OR(C56="Aset",C56="Perbelanjaan"),D56-E56,E56-D56)</f>
        <v/>
      </c>
    </row>
    <row r="57" ht="15" customHeight="1" s="60">
      <c r="A57" s="38">
        <f>Akaun!A57</f>
        <v/>
      </c>
      <c r="B57" s="38">
        <f>Akaun!C57</f>
        <v/>
      </c>
      <c r="C57" s="38">
        <f>Akaun!D57</f>
        <v/>
      </c>
      <c r="D57" s="40">
        <f>SUMIF(Baris_Transaksi!$C$5:$C$500,A57,Baris_Transaksi!$D$5:$D$500)</f>
        <v/>
      </c>
      <c r="E57" s="40">
        <f>SUMIF(Baris_Transaksi!$C$5:$C$500,A57,Baris_Transaksi!$E$5:$E$500)</f>
        <v/>
      </c>
      <c r="F57" s="40">
        <f>IF(D57-E57&gt;0,D57-E57,0)</f>
        <v/>
      </c>
      <c r="G57" s="40">
        <f>IF(E57-D57&gt;0,E57-D57,0)</f>
        <v/>
      </c>
      <c r="H57" s="40">
        <f>IF(OR(C57="Aset",C57="Perbelanjaan"),D57-E57,E57-D57)</f>
        <v/>
      </c>
    </row>
    <row r="58" ht="15" customHeight="1" s="60">
      <c r="A58" s="38">
        <f>Akaun!A58</f>
        <v/>
      </c>
      <c r="B58" s="38">
        <f>Akaun!C58</f>
        <v/>
      </c>
      <c r="C58" s="38">
        <f>Akaun!D58</f>
        <v/>
      </c>
      <c r="D58" s="40">
        <f>SUMIF(Baris_Transaksi!$C$5:$C$500,A58,Baris_Transaksi!$D$5:$D$500)</f>
        <v/>
      </c>
      <c r="E58" s="40">
        <f>SUMIF(Baris_Transaksi!$C$5:$C$500,A58,Baris_Transaksi!$E$5:$E$500)</f>
        <v/>
      </c>
      <c r="F58" s="40">
        <f>IF(D58-E58&gt;0,D58-E58,0)</f>
        <v/>
      </c>
      <c r="G58" s="40">
        <f>IF(E58-D58&gt;0,E58-D58,0)</f>
        <v/>
      </c>
      <c r="H58" s="40">
        <f>IF(OR(C58="Aset",C58="Perbelanjaan"),D58-E58,E58-D58)</f>
        <v/>
      </c>
    </row>
    <row r="59" ht="15" customHeight="1" s="60">
      <c r="A59" s="38">
        <f>Akaun!A59</f>
        <v/>
      </c>
      <c r="B59" s="38">
        <f>Akaun!C59</f>
        <v/>
      </c>
      <c r="C59" s="38">
        <f>Akaun!D59</f>
        <v/>
      </c>
      <c r="D59" s="40">
        <f>SUMIF(Baris_Transaksi!$C$5:$C$500,A59,Baris_Transaksi!$D$5:$D$500)</f>
        <v/>
      </c>
      <c r="E59" s="40">
        <f>SUMIF(Baris_Transaksi!$C$5:$C$500,A59,Baris_Transaksi!$E$5:$E$500)</f>
        <v/>
      </c>
      <c r="F59" s="40">
        <f>IF(D59-E59&gt;0,D59-E59,0)</f>
        <v/>
      </c>
      <c r="G59" s="40">
        <f>IF(E59-D59&gt;0,E59-D59,0)</f>
        <v/>
      </c>
      <c r="H59" s="40">
        <f>IF(OR(C59="Aset",C59="Perbelanjaan"),D59-E59,E59-D59)</f>
        <v/>
      </c>
    </row>
    <row r="60" ht="15" customHeight="1" s="60">
      <c r="A60" s="38">
        <f>Akaun!A60</f>
        <v/>
      </c>
      <c r="B60" s="38">
        <f>Akaun!C60</f>
        <v/>
      </c>
      <c r="C60" s="38">
        <f>Akaun!D60</f>
        <v/>
      </c>
      <c r="D60" s="40">
        <f>SUMIF(Baris_Transaksi!$C$5:$C$500,A60,Baris_Transaksi!$D$5:$D$500)</f>
        <v/>
      </c>
      <c r="E60" s="40">
        <f>SUMIF(Baris_Transaksi!$C$5:$C$500,A60,Baris_Transaksi!$E$5:$E$500)</f>
        <v/>
      </c>
      <c r="F60" s="40">
        <f>IF(D60-E60&gt;0,D60-E60,0)</f>
        <v/>
      </c>
      <c r="G60" s="40">
        <f>IF(E60-D60&gt;0,E60-D60,0)</f>
        <v/>
      </c>
      <c r="H60" s="40">
        <f>IF(OR(C60="Aset",C60="Perbelanjaan"),D60-E60,E60-D60)</f>
        <v/>
      </c>
    </row>
    <row r="61" ht="15" customHeight="1" s="60">
      <c r="A61" s="38">
        <f>Akaun!A61</f>
        <v/>
      </c>
      <c r="B61" s="38">
        <f>Akaun!C61</f>
        <v/>
      </c>
      <c r="C61" s="38">
        <f>Akaun!D61</f>
        <v/>
      </c>
      <c r="D61" s="40">
        <f>SUMIF(Baris_Transaksi!$C$5:$C$500,A61,Baris_Transaksi!$D$5:$D$500)</f>
        <v/>
      </c>
      <c r="E61" s="40">
        <f>SUMIF(Baris_Transaksi!$C$5:$C$500,A61,Baris_Transaksi!$E$5:$E$500)</f>
        <v/>
      </c>
      <c r="F61" s="40">
        <f>IF(D61-E61&gt;0,D61-E61,0)</f>
        <v/>
      </c>
      <c r="G61" s="40">
        <f>IF(E61-D61&gt;0,E61-D61,0)</f>
        <v/>
      </c>
      <c r="H61" s="40">
        <f>IF(OR(C61="Aset",C61="Perbelanjaan"),D61-E61,E61-D61)</f>
        <v/>
      </c>
    </row>
    <row r="62" ht="15" customHeight="1" s="60">
      <c r="A62" s="38">
        <f>Akaun!A62</f>
        <v/>
      </c>
      <c r="B62" s="38">
        <f>Akaun!C62</f>
        <v/>
      </c>
      <c r="C62" s="38">
        <f>Akaun!D62</f>
        <v/>
      </c>
      <c r="D62" s="40">
        <f>SUMIF(Baris_Transaksi!$C$5:$C$500,A62,Baris_Transaksi!$D$5:$D$500)</f>
        <v/>
      </c>
      <c r="E62" s="40">
        <f>SUMIF(Baris_Transaksi!$C$5:$C$500,A62,Baris_Transaksi!$E$5:$E$500)</f>
        <v/>
      </c>
      <c r="F62" s="40">
        <f>IF(D62-E62&gt;0,D62-E62,0)</f>
        <v/>
      </c>
      <c r="G62" s="40">
        <f>IF(E62-D62&gt;0,E62-D62,0)</f>
        <v/>
      </c>
      <c r="H62" s="40">
        <f>IF(OR(C62="Aset",C62="Perbelanjaan"),D62-E62,E62-D62)</f>
        <v/>
      </c>
    </row>
    <row r="63" ht="15" customHeight="1" s="60">
      <c r="A63" s="38">
        <f>Akaun!A63</f>
        <v/>
      </c>
      <c r="B63" s="38">
        <f>Akaun!C63</f>
        <v/>
      </c>
      <c r="C63" s="38">
        <f>Akaun!D63</f>
        <v/>
      </c>
      <c r="D63" s="40">
        <f>SUMIF(Baris_Transaksi!$C$5:$C$500,A63,Baris_Transaksi!$D$5:$D$500)</f>
        <v/>
      </c>
      <c r="E63" s="40">
        <f>SUMIF(Baris_Transaksi!$C$5:$C$500,A63,Baris_Transaksi!$E$5:$E$500)</f>
        <v/>
      </c>
      <c r="F63" s="40">
        <f>IF(D63-E63&gt;0,D63-E63,0)</f>
        <v/>
      </c>
      <c r="G63" s="40">
        <f>IF(E63-D63&gt;0,E63-D63,0)</f>
        <v/>
      </c>
      <c r="H63" s="40">
        <f>IF(OR(C63="Aset",C63="Perbelanjaan"),D63-E63,E63-D63)</f>
        <v/>
      </c>
    </row>
    <row r="64" ht="15" customHeight="1" s="60">
      <c r="A64" s="38">
        <f>Akaun!A64</f>
        <v/>
      </c>
      <c r="B64" s="38">
        <f>Akaun!C64</f>
        <v/>
      </c>
      <c r="C64" s="38">
        <f>Akaun!D64</f>
        <v/>
      </c>
      <c r="D64" s="40">
        <f>SUMIF(Baris_Transaksi!$C$5:$C$500,A64,Baris_Transaksi!$D$5:$D$500)</f>
        <v/>
      </c>
      <c r="E64" s="40">
        <f>SUMIF(Baris_Transaksi!$C$5:$C$500,A64,Baris_Transaksi!$E$5:$E$500)</f>
        <v/>
      </c>
      <c r="F64" s="40">
        <f>IF(D64-E64&gt;0,D64-E64,0)</f>
        <v/>
      </c>
      <c r="G64" s="40">
        <f>IF(E64-D64&gt;0,E64-D64,0)</f>
        <v/>
      </c>
      <c r="H64" s="40">
        <f>IF(OR(C64="Aset",C64="Perbelanjaan"),D64-E64,E64-D64)</f>
        <v/>
      </c>
    </row>
    <row r="65" ht="15" customHeight="1" s="60">
      <c r="A65" s="38">
        <f>Akaun!A65</f>
        <v/>
      </c>
      <c r="B65" s="38">
        <f>Akaun!C65</f>
        <v/>
      </c>
      <c r="C65" s="38">
        <f>Akaun!D65</f>
        <v/>
      </c>
      <c r="D65" s="40">
        <f>SUMIF(Baris_Transaksi!$C$5:$C$500,A65,Baris_Transaksi!$D$5:$D$500)</f>
        <v/>
      </c>
      <c r="E65" s="40">
        <f>SUMIF(Baris_Transaksi!$C$5:$C$500,A65,Baris_Transaksi!$E$5:$E$500)</f>
        <v/>
      </c>
      <c r="F65" s="40">
        <f>IF(D65-E65&gt;0,D65-E65,0)</f>
        <v/>
      </c>
      <c r="G65" s="40">
        <f>IF(E65-D65&gt;0,E65-D65,0)</f>
        <v/>
      </c>
      <c r="H65" s="40">
        <f>IF(OR(C65="Aset",C65="Perbelanjaan"),D65-E65,E65-D65)</f>
        <v/>
      </c>
    </row>
    <row r="66" ht="15" customHeight="1" s="60">
      <c r="A66" s="38">
        <f>Akaun!A66</f>
        <v/>
      </c>
      <c r="B66" s="38">
        <f>Akaun!C66</f>
        <v/>
      </c>
      <c r="C66" s="38">
        <f>Akaun!D66</f>
        <v/>
      </c>
      <c r="D66" s="40">
        <f>SUMIF(Baris_Transaksi!$C$5:$C$500,A66,Baris_Transaksi!$D$5:$D$500)</f>
        <v/>
      </c>
      <c r="E66" s="40">
        <f>SUMIF(Baris_Transaksi!$C$5:$C$500,A66,Baris_Transaksi!$E$5:$E$500)</f>
        <v/>
      </c>
      <c r="F66" s="40">
        <f>IF(D66-E66&gt;0,D66-E66,0)</f>
        <v/>
      </c>
      <c r="G66" s="40">
        <f>IF(E66-D66&gt;0,E66-D66,0)</f>
        <v/>
      </c>
      <c r="H66" s="40">
        <f>IF(OR(C66="Aset",C66="Perbelanjaan"),D66-E66,E66-D66)</f>
        <v/>
      </c>
    </row>
    <row r="67" ht="15" customHeight="1" s="60">
      <c r="A67" s="38">
        <f>Akaun!A67</f>
        <v/>
      </c>
      <c r="B67" s="38">
        <f>Akaun!C67</f>
        <v/>
      </c>
      <c r="C67" s="38">
        <f>Akaun!D67</f>
        <v/>
      </c>
      <c r="D67" s="40">
        <f>SUMIF(Baris_Transaksi!$C$5:$C$500,A67,Baris_Transaksi!$D$5:$D$500)</f>
        <v/>
      </c>
      <c r="E67" s="40">
        <f>SUMIF(Baris_Transaksi!$C$5:$C$500,A67,Baris_Transaksi!$E$5:$E$500)</f>
        <v/>
      </c>
      <c r="F67" s="40">
        <f>IF(D67-E67&gt;0,D67-E67,0)</f>
        <v/>
      </c>
      <c r="G67" s="40">
        <f>IF(E67-D67&gt;0,E67-D67,0)</f>
        <v/>
      </c>
      <c r="H67" s="40">
        <f>IF(OR(C67="Aset",C67="Perbelanjaan"),D67-E67,E67-D67)</f>
        <v/>
      </c>
    </row>
    <row r="68" ht="15" customHeight="1" s="60">
      <c r="A68" s="38">
        <f>Akaun!A68</f>
        <v/>
      </c>
      <c r="B68" s="38">
        <f>Akaun!C68</f>
        <v/>
      </c>
      <c r="C68" s="38">
        <f>Akaun!D68</f>
        <v/>
      </c>
      <c r="D68" s="40">
        <f>SUMIF(Baris_Transaksi!$C$5:$C$500,A68,Baris_Transaksi!$D$5:$D$500)</f>
        <v/>
      </c>
      <c r="E68" s="40">
        <f>SUMIF(Baris_Transaksi!$C$5:$C$500,A68,Baris_Transaksi!$E$5:$E$500)</f>
        <v/>
      </c>
      <c r="F68" s="40">
        <f>IF(D68-E68&gt;0,D68-E68,0)</f>
        <v/>
      </c>
      <c r="G68" s="40">
        <f>IF(E68-D68&gt;0,E68-D68,0)</f>
        <v/>
      </c>
      <c r="H68" s="40">
        <f>IF(OR(C68="Aset",C68="Perbelanjaan"),D68-E68,E68-D68)</f>
        <v/>
      </c>
    </row>
    <row r="69" ht="15" customHeight="1" s="60">
      <c r="A69" s="38">
        <f>Akaun!A69</f>
        <v/>
      </c>
      <c r="B69" s="38">
        <f>Akaun!C69</f>
        <v/>
      </c>
      <c r="C69" s="38">
        <f>Akaun!D69</f>
        <v/>
      </c>
      <c r="D69" s="40">
        <f>SUMIF(Baris_Transaksi!$C$5:$C$500,A69,Baris_Transaksi!$D$5:$D$500)</f>
        <v/>
      </c>
      <c r="E69" s="40">
        <f>SUMIF(Baris_Transaksi!$C$5:$C$500,A69,Baris_Transaksi!$E$5:$E$500)</f>
        <v/>
      </c>
      <c r="F69" s="40">
        <f>IF(D69-E69&gt;0,D69-E69,0)</f>
        <v/>
      </c>
      <c r="G69" s="40">
        <f>IF(E69-D69&gt;0,E69-D69,0)</f>
        <v/>
      </c>
      <c r="H69" s="40">
        <f>IF(OR(C69="Aset",C69="Perbelanjaan"),D69-E69,E69-D69)</f>
        <v/>
      </c>
    </row>
    <row r="70" ht="15" customHeight="1" s="60">
      <c r="A70" s="38">
        <f>Akaun!A70</f>
        <v/>
      </c>
      <c r="B70" s="38">
        <f>Akaun!C70</f>
        <v/>
      </c>
      <c r="C70" s="38">
        <f>Akaun!D70</f>
        <v/>
      </c>
      <c r="D70" s="40">
        <f>SUMIF(Baris_Transaksi!$C$5:$C$500,A70,Baris_Transaksi!$D$5:$D$500)</f>
        <v/>
      </c>
      <c r="E70" s="40">
        <f>SUMIF(Baris_Transaksi!$C$5:$C$500,A70,Baris_Transaksi!$E$5:$E$500)</f>
        <v/>
      </c>
      <c r="F70" s="40">
        <f>IF(D70-E70&gt;0,D70-E70,0)</f>
        <v/>
      </c>
      <c r="G70" s="40">
        <f>IF(E70-D70&gt;0,E70-D70,0)</f>
        <v/>
      </c>
      <c r="H70" s="40">
        <f>IF(OR(C70="Aset",C70="Perbelanjaan"),D70-E70,E70-D70)</f>
        <v/>
      </c>
    </row>
    <row r="71" ht="15" customHeight="1" s="60">
      <c r="A71" s="38">
        <f>Akaun!A71</f>
        <v/>
      </c>
      <c r="B71" s="38">
        <f>Akaun!C71</f>
        <v/>
      </c>
      <c r="C71" s="38">
        <f>Akaun!D71</f>
        <v/>
      </c>
      <c r="D71" s="40">
        <f>SUMIF(Baris_Transaksi!$C$5:$C$500,A71,Baris_Transaksi!$D$5:$D$500)</f>
        <v/>
      </c>
      <c r="E71" s="40">
        <f>SUMIF(Baris_Transaksi!$C$5:$C$500,A71,Baris_Transaksi!$E$5:$E$500)</f>
        <v/>
      </c>
      <c r="F71" s="40">
        <f>IF(D71-E71&gt;0,D71-E71,0)</f>
        <v/>
      </c>
      <c r="G71" s="40">
        <f>IF(E71-D71&gt;0,E71-D71,0)</f>
        <v/>
      </c>
      <c r="H71" s="40">
        <f>IF(OR(C71="Aset",C71="Perbelanjaan"),D71-E71,E71-D71)</f>
        <v/>
      </c>
    </row>
    <row r="72" ht="15" customHeight="1" s="60">
      <c r="A72" s="38">
        <f>Akaun!A72</f>
        <v/>
      </c>
      <c r="B72" s="38">
        <f>Akaun!C72</f>
        <v/>
      </c>
      <c r="C72" s="38">
        <f>Akaun!D72</f>
        <v/>
      </c>
      <c r="D72" s="40">
        <f>SUMIF(Baris_Transaksi!$C$5:$C$500,A72,Baris_Transaksi!$D$5:$D$500)</f>
        <v/>
      </c>
      <c r="E72" s="40">
        <f>SUMIF(Baris_Transaksi!$C$5:$C$500,A72,Baris_Transaksi!$E$5:$E$500)</f>
        <v/>
      </c>
      <c r="F72" s="40">
        <f>IF(D72-E72&gt;0,D72-E72,0)</f>
        <v/>
      </c>
      <c r="G72" s="40">
        <f>IF(E72-D72&gt;0,E72-D72,0)</f>
        <v/>
      </c>
      <c r="H72" s="40">
        <f>IF(OR(C72="Aset",C72="Perbelanjaan"),D72-E72,E72-D72)</f>
        <v/>
      </c>
    </row>
    <row r="73" ht="15" customHeight="1" s="60">
      <c r="A73" s="38">
        <f>Akaun!A73</f>
        <v/>
      </c>
      <c r="B73" s="38">
        <f>Akaun!C73</f>
        <v/>
      </c>
      <c r="C73" s="38">
        <f>Akaun!D73</f>
        <v/>
      </c>
      <c r="D73" s="40">
        <f>SUMIF(Baris_Transaksi!$C$5:$C$500,A73,Baris_Transaksi!$D$5:$D$500)</f>
        <v/>
      </c>
      <c r="E73" s="40">
        <f>SUMIF(Baris_Transaksi!$C$5:$C$500,A73,Baris_Transaksi!$E$5:$E$500)</f>
        <v/>
      </c>
      <c r="F73" s="40">
        <f>IF(D73-E73&gt;0,D73-E73,0)</f>
        <v/>
      </c>
      <c r="G73" s="40">
        <f>IF(E73-D73&gt;0,E73-D73,0)</f>
        <v/>
      </c>
      <c r="H73" s="40">
        <f>IF(OR(C73="Aset",C73="Perbelanjaan"),D73-E73,E73-D73)</f>
        <v/>
      </c>
    </row>
    <row r="74" ht="15" customHeight="1" s="60">
      <c r="A74" s="38">
        <f>Akaun!A74</f>
        <v/>
      </c>
      <c r="B74" s="38">
        <f>Akaun!C74</f>
        <v/>
      </c>
      <c r="C74" s="38">
        <f>Akaun!D74</f>
        <v/>
      </c>
      <c r="D74" s="40">
        <f>SUMIF(Baris_Transaksi!$C$5:$C$500,A74,Baris_Transaksi!$D$5:$D$500)</f>
        <v/>
      </c>
      <c r="E74" s="40">
        <f>SUMIF(Baris_Transaksi!$C$5:$C$500,A74,Baris_Transaksi!$E$5:$E$500)</f>
        <v/>
      </c>
      <c r="F74" s="40">
        <f>IF(D74-E74&gt;0,D74-E74,0)</f>
        <v/>
      </c>
      <c r="G74" s="40">
        <f>IF(E74-D74&gt;0,E74-D74,0)</f>
        <v/>
      </c>
      <c r="H74" s="40">
        <f>IF(OR(C74="Aset",C74="Perbelanjaan"),D74-E74,E74-D74)</f>
        <v/>
      </c>
    </row>
    <row r="75" ht="15" customHeight="1" s="60">
      <c r="A75" s="38">
        <f>Akaun!A75</f>
        <v/>
      </c>
      <c r="B75" s="38">
        <f>Akaun!C75</f>
        <v/>
      </c>
      <c r="C75" s="38">
        <f>Akaun!D75</f>
        <v/>
      </c>
      <c r="D75" s="40">
        <f>SUMIF(Baris_Transaksi!$C$5:$C$500,A75,Baris_Transaksi!$D$5:$D$500)</f>
        <v/>
      </c>
      <c r="E75" s="40">
        <f>SUMIF(Baris_Transaksi!$C$5:$C$500,A75,Baris_Transaksi!$E$5:$E$500)</f>
        <v/>
      </c>
      <c r="F75" s="40">
        <f>IF(D75-E75&gt;0,D75-E75,0)</f>
        <v/>
      </c>
      <c r="G75" s="40">
        <f>IF(E75-D75&gt;0,E75-D75,0)</f>
        <v/>
      </c>
      <c r="H75" s="40">
        <f>IF(OR(C75="Aset",C75="Perbelanjaan"),D75-E75,E75-D75)</f>
        <v/>
      </c>
    </row>
    <row r="76" ht="15" customHeight="1" s="60">
      <c r="A76" s="38">
        <f>Akaun!A76</f>
        <v/>
      </c>
      <c r="B76" s="38">
        <f>Akaun!C76</f>
        <v/>
      </c>
      <c r="C76" s="38">
        <f>Akaun!D76</f>
        <v/>
      </c>
      <c r="D76" s="40">
        <f>SUMIF(Baris_Transaksi!$C$5:$C$500,A76,Baris_Transaksi!$D$5:$D$500)</f>
        <v/>
      </c>
      <c r="E76" s="40">
        <f>SUMIF(Baris_Transaksi!$C$5:$C$500,A76,Baris_Transaksi!$E$5:$E$500)</f>
        <v/>
      </c>
      <c r="F76" s="40">
        <f>IF(D76-E76&gt;0,D76-E76,0)</f>
        <v/>
      </c>
      <c r="G76" s="40">
        <f>IF(E76-D76&gt;0,E76-D76,0)</f>
        <v/>
      </c>
      <c r="H76" s="40">
        <f>IF(OR(C76="Aset",C76="Perbelanjaan"),D76-E76,E76-D76)</f>
        <v/>
      </c>
    </row>
    <row r="77" ht="15" customHeight="1" s="60">
      <c r="A77" s="38">
        <f>Akaun!A77</f>
        <v/>
      </c>
      <c r="B77" s="38">
        <f>Akaun!C77</f>
        <v/>
      </c>
      <c r="C77" s="38">
        <f>Akaun!D77</f>
        <v/>
      </c>
      <c r="D77" s="40">
        <f>SUMIF(Baris_Transaksi!$C$5:$C$500,A77,Baris_Transaksi!$D$5:$D$500)</f>
        <v/>
      </c>
      <c r="E77" s="40">
        <f>SUMIF(Baris_Transaksi!$C$5:$C$500,A77,Baris_Transaksi!$E$5:$E$500)</f>
        <v/>
      </c>
      <c r="F77" s="40">
        <f>IF(D77-E77&gt;0,D77-E77,0)</f>
        <v/>
      </c>
      <c r="G77" s="40">
        <f>IF(E77-D77&gt;0,E77-D77,0)</f>
        <v/>
      </c>
      <c r="H77" s="40">
        <f>IF(OR(C77="Aset",C77="Perbelanjaan"),D77-E77,E77-D77)</f>
        <v/>
      </c>
    </row>
    <row r="78" ht="15" customHeight="1" s="60">
      <c r="A78" s="38">
        <f>Akaun!A78</f>
        <v/>
      </c>
      <c r="B78" s="38">
        <f>Akaun!C78</f>
        <v/>
      </c>
      <c r="C78" s="38">
        <f>Akaun!D78</f>
        <v/>
      </c>
      <c r="D78" s="40">
        <f>SUMIF(Baris_Transaksi!$C$5:$C$500,A78,Baris_Transaksi!$D$5:$D$500)</f>
        <v/>
      </c>
      <c r="E78" s="40">
        <f>SUMIF(Baris_Transaksi!$C$5:$C$500,A78,Baris_Transaksi!$E$5:$E$500)</f>
        <v/>
      </c>
      <c r="F78" s="40">
        <f>IF(D78-E78&gt;0,D78-E78,0)</f>
        <v/>
      </c>
      <c r="G78" s="40">
        <f>IF(E78-D78&gt;0,E78-D78,0)</f>
        <v/>
      </c>
      <c r="H78" s="40">
        <f>IF(OR(C78="Aset",C78="Perbelanjaan"),D78-E78,E78-D78)</f>
        <v/>
      </c>
    </row>
    <row r="79" ht="15" customHeight="1" s="60">
      <c r="A79" s="38">
        <f>Akaun!A79</f>
        <v/>
      </c>
      <c r="B79" s="38">
        <f>Akaun!C79</f>
        <v/>
      </c>
      <c r="C79" s="38">
        <f>Akaun!D79</f>
        <v/>
      </c>
      <c r="D79" s="40">
        <f>SUMIF(Baris_Transaksi!$C$5:$C$500,A79,Baris_Transaksi!$D$5:$D$500)</f>
        <v/>
      </c>
      <c r="E79" s="40">
        <f>SUMIF(Baris_Transaksi!$C$5:$C$500,A79,Baris_Transaksi!$E$5:$E$500)</f>
        <v/>
      </c>
      <c r="F79" s="40">
        <f>IF(D79-E79&gt;0,D79-E79,0)</f>
        <v/>
      </c>
      <c r="G79" s="40">
        <f>IF(E79-D79&gt;0,E79-D79,0)</f>
        <v/>
      </c>
      <c r="H79" s="40">
        <f>IF(OR(C79="Aset",C79="Perbelanjaan"),D79-E79,E79-D79)</f>
        <v/>
      </c>
    </row>
    <row r="80" ht="15" customHeight="1" s="60">
      <c r="A80" s="38">
        <f>Akaun!A80</f>
        <v/>
      </c>
      <c r="B80" s="38">
        <f>Akaun!C80</f>
        <v/>
      </c>
      <c r="C80" s="38">
        <f>Akaun!D80</f>
        <v/>
      </c>
      <c r="D80" s="40">
        <f>SUMIF(Baris_Transaksi!$C$5:$C$500,A80,Baris_Transaksi!$D$5:$D$500)</f>
        <v/>
      </c>
      <c r="E80" s="40">
        <f>SUMIF(Baris_Transaksi!$C$5:$C$500,A80,Baris_Transaksi!$E$5:$E$500)</f>
        <v/>
      </c>
      <c r="F80" s="40">
        <f>IF(D80-E80&gt;0,D80-E80,0)</f>
        <v/>
      </c>
      <c r="G80" s="40">
        <f>IF(E80-D80&gt;0,E80-D80,0)</f>
        <v/>
      </c>
      <c r="H80" s="40">
        <f>IF(OR(C80="Aset",C80="Perbelanjaan"),D80-E80,E80-D80)</f>
        <v/>
      </c>
    </row>
    <row r="81" ht="15" customHeight="1" s="60">
      <c r="A81" s="38">
        <f>Akaun!A81</f>
        <v/>
      </c>
      <c r="B81" s="38">
        <f>Akaun!C81</f>
        <v/>
      </c>
      <c r="C81" s="38">
        <f>Akaun!D81</f>
        <v/>
      </c>
      <c r="D81" s="40">
        <f>SUMIF(Baris_Transaksi!$C$5:$C$500,A81,Baris_Transaksi!$D$5:$D$500)</f>
        <v/>
      </c>
      <c r="E81" s="40">
        <f>SUMIF(Baris_Transaksi!$C$5:$C$500,A81,Baris_Transaksi!$E$5:$E$500)</f>
        <v/>
      </c>
      <c r="F81" s="40">
        <f>IF(D81-E81&gt;0,D81-E81,0)</f>
        <v/>
      </c>
      <c r="G81" s="40">
        <f>IF(E81-D81&gt;0,E81-D81,0)</f>
        <v/>
      </c>
      <c r="H81" s="40">
        <f>IF(OR(C81="Aset",C81="Perbelanjaan"),D81-E81,E81-D81)</f>
        <v/>
      </c>
    </row>
    <row r="82" ht="15" customHeight="1" s="60">
      <c r="A82" s="38">
        <f>Akaun!A82</f>
        <v/>
      </c>
      <c r="B82" s="38">
        <f>Akaun!C82</f>
        <v/>
      </c>
      <c r="C82" s="38">
        <f>Akaun!D82</f>
        <v/>
      </c>
      <c r="D82" s="40">
        <f>SUMIF(Baris_Transaksi!$C$5:$C$500,A82,Baris_Transaksi!$D$5:$D$500)</f>
        <v/>
      </c>
      <c r="E82" s="40">
        <f>SUMIF(Baris_Transaksi!$C$5:$C$500,A82,Baris_Transaksi!$E$5:$E$500)</f>
        <v/>
      </c>
      <c r="F82" s="40">
        <f>IF(D82-E82&gt;0,D82-E82,0)</f>
        <v/>
      </c>
      <c r="G82" s="40">
        <f>IF(E82-D82&gt;0,E82-D82,0)</f>
        <v/>
      </c>
      <c r="H82" s="40">
        <f>IF(OR(C82="Aset",C82="Perbelanjaan"),D82-E82,E82-D82)</f>
        <v/>
      </c>
    </row>
    <row r="83" ht="15" customHeight="1" s="60">
      <c r="A83" s="38">
        <f>Akaun!A83</f>
        <v/>
      </c>
      <c r="B83" s="38">
        <f>Akaun!C83</f>
        <v/>
      </c>
      <c r="C83" s="38">
        <f>Akaun!D83</f>
        <v/>
      </c>
      <c r="D83" s="40">
        <f>SUMIF(Baris_Transaksi!$C$5:$C$500,A83,Baris_Transaksi!$D$5:$D$500)</f>
        <v/>
      </c>
      <c r="E83" s="40">
        <f>SUMIF(Baris_Transaksi!$C$5:$C$500,A83,Baris_Transaksi!$E$5:$E$500)</f>
        <v/>
      </c>
      <c r="F83" s="40">
        <f>IF(D83-E83&gt;0,D83-E83,0)</f>
        <v/>
      </c>
      <c r="G83" s="40">
        <f>IF(E83-D83&gt;0,E83-D83,0)</f>
        <v/>
      </c>
      <c r="H83" s="40">
        <f>IF(OR(C83="Aset",C83="Perbelanjaan"),D83-E83,E83-D83)</f>
        <v/>
      </c>
    </row>
    <row r="84" ht="15" customHeight="1" s="60">
      <c r="A84" s="38">
        <f>Akaun!A84</f>
        <v/>
      </c>
      <c r="B84" s="38">
        <f>Akaun!C84</f>
        <v/>
      </c>
      <c r="C84" s="38">
        <f>Akaun!D84</f>
        <v/>
      </c>
      <c r="D84" s="40">
        <f>SUMIF(Baris_Transaksi!$C$5:$C$500,A84,Baris_Transaksi!$D$5:$D$500)</f>
        <v/>
      </c>
      <c r="E84" s="40">
        <f>SUMIF(Baris_Transaksi!$C$5:$C$500,A84,Baris_Transaksi!$E$5:$E$500)</f>
        <v/>
      </c>
      <c r="F84" s="40">
        <f>IF(D84-E84&gt;0,D84-E84,0)</f>
        <v/>
      </c>
      <c r="G84" s="40">
        <f>IF(E84-D84&gt;0,E84-D84,0)</f>
        <v/>
      </c>
      <c r="H84" s="40">
        <f>IF(OR(C84="Aset",C84="Perbelanjaan"),D84-E84,E84-D84)</f>
        <v/>
      </c>
    </row>
    <row r="85" ht="15" customHeight="1" s="60">
      <c r="A85" s="38">
        <f>Akaun!A85</f>
        <v/>
      </c>
      <c r="B85" s="38">
        <f>Akaun!C85</f>
        <v/>
      </c>
      <c r="C85" s="38">
        <f>Akaun!D85</f>
        <v/>
      </c>
      <c r="D85" s="40">
        <f>SUMIF(Baris_Transaksi!$C$5:$C$500,A85,Baris_Transaksi!$D$5:$D$500)</f>
        <v/>
      </c>
      <c r="E85" s="40">
        <f>SUMIF(Baris_Transaksi!$C$5:$C$500,A85,Baris_Transaksi!$E$5:$E$500)</f>
        <v/>
      </c>
      <c r="F85" s="40">
        <f>IF(D85-E85&gt;0,D85-E85,0)</f>
        <v/>
      </c>
      <c r="G85" s="40">
        <f>IF(E85-D85&gt;0,E85-D85,0)</f>
        <v/>
      </c>
      <c r="H85" s="40">
        <f>IF(OR(C85="Aset",C85="Perbelanjaan"),D85-E85,E85-D85)</f>
        <v/>
      </c>
    </row>
    <row r="86" ht="15" customHeight="1" s="60">
      <c r="A86" s="38">
        <f>Akaun!A86</f>
        <v/>
      </c>
      <c r="B86" s="38">
        <f>Akaun!C86</f>
        <v/>
      </c>
      <c r="C86" s="38">
        <f>Akaun!D86</f>
        <v/>
      </c>
      <c r="D86" s="40">
        <f>SUMIF(Baris_Transaksi!$C$5:$C$500,A86,Baris_Transaksi!$D$5:$D$500)</f>
        <v/>
      </c>
      <c r="E86" s="40">
        <f>SUMIF(Baris_Transaksi!$C$5:$C$500,A86,Baris_Transaksi!$E$5:$E$500)</f>
        <v/>
      </c>
      <c r="F86" s="40">
        <f>IF(D86-E86&gt;0,D86-E86,0)</f>
        <v/>
      </c>
      <c r="G86" s="40">
        <f>IF(E86-D86&gt;0,E86-D86,0)</f>
        <v/>
      </c>
      <c r="H86" s="40">
        <f>IF(OR(C86="Aset",C86="Perbelanjaan"),D86-E86,E86-D86)</f>
        <v/>
      </c>
    </row>
    <row r="87" ht="15" customHeight="1" s="60">
      <c r="A87" s="38">
        <f>Akaun!A87</f>
        <v/>
      </c>
      <c r="B87" s="38">
        <f>Akaun!C87</f>
        <v/>
      </c>
      <c r="C87" s="38">
        <f>Akaun!D87</f>
        <v/>
      </c>
      <c r="D87" s="40">
        <f>SUMIF(Baris_Transaksi!$C$5:$C$500,A87,Baris_Transaksi!$D$5:$D$500)</f>
        <v/>
      </c>
      <c r="E87" s="40">
        <f>SUMIF(Baris_Transaksi!$C$5:$C$500,A87,Baris_Transaksi!$E$5:$E$500)</f>
        <v/>
      </c>
      <c r="F87" s="40">
        <f>IF(D87-E87&gt;0,D87-E87,0)</f>
        <v/>
      </c>
      <c r="G87" s="40">
        <f>IF(E87-D87&gt;0,E87-D87,0)</f>
        <v/>
      </c>
      <c r="H87" s="40">
        <f>IF(OR(C87="Aset",C87="Perbelanjaan"),D87-E87,E87-D87)</f>
        <v/>
      </c>
    </row>
    <row r="88" ht="15" customHeight="1" s="60">
      <c r="A88" s="38">
        <f>Akaun!A88</f>
        <v/>
      </c>
      <c r="B88" s="38">
        <f>Akaun!C88</f>
        <v/>
      </c>
      <c r="C88" s="38">
        <f>Akaun!D88</f>
        <v/>
      </c>
      <c r="D88" s="40">
        <f>SUMIF(Baris_Transaksi!$C$5:$C$500,A88,Baris_Transaksi!$D$5:$D$500)</f>
        <v/>
      </c>
      <c r="E88" s="40">
        <f>SUMIF(Baris_Transaksi!$C$5:$C$500,A88,Baris_Transaksi!$E$5:$E$500)</f>
        <v/>
      </c>
      <c r="F88" s="40">
        <f>IF(D88-E88&gt;0,D88-E88,0)</f>
        <v/>
      </c>
      <c r="G88" s="40">
        <f>IF(E88-D88&gt;0,E88-D88,0)</f>
        <v/>
      </c>
      <c r="H88" s="40">
        <f>IF(OR(C88="Aset",C88="Perbelanjaan"),D88-E88,E88-D88)</f>
        <v/>
      </c>
    </row>
    <row r="89" ht="15" customHeight="1" s="60">
      <c r="A89" s="38">
        <f>Akaun!A89</f>
        <v/>
      </c>
      <c r="B89" s="38">
        <f>Akaun!C89</f>
        <v/>
      </c>
      <c r="C89" s="38">
        <f>Akaun!D89</f>
        <v/>
      </c>
      <c r="D89" s="40">
        <f>SUMIF(Baris_Transaksi!$C$5:$C$500,A89,Baris_Transaksi!$D$5:$D$500)</f>
        <v/>
      </c>
      <c r="E89" s="40">
        <f>SUMIF(Baris_Transaksi!$C$5:$C$500,A89,Baris_Transaksi!$E$5:$E$500)</f>
        <v/>
      </c>
      <c r="F89" s="40">
        <f>IF(D89-E89&gt;0,D89-E89,0)</f>
        <v/>
      </c>
      <c r="G89" s="40">
        <f>IF(E89-D89&gt;0,E89-D89,0)</f>
        <v/>
      </c>
      <c r="H89" s="40">
        <f>IF(OR(C89="Aset",C89="Perbelanjaan"),D89-E89,E89-D89)</f>
        <v/>
      </c>
    </row>
    <row r="90" ht="15" customHeight="1" s="60">
      <c r="A90" s="38">
        <f>Akaun!A90</f>
        <v/>
      </c>
      <c r="B90" s="38">
        <f>Akaun!C90</f>
        <v/>
      </c>
      <c r="C90" s="38">
        <f>Akaun!D90</f>
        <v/>
      </c>
      <c r="D90" s="40">
        <f>SUMIF(Baris_Transaksi!$C$5:$C$500,A90,Baris_Transaksi!$D$5:$D$500)</f>
        <v/>
      </c>
      <c r="E90" s="40">
        <f>SUMIF(Baris_Transaksi!$C$5:$C$500,A90,Baris_Transaksi!$E$5:$E$500)</f>
        <v/>
      </c>
      <c r="F90" s="40">
        <f>IF(D90-E90&gt;0,D90-E90,0)</f>
        <v/>
      </c>
      <c r="G90" s="40">
        <f>IF(E90-D90&gt;0,E90-D90,0)</f>
        <v/>
      </c>
      <c r="H90" s="40">
        <f>IF(OR(C90="Aset",C90="Perbelanjaan"),D90-E90,E90-D90)</f>
        <v/>
      </c>
    </row>
    <row r="91" ht="15" customHeight="1" s="60">
      <c r="A91" s="38">
        <f>Akaun!A91</f>
        <v/>
      </c>
      <c r="B91" s="38">
        <f>Akaun!C91</f>
        <v/>
      </c>
      <c r="C91" s="38">
        <f>Akaun!D91</f>
        <v/>
      </c>
      <c r="D91" s="40">
        <f>SUMIF(Baris_Transaksi!$C$5:$C$500,A91,Baris_Transaksi!$D$5:$D$500)</f>
        <v/>
      </c>
      <c r="E91" s="40">
        <f>SUMIF(Baris_Transaksi!$C$5:$C$500,A91,Baris_Transaksi!$E$5:$E$500)</f>
        <v/>
      </c>
      <c r="F91" s="40">
        <f>IF(D91-E91&gt;0,D91-E91,0)</f>
        <v/>
      </c>
      <c r="G91" s="40">
        <f>IF(E91-D91&gt;0,E91-D91,0)</f>
        <v/>
      </c>
      <c r="H91" s="40">
        <f>IF(OR(C91="Aset",C91="Perbelanjaan"),D91-E91,E91-D91)</f>
        <v/>
      </c>
    </row>
    <row r="92" ht="15" customHeight="1" s="60">
      <c r="A92" s="38">
        <f>Akaun!A92</f>
        <v/>
      </c>
      <c r="B92" s="38">
        <f>Akaun!C92</f>
        <v/>
      </c>
      <c r="C92" s="38">
        <f>Akaun!D92</f>
        <v/>
      </c>
      <c r="D92" s="40">
        <f>SUMIF(Baris_Transaksi!$C$5:$C$500,A92,Baris_Transaksi!$D$5:$D$500)</f>
        <v/>
      </c>
      <c r="E92" s="40">
        <f>SUMIF(Baris_Transaksi!$C$5:$C$500,A92,Baris_Transaksi!$E$5:$E$500)</f>
        <v/>
      </c>
      <c r="F92" s="40">
        <f>IF(D92-E92&gt;0,D92-E92,0)</f>
        <v/>
      </c>
      <c r="G92" s="40">
        <f>IF(E92-D92&gt;0,E92-D92,0)</f>
        <v/>
      </c>
      <c r="H92" s="40">
        <f>IF(OR(C92="Aset",C92="Perbelanjaan"),D92-E92,E92-D92)</f>
        <v/>
      </c>
    </row>
    <row r="93" ht="15" customHeight="1" s="60">
      <c r="A93" s="38">
        <f>Akaun!A93</f>
        <v/>
      </c>
      <c r="B93" s="38">
        <f>Akaun!C93</f>
        <v/>
      </c>
      <c r="C93" s="38">
        <f>Akaun!D93</f>
        <v/>
      </c>
      <c r="D93" s="40">
        <f>SUMIF(Baris_Transaksi!$C$5:$C$500,A93,Baris_Transaksi!$D$5:$D$500)</f>
        <v/>
      </c>
      <c r="E93" s="40">
        <f>SUMIF(Baris_Transaksi!$C$5:$C$500,A93,Baris_Transaksi!$E$5:$E$500)</f>
        <v/>
      </c>
      <c r="F93" s="40">
        <f>IF(D93-E93&gt;0,D93-E93,0)</f>
        <v/>
      </c>
      <c r="G93" s="40">
        <f>IF(E93-D93&gt;0,E93-D93,0)</f>
        <v/>
      </c>
      <c r="H93" s="40">
        <f>IF(OR(C93="Aset",C93="Perbelanjaan"),D93-E93,E93-D93)</f>
        <v/>
      </c>
    </row>
    <row r="94" ht="15" customHeight="1" s="60">
      <c r="A94" s="38">
        <f>Akaun!A94</f>
        <v/>
      </c>
      <c r="B94" s="38">
        <f>Akaun!C94</f>
        <v/>
      </c>
      <c r="C94" s="38">
        <f>Akaun!D94</f>
        <v/>
      </c>
      <c r="D94" s="40">
        <f>SUMIF(Baris_Transaksi!$C$5:$C$500,A94,Baris_Transaksi!$D$5:$D$500)</f>
        <v/>
      </c>
      <c r="E94" s="40">
        <f>SUMIF(Baris_Transaksi!$C$5:$C$500,A94,Baris_Transaksi!$E$5:$E$500)</f>
        <v/>
      </c>
      <c r="F94" s="40">
        <f>IF(D94-E94&gt;0,D94-E94,0)</f>
        <v/>
      </c>
      <c r="G94" s="40">
        <f>IF(E94-D94&gt;0,E94-D94,0)</f>
        <v/>
      </c>
      <c r="H94" s="40">
        <f>IF(OR(C94="Aset",C94="Perbelanjaan"),D94-E94,E94-D94)</f>
        <v/>
      </c>
    </row>
    <row r="95" ht="15" customHeight="1" s="60">
      <c r="A95" s="38">
        <f>Akaun!A95</f>
        <v/>
      </c>
      <c r="B95" s="38">
        <f>Akaun!C95</f>
        <v/>
      </c>
      <c r="C95" s="38">
        <f>Akaun!D95</f>
        <v/>
      </c>
      <c r="D95" s="40">
        <f>SUMIF(Baris_Transaksi!$C$5:$C$500,A95,Baris_Transaksi!$D$5:$D$500)</f>
        <v/>
      </c>
      <c r="E95" s="40">
        <f>SUMIF(Baris_Transaksi!$C$5:$C$500,A95,Baris_Transaksi!$E$5:$E$500)</f>
        <v/>
      </c>
      <c r="F95" s="40">
        <f>IF(D95-E95&gt;0,D95-E95,0)</f>
        <v/>
      </c>
      <c r="G95" s="40">
        <f>IF(E95-D95&gt;0,E95-D95,0)</f>
        <v/>
      </c>
      <c r="H95" s="40">
        <f>IF(OR(C95="Aset",C95="Perbelanjaan"),D95-E95,E95-D95)</f>
        <v/>
      </c>
    </row>
    <row r="96" ht="15" customHeight="1" s="60">
      <c r="A96" s="38">
        <f>Akaun!A96</f>
        <v/>
      </c>
      <c r="B96" s="38">
        <f>Akaun!C96</f>
        <v/>
      </c>
      <c r="C96" s="38">
        <f>Akaun!D96</f>
        <v/>
      </c>
      <c r="D96" s="40">
        <f>SUMIF(Baris_Transaksi!$C$5:$C$500,A96,Baris_Transaksi!$D$5:$D$500)</f>
        <v/>
      </c>
      <c r="E96" s="40">
        <f>SUMIF(Baris_Transaksi!$C$5:$C$500,A96,Baris_Transaksi!$E$5:$E$500)</f>
        <v/>
      </c>
      <c r="F96" s="40">
        <f>IF(D96-E96&gt;0,D96-E96,0)</f>
        <v/>
      </c>
      <c r="G96" s="40">
        <f>IF(E96-D96&gt;0,E96-D96,0)</f>
        <v/>
      </c>
      <c r="H96" s="40">
        <f>IF(OR(C96="Aset",C96="Perbelanjaan"),D96-E96,E96-D96)</f>
        <v/>
      </c>
    </row>
    <row r="97" ht="15" customHeight="1" s="60">
      <c r="A97" s="38">
        <f>Akaun!A97</f>
        <v/>
      </c>
      <c r="B97" s="38">
        <f>Akaun!C97</f>
        <v/>
      </c>
      <c r="C97" s="38">
        <f>Akaun!D97</f>
        <v/>
      </c>
      <c r="D97" s="40">
        <f>SUMIF(Baris_Transaksi!$C$5:$C$500,A97,Baris_Transaksi!$D$5:$D$500)</f>
        <v/>
      </c>
      <c r="E97" s="40">
        <f>SUMIF(Baris_Transaksi!$C$5:$C$500,A97,Baris_Transaksi!$E$5:$E$500)</f>
        <v/>
      </c>
      <c r="F97" s="40">
        <f>IF(D97-E97&gt;0,D97-E97,0)</f>
        <v/>
      </c>
      <c r="G97" s="40">
        <f>IF(E97-D97&gt;0,E97-D97,0)</f>
        <v/>
      </c>
      <c r="H97" s="40">
        <f>IF(OR(C97="Aset",C97="Perbelanjaan"),D97-E97,E97-D97)</f>
        <v/>
      </c>
    </row>
    <row r="98" ht="15" customHeight="1" s="60">
      <c r="A98" s="38">
        <f>Akaun!A98</f>
        <v/>
      </c>
      <c r="B98" s="38">
        <f>Akaun!C98</f>
        <v/>
      </c>
      <c r="C98" s="38">
        <f>Akaun!D98</f>
        <v/>
      </c>
      <c r="D98" s="40">
        <f>SUMIF(Baris_Transaksi!$C$5:$C$500,A98,Baris_Transaksi!$D$5:$D$500)</f>
        <v/>
      </c>
      <c r="E98" s="40">
        <f>SUMIF(Baris_Transaksi!$C$5:$C$500,A98,Baris_Transaksi!$E$5:$E$500)</f>
        <v/>
      </c>
      <c r="F98" s="40">
        <f>IF(D98-E98&gt;0,D98-E98,0)</f>
        <v/>
      </c>
      <c r="G98" s="40">
        <f>IF(E98-D98&gt;0,E98-D98,0)</f>
        <v/>
      </c>
      <c r="H98" s="40">
        <f>IF(OR(C98="Aset",C98="Perbelanjaan"),D98-E98,E98-D98)</f>
        <v/>
      </c>
    </row>
    <row r="99" ht="15" customHeight="1" s="60">
      <c r="A99" s="38">
        <f>Akaun!A99</f>
        <v/>
      </c>
      <c r="B99" s="38">
        <f>Akaun!C99</f>
        <v/>
      </c>
      <c r="C99" s="38">
        <f>Akaun!D99</f>
        <v/>
      </c>
      <c r="D99" s="40">
        <f>SUMIF(Baris_Transaksi!$C$5:$C$500,A99,Baris_Transaksi!$D$5:$D$500)</f>
        <v/>
      </c>
      <c r="E99" s="40">
        <f>SUMIF(Baris_Transaksi!$C$5:$C$500,A99,Baris_Transaksi!$E$5:$E$500)</f>
        <v/>
      </c>
      <c r="F99" s="40">
        <f>IF(D99-E99&gt;0,D99-E99,0)</f>
        <v/>
      </c>
      <c r="G99" s="40">
        <f>IF(E99-D99&gt;0,E99-D99,0)</f>
        <v/>
      </c>
      <c r="H99" s="40">
        <f>IF(OR(C99="Aset",C99="Perbelanjaan"),D99-E99,E99-D99)</f>
        <v/>
      </c>
    </row>
    <row r="100" ht="15" customHeight="1" s="60">
      <c r="A100" s="38">
        <f>Akaun!A100</f>
        <v/>
      </c>
      <c r="B100" s="38">
        <f>Akaun!C100</f>
        <v/>
      </c>
      <c r="C100" s="38">
        <f>Akaun!D100</f>
        <v/>
      </c>
      <c r="D100" s="40">
        <f>SUMIF(Baris_Transaksi!$C$5:$C$500,A100,Baris_Transaksi!$D$5:$D$500)</f>
        <v/>
      </c>
      <c r="E100" s="40">
        <f>SUMIF(Baris_Transaksi!$C$5:$C$500,A100,Baris_Transaksi!$E$5:$E$500)</f>
        <v/>
      </c>
      <c r="F100" s="40">
        <f>IF(D100-E100&gt;0,D100-E100,0)</f>
        <v/>
      </c>
      <c r="G100" s="40">
        <f>IF(E100-D100&gt;0,E100-D100,0)</f>
        <v/>
      </c>
      <c r="H100" s="40">
        <f>IF(OR(C100="Aset",C100="Perbelanjaan"),D100-E100,E100-D100)</f>
        <v/>
      </c>
    </row>
    <row r="101" ht="15" customHeight="1" s="60">
      <c r="A101" s="38">
        <f>Akaun!A101</f>
        <v/>
      </c>
      <c r="B101" s="38">
        <f>Akaun!C101</f>
        <v/>
      </c>
      <c r="C101" s="38">
        <f>Akaun!D101</f>
        <v/>
      </c>
      <c r="D101" s="40">
        <f>SUMIF(Baris_Transaksi!$C$5:$C$500,A101,Baris_Transaksi!$D$5:$D$500)</f>
        <v/>
      </c>
      <c r="E101" s="40">
        <f>SUMIF(Baris_Transaksi!$C$5:$C$500,A101,Baris_Transaksi!$E$5:$E$500)</f>
        <v/>
      </c>
      <c r="F101" s="40">
        <f>IF(D101-E101&gt;0,D101-E101,0)</f>
        <v/>
      </c>
      <c r="G101" s="40">
        <f>IF(E101-D101&gt;0,E101-D101,0)</f>
        <v/>
      </c>
      <c r="H101" s="40">
        <f>IF(OR(C101="Aset",C101="Perbelanjaan"),D101-E101,E101-D101)</f>
        <v/>
      </c>
    </row>
    <row r="102" ht="15" customHeight="1" s="60">
      <c r="A102" s="38">
        <f>Akaun!A102</f>
        <v/>
      </c>
      <c r="B102" s="38">
        <f>Akaun!C102</f>
        <v/>
      </c>
      <c r="C102" s="38">
        <f>Akaun!D102</f>
        <v/>
      </c>
      <c r="D102" s="40">
        <f>SUMIF(Baris_Transaksi!$C$5:$C$500,A102,Baris_Transaksi!$D$5:$D$500)</f>
        <v/>
      </c>
      <c r="E102" s="40">
        <f>SUMIF(Baris_Transaksi!$C$5:$C$500,A102,Baris_Transaksi!$E$5:$E$500)</f>
        <v/>
      </c>
      <c r="F102" s="40">
        <f>IF(D102-E102&gt;0,D102-E102,0)</f>
        <v/>
      </c>
      <c r="G102" s="40">
        <f>IF(E102-D102&gt;0,E102-D102,0)</f>
        <v/>
      </c>
      <c r="H102" s="40">
        <f>IF(OR(C102="Aset",C102="Perbelanjaan"),D102-E102,E102-D102)</f>
        <v/>
      </c>
    </row>
    <row r="103" ht="15" customHeight="1" s="60">
      <c r="A103" s="38">
        <f>Akaun!A103</f>
        <v/>
      </c>
      <c r="B103" s="38">
        <f>Akaun!C103</f>
        <v/>
      </c>
      <c r="C103" s="38">
        <f>Akaun!D103</f>
        <v/>
      </c>
      <c r="D103" s="40">
        <f>SUMIF(Baris_Transaksi!$C$5:$C$500,A103,Baris_Transaksi!$D$5:$D$500)</f>
        <v/>
      </c>
      <c r="E103" s="40">
        <f>SUMIF(Baris_Transaksi!$C$5:$C$500,A103,Baris_Transaksi!$E$5:$E$500)</f>
        <v/>
      </c>
      <c r="F103" s="40">
        <f>IF(D103-E103&gt;0,D103-E103,0)</f>
        <v/>
      </c>
      <c r="G103" s="40">
        <f>IF(E103-D103&gt;0,E103-D103,0)</f>
        <v/>
      </c>
      <c r="H103" s="40">
        <f>IF(OR(C103="Aset",C103="Perbelanjaan"),D103-E103,E103-D103)</f>
        <v/>
      </c>
    </row>
    <row r="104" ht="15" customHeight="1" s="60">
      <c r="A104" s="38">
        <f>Akaun!A104</f>
        <v/>
      </c>
      <c r="B104" s="38">
        <f>Akaun!C104</f>
        <v/>
      </c>
      <c r="C104" s="38">
        <f>Akaun!D104</f>
        <v/>
      </c>
      <c r="D104" s="40">
        <f>SUMIF(Baris_Transaksi!$C$5:$C$500,A104,Baris_Transaksi!$D$5:$D$500)</f>
        <v/>
      </c>
      <c r="E104" s="40">
        <f>SUMIF(Baris_Transaksi!$C$5:$C$500,A104,Baris_Transaksi!$E$5:$E$500)</f>
        <v/>
      </c>
      <c r="F104" s="40">
        <f>IF(D104-E104&gt;0,D104-E104,0)</f>
        <v/>
      </c>
      <c r="G104" s="40">
        <f>IF(E104-D104&gt;0,E104-D104,0)</f>
        <v/>
      </c>
      <c r="H104" s="40">
        <f>IF(OR(C104="Aset",C104="Perbelanjaan"),D104-E104,E104-D104)</f>
        <v/>
      </c>
    </row>
    <row r="105" ht="15" customHeight="1" s="60">
      <c r="A105" s="38">
        <f>Akaun!A105</f>
        <v/>
      </c>
      <c r="B105" s="38">
        <f>Akaun!C105</f>
        <v/>
      </c>
      <c r="C105" s="38">
        <f>Akaun!D105</f>
        <v/>
      </c>
      <c r="D105" s="40">
        <f>SUMIF(Baris_Transaksi!$C$5:$C$500,A105,Baris_Transaksi!$D$5:$D$500)</f>
        <v/>
      </c>
      <c r="E105" s="40">
        <f>SUMIF(Baris_Transaksi!$C$5:$C$500,A105,Baris_Transaksi!$E$5:$E$500)</f>
        <v/>
      </c>
      <c r="F105" s="40">
        <f>IF(D105-E105&gt;0,D105-E105,0)</f>
        <v/>
      </c>
      <c r="G105" s="40">
        <f>IF(E105-D105&gt;0,E105-D105,0)</f>
        <v/>
      </c>
      <c r="H105" s="40">
        <f>IF(OR(C105="Aset",C105="Perbelanjaan"),D105-E105,E105-D105)</f>
        <v/>
      </c>
    </row>
    <row r="106" ht="15" customHeight="1" s="60">
      <c r="A106" s="38">
        <f>Akaun!A106</f>
        <v/>
      </c>
      <c r="B106" s="38">
        <f>Akaun!C106</f>
        <v/>
      </c>
      <c r="C106" s="38">
        <f>Akaun!D106</f>
        <v/>
      </c>
      <c r="D106" s="40">
        <f>SUMIF(Baris_Transaksi!$C$5:$C$500,A106,Baris_Transaksi!$D$5:$D$500)</f>
        <v/>
      </c>
      <c r="E106" s="40">
        <f>SUMIF(Baris_Transaksi!$C$5:$C$500,A106,Baris_Transaksi!$E$5:$E$500)</f>
        <v/>
      </c>
      <c r="F106" s="40">
        <f>IF(D106-E106&gt;0,D106-E106,0)</f>
        <v/>
      </c>
      <c r="G106" s="40">
        <f>IF(E106-D106&gt;0,E106-D106,0)</f>
        <v/>
      </c>
      <c r="H106" s="40">
        <f>IF(OR(C106="Aset",C106="Perbelanjaan"),D106-E106,E106-D106)</f>
        <v/>
      </c>
    </row>
    <row r="107" ht="15" customHeight="1" s="60">
      <c r="A107" s="38">
        <f>Akaun!A107</f>
        <v/>
      </c>
      <c r="B107" s="38">
        <f>Akaun!C107</f>
        <v/>
      </c>
      <c r="C107" s="38">
        <f>Akaun!D107</f>
        <v/>
      </c>
      <c r="D107" s="40">
        <f>SUMIF(Baris_Transaksi!$C$5:$C$500,A107,Baris_Transaksi!$D$5:$D$500)</f>
        <v/>
      </c>
      <c r="E107" s="40">
        <f>SUMIF(Baris_Transaksi!$C$5:$C$500,A107,Baris_Transaksi!$E$5:$E$500)</f>
        <v/>
      </c>
      <c r="F107" s="40">
        <f>IF(D107-E107&gt;0,D107-E107,0)</f>
        <v/>
      </c>
      <c r="G107" s="40">
        <f>IF(E107-D107&gt;0,E107-D107,0)</f>
        <v/>
      </c>
      <c r="H107" s="40">
        <f>IF(OR(C107="Aset",C107="Perbelanjaan"),D107-E107,E107-D107)</f>
        <v/>
      </c>
    </row>
    <row r="108" ht="15" customHeight="1" s="60">
      <c r="A108" s="38">
        <f>Akaun!A108</f>
        <v/>
      </c>
      <c r="B108" s="38">
        <f>Akaun!C108</f>
        <v/>
      </c>
      <c r="C108" s="38">
        <f>Akaun!D108</f>
        <v/>
      </c>
      <c r="D108" s="40">
        <f>SUMIF(Baris_Transaksi!$C$5:$C$500,A108,Baris_Transaksi!$D$5:$D$500)</f>
        <v/>
      </c>
      <c r="E108" s="40">
        <f>SUMIF(Baris_Transaksi!$C$5:$C$500,A108,Baris_Transaksi!$E$5:$E$500)</f>
        <v/>
      </c>
      <c r="F108" s="40">
        <f>IF(D108-E108&gt;0,D108-E108,0)</f>
        <v/>
      </c>
      <c r="G108" s="40">
        <f>IF(E108-D108&gt;0,E108-D108,0)</f>
        <v/>
      </c>
      <c r="H108" s="40">
        <f>IF(OR(C108="Aset",C108="Perbelanjaan"),D108-E108,E108-D108)</f>
        <v/>
      </c>
    </row>
    <row r="109" ht="15" customHeight="1" s="60">
      <c r="A109" s="38">
        <f>Akaun!A109</f>
        <v/>
      </c>
      <c r="B109" s="38">
        <f>Akaun!C109</f>
        <v/>
      </c>
      <c r="C109" s="38">
        <f>Akaun!D109</f>
        <v/>
      </c>
      <c r="D109" s="40">
        <f>SUMIF(Baris_Transaksi!$C$5:$C$500,A109,Baris_Transaksi!$D$5:$D$500)</f>
        <v/>
      </c>
      <c r="E109" s="40">
        <f>SUMIF(Baris_Transaksi!$C$5:$C$500,A109,Baris_Transaksi!$E$5:$E$500)</f>
        <v/>
      </c>
      <c r="F109" s="40">
        <f>IF(D109-E109&gt;0,D109-E109,0)</f>
        <v/>
      </c>
      <c r="G109" s="40">
        <f>IF(E109-D109&gt;0,E109-D109,0)</f>
        <v/>
      </c>
      <c r="H109" s="40">
        <f>IF(OR(C109="Aset",C109="Perbelanjaan"),D109-E109,E109-D109)</f>
        <v/>
      </c>
    </row>
    <row r="110" ht="15" customHeight="1" s="60">
      <c r="A110" s="38">
        <f>Akaun!A110</f>
        <v/>
      </c>
      <c r="B110" s="38">
        <f>Akaun!C110</f>
        <v/>
      </c>
      <c r="C110" s="38">
        <f>Akaun!D110</f>
        <v/>
      </c>
      <c r="D110" s="40">
        <f>SUMIF(Baris_Transaksi!$C$5:$C$500,A110,Baris_Transaksi!$D$5:$D$500)</f>
        <v/>
      </c>
      <c r="E110" s="40">
        <f>SUMIF(Baris_Transaksi!$C$5:$C$500,A110,Baris_Transaksi!$E$5:$E$500)</f>
        <v/>
      </c>
      <c r="F110" s="40">
        <f>IF(D110-E110&gt;0,D110-E110,0)</f>
        <v/>
      </c>
      <c r="G110" s="40">
        <f>IF(E110-D110&gt;0,E110-D110,0)</f>
        <v/>
      </c>
      <c r="H110" s="40">
        <f>IF(OR(C110="Aset",C110="Perbelanjaan"),D110-E110,E110-D110)</f>
        <v/>
      </c>
    </row>
    <row r="111" ht="15" customHeight="1" s="60">
      <c r="A111" s="38">
        <f>Akaun!A111</f>
        <v/>
      </c>
      <c r="B111" s="38">
        <f>Akaun!C111</f>
        <v/>
      </c>
      <c r="C111" s="38">
        <f>Akaun!D111</f>
        <v/>
      </c>
      <c r="D111" s="40">
        <f>SUMIF(Baris_Transaksi!$C$5:$C$500,A111,Baris_Transaksi!$D$5:$D$500)</f>
        <v/>
      </c>
      <c r="E111" s="40">
        <f>SUMIF(Baris_Transaksi!$C$5:$C$500,A111,Baris_Transaksi!$E$5:$E$500)</f>
        <v/>
      </c>
      <c r="F111" s="40">
        <f>IF(D111-E111&gt;0,D111-E111,0)</f>
        <v/>
      </c>
      <c r="G111" s="40">
        <f>IF(E111-D111&gt;0,E111-D111,0)</f>
        <v/>
      </c>
      <c r="H111" s="40">
        <f>IF(OR(C111="Aset",C111="Perbelanjaan"),D111-E111,E111-D111)</f>
        <v/>
      </c>
    </row>
    <row r="112" ht="15" customHeight="1" s="60">
      <c r="A112" s="38">
        <f>Akaun!A112</f>
        <v/>
      </c>
      <c r="B112" s="38">
        <f>Akaun!C112</f>
        <v/>
      </c>
      <c r="C112" s="38">
        <f>Akaun!D112</f>
        <v/>
      </c>
      <c r="D112" s="40">
        <f>SUMIF(Baris_Transaksi!$C$5:$C$500,A112,Baris_Transaksi!$D$5:$D$500)</f>
        <v/>
      </c>
      <c r="E112" s="40">
        <f>SUMIF(Baris_Transaksi!$C$5:$C$500,A112,Baris_Transaksi!$E$5:$E$500)</f>
        <v/>
      </c>
      <c r="F112" s="40">
        <f>IF(D112-E112&gt;0,D112-E112,0)</f>
        <v/>
      </c>
      <c r="G112" s="40">
        <f>IF(E112-D112&gt;0,E112-D112,0)</f>
        <v/>
      </c>
      <c r="H112" s="40">
        <f>IF(OR(C112="Aset",C112="Perbelanjaan"),D112-E112,E112-D112)</f>
        <v/>
      </c>
    </row>
    <row r="113" ht="15" customHeight="1" s="60">
      <c r="A113" s="38">
        <f>Akaun!A113</f>
        <v/>
      </c>
      <c r="B113" s="38">
        <f>Akaun!C113</f>
        <v/>
      </c>
      <c r="C113" s="38">
        <f>Akaun!D113</f>
        <v/>
      </c>
      <c r="D113" s="40">
        <f>SUMIF(Baris_Transaksi!$C$5:$C$500,A113,Baris_Transaksi!$D$5:$D$500)</f>
        <v/>
      </c>
      <c r="E113" s="40">
        <f>SUMIF(Baris_Transaksi!$C$5:$C$500,A113,Baris_Transaksi!$E$5:$E$500)</f>
        <v/>
      </c>
      <c r="F113" s="40">
        <f>IF(D113-E113&gt;0,D113-E113,0)</f>
        <v/>
      </c>
      <c r="G113" s="40">
        <f>IF(E113-D113&gt;0,E113-D113,0)</f>
        <v/>
      </c>
      <c r="H113" s="40">
        <f>IF(OR(C113="Aset",C113="Perbelanjaan"),D113-E113,E113-D113)</f>
        <v/>
      </c>
    </row>
    <row r="114" ht="15" customHeight="1" s="60">
      <c r="A114" s="38">
        <f>Akaun!A114</f>
        <v/>
      </c>
      <c r="B114" s="38">
        <f>Akaun!C114</f>
        <v/>
      </c>
      <c r="C114" s="38">
        <f>Akaun!D114</f>
        <v/>
      </c>
      <c r="D114" s="40">
        <f>SUMIF(Baris_Transaksi!$C$5:$C$500,A114,Baris_Transaksi!$D$5:$D$500)</f>
        <v/>
      </c>
      <c r="E114" s="40">
        <f>SUMIF(Baris_Transaksi!$C$5:$C$500,A114,Baris_Transaksi!$E$5:$E$500)</f>
        <v/>
      </c>
      <c r="F114" s="40">
        <f>IF(D114-E114&gt;0,D114-E114,0)</f>
        <v/>
      </c>
      <c r="G114" s="40">
        <f>IF(E114-D114&gt;0,E114-D114,0)</f>
        <v/>
      </c>
      <c r="H114" s="40">
        <f>IF(OR(C114="Aset",C114="Perbelanjaan"),D114-E114,E114-D114)</f>
        <v/>
      </c>
    </row>
    <row r="115" ht="15" customHeight="1" s="60">
      <c r="A115" s="38">
        <f>Akaun!A115</f>
        <v/>
      </c>
      <c r="B115" s="38">
        <f>Akaun!C115</f>
        <v/>
      </c>
      <c r="C115" s="38">
        <f>Akaun!D115</f>
        <v/>
      </c>
      <c r="D115" s="40">
        <f>SUMIF(Baris_Transaksi!$C$5:$C$500,A115,Baris_Transaksi!$D$5:$D$500)</f>
        <v/>
      </c>
      <c r="E115" s="40">
        <f>SUMIF(Baris_Transaksi!$C$5:$C$500,A115,Baris_Transaksi!$E$5:$E$500)</f>
        <v/>
      </c>
      <c r="F115" s="40">
        <f>IF(D115-E115&gt;0,D115-E115,0)</f>
        <v/>
      </c>
      <c r="G115" s="40">
        <f>IF(E115-D115&gt;0,E115-D115,0)</f>
        <v/>
      </c>
      <c r="H115" s="40">
        <f>IF(OR(C115="Aset",C115="Perbelanjaan"),D115-E115,E115-D115)</f>
        <v/>
      </c>
    </row>
    <row r="116" ht="15" customHeight="1" s="60">
      <c r="A116" s="38">
        <f>Akaun!A116</f>
        <v/>
      </c>
      <c r="B116" s="38">
        <f>Akaun!C116</f>
        <v/>
      </c>
      <c r="C116" s="38">
        <f>Akaun!D116</f>
        <v/>
      </c>
      <c r="D116" s="40">
        <f>SUMIF(Baris_Transaksi!$C$5:$C$500,A116,Baris_Transaksi!$D$5:$D$500)</f>
        <v/>
      </c>
      <c r="E116" s="40">
        <f>SUMIF(Baris_Transaksi!$C$5:$C$500,A116,Baris_Transaksi!$E$5:$E$500)</f>
        <v/>
      </c>
      <c r="F116" s="40">
        <f>IF(D116-E116&gt;0,D116-E116,0)</f>
        <v/>
      </c>
      <c r="G116" s="40">
        <f>IF(E116-D116&gt;0,E116-D116,0)</f>
        <v/>
      </c>
      <c r="H116" s="40">
        <f>IF(OR(C116="Aset",C116="Perbelanjaan"),D116-E116,E116-D116)</f>
        <v/>
      </c>
    </row>
    <row r="117" ht="15" customHeight="1" s="60">
      <c r="A117" s="38">
        <f>Akaun!A117</f>
        <v/>
      </c>
      <c r="B117" s="38">
        <f>Akaun!C117</f>
        <v/>
      </c>
      <c r="C117" s="38">
        <f>Akaun!D117</f>
        <v/>
      </c>
      <c r="D117" s="40">
        <f>SUMIF(Baris_Transaksi!$C$5:$C$500,A117,Baris_Transaksi!$D$5:$D$500)</f>
        <v/>
      </c>
      <c r="E117" s="40">
        <f>SUMIF(Baris_Transaksi!$C$5:$C$500,A117,Baris_Transaksi!$E$5:$E$500)</f>
        <v/>
      </c>
      <c r="F117" s="40">
        <f>IF(D117-E117&gt;0,D117-E117,0)</f>
        <v/>
      </c>
      <c r="G117" s="40">
        <f>IF(E117-D117&gt;0,E117-D117,0)</f>
        <v/>
      </c>
      <c r="H117" s="40">
        <f>IF(OR(C117="Aset",C117="Perbelanjaan"),D117-E117,E117-D117)</f>
        <v/>
      </c>
    </row>
    <row r="118" ht="15" customHeight="1" s="60">
      <c r="A118" s="38">
        <f>Akaun!A118</f>
        <v/>
      </c>
      <c r="B118" s="38">
        <f>Akaun!C118</f>
        <v/>
      </c>
      <c r="C118" s="38">
        <f>Akaun!D118</f>
        <v/>
      </c>
      <c r="D118" s="40">
        <f>SUMIF(Baris_Transaksi!$C$5:$C$500,A118,Baris_Transaksi!$D$5:$D$500)</f>
        <v/>
      </c>
      <c r="E118" s="40">
        <f>SUMIF(Baris_Transaksi!$C$5:$C$500,A118,Baris_Transaksi!$E$5:$E$500)</f>
        <v/>
      </c>
      <c r="F118" s="40">
        <f>IF(D118-E118&gt;0,D118-E118,0)</f>
        <v/>
      </c>
      <c r="G118" s="40">
        <f>IF(E118-D118&gt;0,E118-D118,0)</f>
        <v/>
      </c>
      <c r="H118" s="40">
        <f>IF(OR(C118="Aset",C118="Perbelanjaan"),D118-E118,E118-D118)</f>
        <v/>
      </c>
    </row>
    <row r="119" ht="15" customHeight="1" s="60">
      <c r="A119" s="38">
        <f>Akaun!A119</f>
        <v/>
      </c>
      <c r="B119" s="38">
        <f>Akaun!C119</f>
        <v/>
      </c>
      <c r="C119" s="38">
        <f>Akaun!D119</f>
        <v/>
      </c>
      <c r="D119" s="40">
        <f>SUMIF(Baris_Transaksi!$C$5:$C$500,A119,Baris_Transaksi!$D$5:$D$500)</f>
        <v/>
      </c>
      <c r="E119" s="40">
        <f>SUMIF(Baris_Transaksi!$C$5:$C$500,A119,Baris_Transaksi!$E$5:$E$500)</f>
        <v/>
      </c>
      <c r="F119" s="40">
        <f>IF(D119-E119&gt;0,D119-E119,0)</f>
        <v/>
      </c>
      <c r="G119" s="40">
        <f>IF(E119-D119&gt;0,E119-D119,0)</f>
        <v/>
      </c>
      <c r="H119" s="40">
        <f>IF(OR(C119="Aset",C119="Perbelanjaan"),D119-E119,E119-D119)</f>
        <v/>
      </c>
    </row>
    <row r="120" ht="15" customHeight="1" s="60">
      <c r="A120" s="38">
        <f>Akaun!A120</f>
        <v/>
      </c>
      <c r="B120" s="38">
        <f>Akaun!C120</f>
        <v/>
      </c>
      <c r="C120" s="38">
        <f>Akaun!D120</f>
        <v/>
      </c>
      <c r="D120" s="40">
        <f>SUMIF(Baris_Transaksi!$C$5:$C$500,A120,Baris_Transaksi!$D$5:$D$500)</f>
        <v/>
      </c>
      <c r="E120" s="40">
        <f>SUMIF(Baris_Transaksi!$C$5:$C$500,A120,Baris_Transaksi!$E$5:$E$500)</f>
        <v/>
      </c>
      <c r="F120" s="40">
        <f>IF(D120-E120&gt;0,D120-E120,0)</f>
        <v/>
      </c>
      <c r="G120" s="40">
        <f>IF(E120-D120&gt;0,E120-D120,0)</f>
        <v/>
      </c>
      <c r="H120" s="40">
        <f>IF(OR(C120="Aset",C120="Perbelanjaan"),D120-E120,E120-D120)</f>
        <v/>
      </c>
    </row>
    <row r="121" ht="15" customHeight="1" s="60">
      <c r="A121" s="38">
        <f>Akaun!A121</f>
        <v/>
      </c>
      <c r="B121" s="38">
        <f>Akaun!C121</f>
        <v/>
      </c>
      <c r="C121" s="38">
        <f>Akaun!D121</f>
        <v/>
      </c>
      <c r="D121" s="40">
        <f>SUMIF(Baris_Transaksi!$C$5:$C$500,A121,Baris_Transaksi!$D$5:$D$500)</f>
        <v/>
      </c>
      <c r="E121" s="40">
        <f>SUMIF(Baris_Transaksi!$C$5:$C$500,A121,Baris_Transaksi!$E$5:$E$500)</f>
        <v/>
      </c>
      <c r="F121" s="40">
        <f>IF(D121-E121&gt;0,D121-E121,0)</f>
        <v/>
      </c>
      <c r="G121" s="40">
        <f>IF(E121-D121&gt;0,E121-D121,0)</f>
        <v/>
      </c>
      <c r="H121" s="40">
        <f>IF(OR(C121="Aset",C121="Perbelanjaan"),D121-E121,E121-D121)</f>
        <v/>
      </c>
    </row>
    <row r="122" ht="15" customHeight="1" s="60">
      <c r="A122" s="38">
        <f>Akaun!A122</f>
        <v/>
      </c>
      <c r="B122" s="38">
        <f>Akaun!C122</f>
        <v/>
      </c>
      <c r="C122" s="38">
        <f>Akaun!D122</f>
        <v/>
      </c>
      <c r="D122" s="40">
        <f>SUMIF(Baris_Transaksi!$C$5:$C$500,A122,Baris_Transaksi!$D$5:$D$500)</f>
        <v/>
      </c>
      <c r="E122" s="40">
        <f>SUMIF(Baris_Transaksi!$C$5:$C$500,A122,Baris_Transaksi!$E$5:$E$500)</f>
        <v/>
      </c>
      <c r="F122" s="40">
        <f>IF(D122-E122&gt;0,D122-E122,0)</f>
        <v/>
      </c>
      <c r="G122" s="40">
        <f>IF(E122-D122&gt;0,E122-D122,0)</f>
        <v/>
      </c>
      <c r="H122" s="40">
        <f>IF(OR(C122="Aset",C122="Perbelanjaan"),D122-E122,E122-D122)</f>
        <v/>
      </c>
    </row>
    <row r="123" ht="15" customHeight="1" s="60">
      <c r="A123" s="38">
        <f>Akaun!A123</f>
        <v/>
      </c>
      <c r="B123" s="38">
        <f>Akaun!C123</f>
        <v/>
      </c>
      <c r="C123" s="38">
        <f>Akaun!D123</f>
        <v/>
      </c>
      <c r="D123" s="40">
        <f>SUMIF(Baris_Transaksi!$C$5:$C$500,A123,Baris_Transaksi!$D$5:$D$500)</f>
        <v/>
      </c>
      <c r="E123" s="40">
        <f>SUMIF(Baris_Transaksi!$C$5:$C$500,A123,Baris_Transaksi!$E$5:$E$500)</f>
        <v/>
      </c>
      <c r="F123" s="40">
        <f>IF(D123-E123&gt;0,D123-E123,0)</f>
        <v/>
      </c>
      <c r="G123" s="40">
        <f>IF(E123-D123&gt;0,E123-D123,0)</f>
        <v/>
      </c>
      <c r="H123" s="40">
        <f>IF(OR(C123="Aset",C123="Perbelanjaan"),D123-E123,E123-D123)</f>
        <v/>
      </c>
    </row>
    <row r="124" ht="15" customHeight="1" s="60">
      <c r="A124" s="38">
        <f>Akaun!A124</f>
        <v/>
      </c>
      <c r="B124" s="38">
        <f>Akaun!C124</f>
        <v/>
      </c>
      <c r="C124" s="38">
        <f>Akaun!D124</f>
        <v/>
      </c>
      <c r="D124" s="40">
        <f>SUMIF(Baris_Transaksi!$C$5:$C$500,A124,Baris_Transaksi!$D$5:$D$500)</f>
        <v/>
      </c>
      <c r="E124" s="40">
        <f>SUMIF(Baris_Transaksi!$C$5:$C$500,A124,Baris_Transaksi!$E$5:$E$500)</f>
        <v/>
      </c>
      <c r="F124" s="40">
        <f>IF(D124-E124&gt;0,D124-E124,0)</f>
        <v/>
      </c>
      <c r="G124" s="40">
        <f>IF(E124-D124&gt;0,E124-D124,0)</f>
        <v/>
      </c>
      <c r="H124" s="40">
        <f>IF(OR(C124="Aset",C124="Perbelanjaan"),D124-E124,E124-D124)</f>
        <v/>
      </c>
    </row>
    <row r="125" ht="15" customHeight="1" s="60">
      <c r="A125" s="38">
        <f>Akaun!A125</f>
        <v/>
      </c>
      <c r="B125" s="38">
        <f>Akaun!C125</f>
        <v/>
      </c>
      <c r="C125" s="38">
        <f>Akaun!D125</f>
        <v/>
      </c>
      <c r="D125" s="40">
        <f>SUMIF(Baris_Transaksi!$C$5:$C$500,A125,Baris_Transaksi!$D$5:$D$500)</f>
        <v/>
      </c>
      <c r="E125" s="40">
        <f>SUMIF(Baris_Transaksi!$C$5:$C$500,A125,Baris_Transaksi!$E$5:$E$500)</f>
        <v/>
      </c>
      <c r="F125" s="40">
        <f>IF(D125-E125&gt;0,D125-E125,0)</f>
        <v/>
      </c>
      <c r="G125" s="40">
        <f>IF(E125-D125&gt;0,E125-D125,0)</f>
        <v/>
      </c>
      <c r="H125" s="40">
        <f>IF(OR(C125="Aset",C125="Perbelanjaan"),D125-E125,E125-D125)</f>
        <v/>
      </c>
    </row>
    <row r="126" ht="15" customHeight="1" s="60">
      <c r="A126" s="38">
        <f>Akaun!A126</f>
        <v/>
      </c>
      <c r="B126" s="38">
        <f>Akaun!C126</f>
        <v/>
      </c>
      <c r="C126" s="38">
        <f>Akaun!D126</f>
        <v/>
      </c>
      <c r="D126" s="40">
        <f>SUMIF(Baris_Transaksi!$C$5:$C$500,A126,Baris_Transaksi!$D$5:$D$500)</f>
        <v/>
      </c>
      <c r="E126" s="40">
        <f>SUMIF(Baris_Transaksi!$C$5:$C$500,A126,Baris_Transaksi!$E$5:$E$500)</f>
        <v/>
      </c>
      <c r="F126" s="40">
        <f>IF(D126-E126&gt;0,D126-E126,0)</f>
        <v/>
      </c>
      <c r="G126" s="40">
        <f>IF(E126-D126&gt;0,E126-D126,0)</f>
        <v/>
      </c>
      <c r="H126" s="40">
        <f>IF(OR(C126="Aset",C126="Perbelanjaan"),D126-E126,E126-D126)</f>
        <v/>
      </c>
    </row>
    <row r="127" ht="15" customHeight="1" s="60">
      <c r="A127" s="38">
        <f>Akaun!A127</f>
        <v/>
      </c>
      <c r="B127" s="38">
        <f>Akaun!C127</f>
        <v/>
      </c>
      <c r="C127" s="38">
        <f>Akaun!D127</f>
        <v/>
      </c>
      <c r="D127" s="40">
        <f>SUMIF(Baris_Transaksi!$C$5:$C$500,A127,Baris_Transaksi!$D$5:$D$500)</f>
        <v/>
      </c>
      <c r="E127" s="40">
        <f>SUMIF(Baris_Transaksi!$C$5:$C$500,A127,Baris_Transaksi!$E$5:$E$500)</f>
        <v/>
      </c>
      <c r="F127" s="40">
        <f>IF(D127-E127&gt;0,D127-E127,0)</f>
        <v/>
      </c>
      <c r="G127" s="40">
        <f>IF(E127-D127&gt;0,E127-D127,0)</f>
        <v/>
      </c>
      <c r="H127" s="40">
        <f>IF(OR(C127="Aset",C127="Perbelanjaan"),D127-E127,E127-D127)</f>
        <v/>
      </c>
    </row>
    <row r="128" ht="15" customHeight="1" s="60">
      <c r="A128" s="38">
        <f>Akaun!A128</f>
        <v/>
      </c>
      <c r="B128" s="38">
        <f>Akaun!C128</f>
        <v/>
      </c>
      <c r="C128" s="38">
        <f>Akaun!D128</f>
        <v/>
      </c>
      <c r="D128" s="40">
        <f>SUMIF(Baris_Transaksi!$C$5:$C$500,A128,Baris_Transaksi!$D$5:$D$500)</f>
        <v/>
      </c>
      <c r="E128" s="40">
        <f>SUMIF(Baris_Transaksi!$C$5:$C$500,A128,Baris_Transaksi!$E$5:$E$500)</f>
        <v/>
      </c>
      <c r="F128" s="40">
        <f>IF(D128-E128&gt;0,D128-E128,0)</f>
        <v/>
      </c>
      <c r="G128" s="40">
        <f>IF(E128-D128&gt;0,E128-D128,0)</f>
        <v/>
      </c>
      <c r="H128" s="40">
        <f>IF(OR(C128="Aset",C128="Perbelanjaan"),D128-E128,E128-D128)</f>
        <v/>
      </c>
    </row>
    <row r="129" ht="15" customHeight="1" s="60">
      <c r="A129" s="38">
        <f>Akaun!A129</f>
        <v/>
      </c>
      <c r="B129" s="38">
        <f>Akaun!C129</f>
        <v/>
      </c>
      <c r="C129" s="38">
        <f>Akaun!D129</f>
        <v/>
      </c>
      <c r="D129" s="40">
        <f>SUMIF(Baris_Transaksi!$C$5:$C$500,A129,Baris_Transaksi!$D$5:$D$500)</f>
        <v/>
      </c>
      <c r="E129" s="40">
        <f>SUMIF(Baris_Transaksi!$C$5:$C$500,A129,Baris_Transaksi!$E$5:$E$500)</f>
        <v/>
      </c>
      <c r="F129" s="40">
        <f>IF(D129-E129&gt;0,D129-E129,0)</f>
        <v/>
      </c>
      <c r="G129" s="40">
        <f>IF(E129-D129&gt;0,E129-D129,0)</f>
        <v/>
      </c>
      <c r="H129" s="40">
        <f>IF(OR(C129="Aset",C129="Perbelanjaan"),D129-E129,E129-D129)</f>
        <v/>
      </c>
    </row>
    <row r="130" ht="15" customHeight="1" s="60">
      <c r="A130" s="38">
        <f>Akaun!A130</f>
        <v/>
      </c>
      <c r="B130" s="38">
        <f>Akaun!C130</f>
        <v/>
      </c>
      <c r="C130" s="38">
        <f>Akaun!D130</f>
        <v/>
      </c>
      <c r="D130" s="40">
        <f>SUMIF(Baris_Transaksi!$C$5:$C$500,A130,Baris_Transaksi!$D$5:$D$500)</f>
        <v/>
      </c>
      <c r="E130" s="40">
        <f>SUMIF(Baris_Transaksi!$C$5:$C$500,A130,Baris_Transaksi!$E$5:$E$500)</f>
        <v/>
      </c>
      <c r="F130" s="40">
        <f>IF(D130-E130&gt;0,D130-E130,0)</f>
        <v/>
      </c>
      <c r="G130" s="40">
        <f>IF(E130-D130&gt;0,E130-D130,0)</f>
        <v/>
      </c>
      <c r="H130" s="40">
        <f>IF(OR(C130="Aset",C130="Perbelanjaan"),D130-E130,E130-D130)</f>
        <v/>
      </c>
    </row>
    <row r="131" ht="15" customHeight="1" s="60">
      <c r="A131" s="38">
        <f>Akaun!A131</f>
        <v/>
      </c>
      <c r="B131" s="38">
        <f>Akaun!C131</f>
        <v/>
      </c>
      <c r="C131" s="38">
        <f>Akaun!D131</f>
        <v/>
      </c>
      <c r="D131" s="40">
        <f>SUMIF(Baris_Transaksi!$C$5:$C$500,A131,Baris_Transaksi!$D$5:$D$500)</f>
        <v/>
      </c>
      <c r="E131" s="40">
        <f>SUMIF(Baris_Transaksi!$C$5:$C$500,A131,Baris_Transaksi!$E$5:$E$500)</f>
        <v/>
      </c>
      <c r="F131" s="40">
        <f>IF(D131-E131&gt;0,D131-E131,0)</f>
        <v/>
      </c>
      <c r="G131" s="40">
        <f>IF(E131-D131&gt;0,E131-D131,0)</f>
        <v/>
      </c>
      <c r="H131" s="40">
        <f>IF(OR(C131="Aset",C131="Perbelanjaan"),D131-E131,E131-D131)</f>
        <v/>
      </c>
    </row>
    <row r="132" ht="15" customHeight="1" s="60">
      <c r="A132" s="38">
        <f>Akaun!A132</f>
        <v/>
      </c>
      <c r="B132" s="38">
        <f>Akaun!C132</f>
        <v/>
      </c>
      <c r="C132" s="38">
        <f>Akaun!D132</f>
        <v/>
      </c>
      <c r="D132" s="40">
        <f>SUMIF(Baris_Transaksi!$C$5:$C$500,A132,Baris_Transaksi!$D$5:$D$500)</f>
        <v/>
      </c>
      <c r="E132" s="40">
        <f>SUMIF(Baris_Transaksi!$C$5:$C$500,A132,Baris_Transaksi!$E$5:$E$500)</f>
        <v/>
      </c>
      <c r="F132" s="40">
        <f>IF(D132-E132&gt;0,D132-E132,0)</f>
        <v/>
      </c>
      <c r="G132" s="40">
        <f>IF(E132-D132&gt;0,E132-D132,0)</f>
        <v/>
      </c>
      <c r="H132" s="40">
        <f>IF(OR(C132="Aset",C132="Perbelanjaan"),D132-E132,E132-D132)</f>
        <v/>
      </c>
    </row>
    <row r="133" ht="15" customHeight="1" s="60">
      <c r="A133" s="38">
        <f>Akaun!A133</f>
        <v/>
      </c>
      <c r="B133" s="38">
        <f>Akaun!C133</f>
        <v/>
      </c>
      <c r="C133" s="38">
        <f>Akaun!D133</f>
        <v/>
      </c>
      <c r="D133" s="40">
        <f>SUMIF(Baris_Transaksi!$C$5:$C$500,A133,Baris_Transaksi!$D$5:$D$500)</f>
        <v/>
      </c>
      <c r="E133" s="40">
        <f>SUMIF(Baris_Transaksi!$C$5:$C$500,A133,Baris_Transaksi!$E$5:$E$500)</f>
        <v/>
      </c>
      <c r="F133" s="40">
        <f>IF(D133-E133&gt;0,D133-E133,0)</f>
        <v/>
      </c>
      <c r="G133" s="40">
        <f>IF(E133-D133&gt;0,E133-D133,0)</f>
        <v/>
      </c>
      <c r="H133" s="40">
        <f>IF(OR(C133="Aset",C133="Perbelanjaan"),D133-E133,E133-D133)</f>
        <v/>
      </c>
    </row>
    <row r="134" ht="15" customHeight="1" s="60">
      <c r="A134" s="38">
        <f>Akaun!A134</f>
        <v/>
      </c>
      <c r="B134" s="38">
        <f>Akaun!C134</f>
        <v/>
      </c>
      <c r="C134" s="38">
        <f>Akaun!D134</f>
        <v/>
      </c>
      <c r="D134" s="40">
        <f>SUMIF(Baris_Transaksi!$C$5:$C$500,A134,Baris_Transaksi!$D$5:$D$500)</f>
        <v/>
      </c>
      <c r="E134" s="40">
        <f>SUMIF(Baris_Transaksi!$C$5:$C$500,A134,Baris_Transaksi!$E$5:$E$500)</f>
        <v/>
      </c>
      <c r="F134" s="40">
        <f>IF(D134-E134&gt;0,D134-E134,0)</f>
        <v/>
      </c>
      <c r="G134" s="40">
        <f>IF(E134-D134&gt;0,E134-D134,0)</f>
        <v/>
      </c>
      <c r="H134" s="40">
        <f>IF(OR(C134="Aset",C134="Perbelanjaan"),D134-E134,E134-D134)</f>
        <v/>
      </c>
    </row>
    <row r="135" ht="15" customHeight="1" s="60">
      <c r="A135" s="38">
        <f>Akaun!A135</f>
        <v/>
      </c>
      <c r="B135" s="38">
        <f>Akaun!C135</f>
        <v/>
      </c>
      <c r="C135" s="38">
        <f>Akaun!D135</f>
        <v/>
      </c>
      <c r="D135" s="40">
        <f>SUMIF(Baris_Transaksi!$C$5:$C$500,A135,Baris_Transaksi!$D$5:$D$500)</f>
        <v/>
      </c>
      <c r="E135" s="40">
        <f>SUMIF(Baris_Transaksi!$C$5:$C$500,A135,Baris_Transaksi!$E$5:$E$500)</f>
        <v/>
      </c>
      <c r="F135" s="40">
        <f>IF(D135-E135&gt;0,D135-E135,0)</f>
        <v/>
      </c>
      <c r="G135" s="40">
        <f>IF(E135-D135&gt;0,E135-D135,0)</f>
        <v/>
      </c>
      <c r="H135" s="40">
        <f>IF(OR(C135="Aset",C135="Perbelanjaan"),D135-E135,E135-D135)</f>
        <v/>
      </c>
    </row>
    <row r="136" ht="15" customHeight="1" s="60">
      <c r="A136" s="38">
        <f>Akaun!A136</f>
        <v/>
      </c>
      <c r="B136" s="38">
        <f>Akaun!C136</f>
        <v/>
      </c>
      <c r="C136" s="38">
        <f>Akaun!D136</f>
        <v/>
      </c>
      <c r="D136" s="40">
        <f>SUMIF(Baris_Transaksi!$C$5:$C$500,A136,Baris_Transaksi!$D$5:$D$500)</f>
        <v/>
      </c>
      <c r="E136" s="40">
        <f>SUMIF(Baris_Transaksi!$C$5:$C$500,A136,Baris_Transaksi!$E$5:$E$500)</f>
        <v/>
      </c>
      <c r="F136" s="40">
        <f>IF(D136-E136&gt;0,D136-E136,0)</f>
        <v/>
      </c>
      <c r="G136" s="40">
        <f>IF(E136-D136&gt;0,E136-D136,0)</f>
        <v/>
      </c>
      <c r="H136" s="40">
        <f>IF(OR(C136="Aset",C136="Perbelanjaan"),D136-E136,E136-D136)</f>
        <v/>
      </c>
    </row>
    <row r="137" ht="15" customHeight="1" s="60">
      <c r="A137" s="38">
        <f>Akaun!A137</f>
        <v/>
      </c>
      <c r="B137" s="38">
        <f>Akaun!C137</f>
        <v/>
      </c>
      <c r="C137" s="38">
        <f>Akaun!D137</f>
        <v/>
      </c>
      <c r="D137" s="40">
        <f>SUMIF(Baris_Transaksi!$C$5:$C$500,A137,Baris_Transaksi!$D$5:$D$500)</f>
        <v/>
      </c>
      <c r="E137" s="40">
        <f>SUMIF(Baris_Transaksi!$C$5:$C$500,A137,Baris_Transaksi!$E$5:$E$500)</f>
        <v/>
      </c>
      <c r="F137" s="40">
        <f>IF(D137-E137&gt;0,D137-E137,0)</f>
        <v/>
      </c>
      <c r="G137" s="40">
        <f>IF(E137-D137&gt;0,E137-D137,0)</f>
        <v/>
      </c>
      <c r="H137" s="40">
        <f>IF(OR(C137="Aset",C137="Perbelanjaan"),D137-E137,E137-D137)</f>
        <v/>
      </c>
    </row>
    <row r="138" ht="15" customHeight="1" s="60">
      <c r="A138" s="38">
        <f>Akaun!A138</f>
        <v/>
      </c>
      <c r="B138" s="38">
        <f>Akaun!C138</f>
        <v/>
      </c>
      <c r="C138" s="38">
        <f>Akaun!D138</f>
        <v/>
      </c>
      <c r="D138" s="40">
        <f>SUMIF(Baris_Transaksi!$C$5:$C$500,A138,Baris_Transaksi!$D$5:$D$500)</f>
        <v/>
      </c>
      <c r="E138" s="40">
        <f>SUMIF(Baris_Transaksi!$C$5:$C$500,A138,Baris_Transaksi!$E$5:$E$500)</f>
        <v/>
      </c>
      <c r="F138" s="40">
        <f>IF(D138-E138&gt;0,D138-E138,0)</f>
        <v/>
      </c>
      <c r="G138" s="40">
        <f>IF(E138-D138&gt;0,E138-D138,0)</f>
        <v/>
      </c>
      <c r="H138" s="40">
        <f>IF(OR(C138="Aset",C138="Perbelanjaan"),D138-E138,E138-D138)</f>
        <v/>
      </c>
    </row>
    <row r="139" ht="15" customHeight="1" s="60">
      <c r="A139" s="38">
        <f>Akaun!A139</f>
        <v/>
      </c>
      <c r="B139" s="38">
        <f>Akaun!C139</f>
        <v/>
      </c>
      <c r="C139" s="38">
        <f>Akaun!D139</f>
        <v/>
      </c>
      <c r="D139" s="40">
        <f>SUMIF(Baris_Transaksi!$C$5:$C$500,A139,Baris_Transaksi!$D$5:$D$500)</f>
        <v/>
      </c>
      <c r="E139" s="40">
        <f>SUMIF(Baris_Transaksi!$C$5:$C$500,A139,Baris_Transaksi!$E$5:$E$500)</f>
        <v/>
      </c>
      <c r="F139" s="40">
        <f>IF(D139-E139&gt;0,D139-E139,0)</f>
        <v/>
      </c>
      <c r="G139" s="40">
        <f>IF(E139-D139&gt;0,E139-D139,0)</f>
        <v/>
      </c>
      <c r="H139" s="40">
        <f>IF(OR(C139="Aset",C139="Perbelanjaan"),D139-E139,E139-D139)</f>
        <v/>
      </c>
    </row>
    <row r="140" ht="15" customHeight="1" s="60">
      <c r="A140" s="38">
        <f>Akaun!A140</f>
        <v/>
      </c>
      <c r="B140" s="38">
        <f>Akaun!C140</f>
        <v/>
      </c>
      <c r="C140" s="38">
        <f>Akaun!D140</f>
        <v/>
      </c>
      <c r="D140" s="40">
        <f>SUMIF(Baris_Transaksi!$C$5:$C$500,A140,Baris_Transaksi!$D$5:$D$500)</f>
        <v/>
      </c>
      <c r="E140" s="40">
        <f>SUMIF(Baris_Transaksi!$C$5:$C$500,A140,Baris_Transaksi!$E$5:$E$500)</f>
        <v/>
      </c>
      <c r="F140" s="40">
        <f>IF(D140-E140&gt;0,D140-E140,0)</f>
        <v/>
      </c>
      <c r="G140" s="40">
        <f>IF(E140-D140&gt;0,E140-D140,0)</f>
        <v/>
      </c>
      <c r="H140" s="40">
        <f>IF(OR(C140="Aset",C140="Perbelanjaan"),D140-E140,E140-D140)</f>
        <v/>
      </c>
    </row>
    <row r="141" ht="15" customHeight="1" s="60">
      <c r="A141" s="38">
        <f>Akaun!A141</f>
        <v/>
      </c>
      <c r="B141" s="38">
        <f>Akaun!C141</f>
        <v/>
      </c>
      <c r="C141" s="38">
        <f>Akaun!D141</f>
        <v/>
      </c>
      <c r="D141" s="40">
        <f>SUMIF(Baris_Transaksi!$C$5:$C$500,A141,Baris_Transaksi!$D$5:$D$500)</f>
        <v/>
      </c>
      <c r="E141" s="40">
        <f>SUMIF(Baris_Transaksi!$C$5:$C$500,A141,Baris_Transaksi!$E$5:$E$500)</f>
        <v/>
      </c>
      <c r="F141" s="40">
        <f>IF(D141-E141&gt;0,D141-E141,0)</f>
        <v/>
      </c>
      <c r="G141" s="40">
        <f>IF(E141-D141&gt;0,E141-D141,0)</f>
        <v/>
      </c>
      <c r="H141" s="40">
        <f>IF(OR(C141="Aset",C141="Perbelanjaan"),D141-E141,E141-D141)</f>
        <v/>
      </c>
    </row>
    <row r="142" ht="15" customHeight="1" s="60">
      <c r="A142" s="38">
        <f>Akaun!A142</f>
        <v/>
      </c>
      <c r="B142" s="38">
        <f>Akaun!C142</f>
        <v/>
      </c>
      <c r="C142" s="38">
        <f>Akaun!D142</f>
        <v/>
      </c>
      <c r="D142" s="40">
        <f>SUMIF(Baris_Transaksi!$C$5:$C$500,A142,Baris_Transaksi!$D$5:$D$500)</f>
        <v/>
      </c>
      <c r="E142" s="40">
        <f>SUMIF(Baris_Transaksi!$C$5:$C$500,A142,Baris_Transaksi!$E$5:$E$500)</f>
        <v/>
      </c>
      <c r="F142" s="40">
        <f>IF(D142-E142&gt;0,D142-E142,0)</f>
        <v/>
      </c>
      <c r="G142" s="40">
        <f>IF(E142-D142&gt;0,E142-D142,0)</f>
        <v/>
      </c>
      <c r="H142" s="40">
        <f>IF(OR(C142="Aset",C142="Perbelanjaan"),D142-E142,E142-D142)</f>
        <v/>
      </c>
    </row>
    <row r="143" ht="15" customHeight="1" s="60">
      <c r="A143" s="38">
        <f>Akaun!A143</f>
        <v/>
      </c>
      <c r="B143" s="38">
        <f>Akaun!C143</f>
        <v/>
      </c>
      <c r="C143" s="38">
        <f>Akaun!D143</f>
        <v/>
      </c>
      <c r="D143" s="40">
        <f>SUMIF(Baris_Transaksi!$C$5:$C$500,A143,Baris_Transaksi!$D$5:$D$500)</f>
        <v/>
      </c>
      <c r="E143" s="40">
        <f>SUMIF(Baris_Transaksi!$C$5:$C$500,A143,Baris_Transaksi!$E$5:$E$500)</f>
        <v/>
      </c>
      <c r="F143" s="40">
        <f>IF(D143-E143&gt;0,D143-E143,0)</f>
        <v/>
      </c>
      <c r="G143" s="40">
        <f>IF(E143-D143&gt;0,E143-D143,0)</f>
        <v/>
      </c>
      <c r="H143" s="40">
        <f>IF(OR(C143="Aset",C143="Perbelanjaan"),D143-E143,E143-D143)</f>
        <v/>
      </c>
    </row>
    <row r="144" ht="15" customHeight="1" s="60">
      <c r="A144" s="38">
        <f>Akaun!A144</f>
        <v/>
      </c>
      <c r="B144" s="38">
        <f>Akaun!C144</f>
        <v/>
      </c>
      <c r="C144" s="38">
        <f>Akaun!D144</f>
        <v/>
      </c>
      <c r="D144" s="40">
        <f>SUMIF(Baris_Transaksi!$C$5:$C$500,A144,Baris_Transaksi!$D$5:$D$500)</f>
        <v/>
      </c>
      <c r="E144" s="40">
        <f>SUMIF(Baris_Transaksi!$C$5:$C$500,A144,Baris_Transaksi!$E$5:$E$500)</f>
        <v/>
      </c>
      <c r="F144" s="40">
        <f>IF(D144-E144&gt;0,D144-E144,0)</f>
        <v/>
      </c>
      <c r="G144" s="40">
        <f>IF(E144-D144&gt;0,E144-D144,0)</f>
        <v/>
      </c>
      <c r="H144" s="40">
        <f>IF(OR(C144="Aset",C144="Perbelanjaan"),D144-E144,E144-D144)</f>
        <v/>
      </c>
    </row>
    <row r="145" ht="15" customHeight="1" s="60">
      <c r="A145" s="38">
        <f>Akaun!A145</f>
        <v/>
      </c>
      <c r="B145" s="38">
        <f>Akaun!C145</f>
        <v/>
      </c>
      <c r="C145" s="38">
        <f>Akaun!D145</f>
        <v/>
      </c>
      <c r="D145" s="40">
        <f>SUMIF(Baris_Transaksi!$C$5:$C$500,A145,Baris_Transaksi!$D$5:$D$500)</f>
        <v/>
      </c>
      <c r="E145" s="40">
        <f>SUMIF(Baris_Transaksi!$C$5:$C$500,A145,Baris_Transaksi!$E$5:$E$500)</f>
        <v/>
      </c>
      <c r="F145" s="40">
        <f>IF(D145-E145&gt;0,D145-E145,0)</f>
        <v/>
      </c>
      <c r="G145" s="40">
        <f>IF(E145-D145&gt;0,E145-D145,0)</f>
        <v/>
      </c>
      <c r="H145" s="40">
        <f>IF(OR(C145="Aset",C145="Perbelanjaan"),D145-E145,E145-D145)</f>
        <v/>
      </c>
    </row>
    <row r="146" ht="15" customHeight="1" s="60">
      <c r="A146" s="38">
        <f>Akaun!A146</f>
        <v/>
      </c>
      <c r="B146" s="38">
        <f>Akaun!C146</f>
        <v/>
      </c>
      <c r="C146" s="38">
        <f>Akaun!D146</f>
        <v/>
      </c>
      <c r="D146" s="40">
        <f>SUMIF(Baris_Transaksi!$C$5:$C$500,A146,Baris_Transaksi!$D$5:$D$500)</f>
        <v/>
      </c>
      <c r="E146" s="40">
        <f>SUMIF(Baris_Transaksi!$C$5:$C$500,A146,Baris_Transaksi!$E$5:$E$500)</f>
        <v/>
      </c>
      <c r="F146" s="40">
        <f>IF(D146-E146&gt;0,D146-E146,0)</f>
        <v/>
      </c>
      <c r="G146" s="40">
        <f>IF(E146-D146&gt;0,E146-D146,0)</f>
        <v/>
      </c>
      <c r="H146" s="40">
        <f>IF(OR(C146="Aset",C146="Perbelanjaan"),D146-E146,E146-D146)</f>
        <v/>
      </c>
    </row>
    <row r="147" ht="15" customHeight="1" s="60">
      <c r="A147" s="38">
        <f>Akaun!A147</f>
        <v/>
      </c>
      <c r="B147" s="38">
        <f>Akaun!C147</f>
        <v/>
      </c>
      <c r="C147" s="38">
        <f>Akaun!D147</f>
        <v/>
      </c>
      <c r="D147" s="40">
        <f>SUMIF(Baris_Transaksi!$C$5:$C$500,A147,Baris_Transaksi!$D$5:$D$500)</f>
        <v/>
      </c>
      <c r="E147" s="40">
        <f>SUMIF(Baris_Transaksi!$C$5:$C$500,A147,Baris_Transaksi!$E$5:$E$500)</f>
        <v/>
      </c>
      <c r="F147" s="40">
        <f>IF(D147-E147&gt;0,D147-E147,0)</f>
        <v/>
      </c>
      <c r="G147" s="40">
        <f>IF(E147-D147&gt;0,E147-D147,0)</f>
        <v/>
      </c>
      <c r="H147" s="40">
        <f>IF(OR(C147="Aset",C147="Perbelanjaan"),D147-E147,E147-D147)</f>
        <v/>
      </c>
    </row>
    <row r="148" ht="15" customHeight="1" s="60">
      <c r="A148" s="38">
        <f>Akaun!A148</f>
        <v/>
      </c>
      <c r="B148" s="38">
        <f>Akaun!C148</f>
        <v/>
      </c>
      <c r="C148" s="38">
        <f>Akaun!D148</f>
        <v/>
      </c>
      <c r="D148" s="40">
        <f>SUMIF(Baris_Transaksi!$C$5:$C$500,A148,Baris_Transaksi!$D$5:$D$500)</f>
        <v/>
      </c>
      <c r="E148" s="40">
        <f>SUMIF(Baris_Transaksi!$C$5:$C$500,A148,Baris_Transaksi!$E$5:$E$500)</f>
        <v/>
      </c>
      <c r="F148" s="40">
        <f>IF(D148-E148&gt;0,D148-E148,0)</f>
        <v/>
      </c>
      <c r="G148" s="40">
        <f>IF(E148-D148&gt;0,E148-D148,0)</f>
        <v/>
      </c>
      <c r="H148" s="40">
        <f>IF(OR(C148="Aset",C148="Perbelanjaan"),D148-E148,E148-D148)</f>
        <v/>
      </c>
    </row>
    <row r="149" ht="15" customHeight="1" s="60">
      <c r="A149" s="38">
        <f>Akaun!A149</f>
        <v/>
      </c>
      <c r="B149" s="38">
        <f>Akaun!C149</f>
        <v/>
      </c>
      <c r="C149" s="38">
        <f>Akaun!D149</f>
        <v/>
      </c>
      <c r="D149" s="40">
        <f>SUMIF(Baris_Transaksi!$C$5:$C$500,A149,Baris_Transaksi!$D$5:$D$500)</f>
        <v/>
      </c>
      <c r="E149" s="40">
        <f>SUMIF(Baris_Transaksi!$C$5:$C$500,A149,Baris_Transaksi!$E$5:$E$500)</f>
        <v/>
      </c>
      <c r="F149" s="40">
        <f>IF(D149-E149&gt;0,D149-E149,0)</f>
        <v/>
      </c>
      <c r="G149" s="40">
        <f>IF(E149-D149&gt;0,E149-D149,0)</f>
        <v/>
      </c>
      <c r="H149" s="40">
        <f>IF(OR(C149="Aset",C149="Perbelanjaan"),D149-E149,E149-D149)</f>
        <v/>
      </c>
    </row>
    <row r="150" ht="15" customHeight="1" s="60">
      <c r="A150" s="38">
        <f>Akaun!A150</f>
        <v/>
      </c>
      <c r="B150" s="38">
        <f>Akaun!C150</f>
        <v/>
      </c>
      <c r="C150" s="38">
        <f>Akaun!D150</f>
        <v/>
      </c>
      <c r="D150" s="40">
        <f>SUMIF(Baris_Transaksi!$C$5:$C$500,A150,Baris_Transaksi!$D$5:$D$500)</f>
        <v/>
      </c>
      <c r="E150" s="40">
        <f>SUMIF(Baris_Transaksi!$C$5:$C$500,A150,Baris_Transaksi!$E$5:$E$500)</f>
        <v/>
      </c>
      <c r="F150" s="40">
        <f>IF(D150-E150&gt;0,D150-E150,0)</f>
        <v/>
      </c>
      <c r="G150" s="40">
        <f>IF(E150-D150&gt;0,E150-D150,0)</f>
        <v/>
      </c>
      <c r="H150" s="40">
        <f>IF(OR(C150="Aset",C150="Perbelanjaan"),D150-E150,E150-D150)</f>
        <v/>
      </c>
    </row>
    <row r="151" ht="15" customHeight="1" s="60">
      <c r="A151" s="46" t="inlineStr">
        <is>
          <t>JUMLAH</t>
        </is>
      </c>
      <c r="B151" s="54" t="n"/>
      <c r="C151" s="54" t="n"/>
      <c r="D151" s="54" t="n"/>
      <c r="E151" s="54" t="n"/>
      <c r="F151" s="47">
        <f>SUM(F5:F150)</f>
        <v/>
      </c>
      <c r="G151" s="47">
        <f>SUM(G5:G150)</f>
        <v/>
      </c>
      <c r="H151" s="54" t="n"/>
    </row>
    <row r="152" ht="15" customHeight="1" s="60">
      <c r="A152" s="16" t="n"/>
      <c r="B152" s="16" t="n"/>
      <c r="C152" s="16" t="n"/>
      <c r="D152" s="16" t="n"/>
      <c r="E152" s="16" t="n"/>
      <c r="F152" s="16" t="n"/>
      <c r="G152" s="16" t="n"/>
      <c r="H152" s="16" t="n"/>
    </row>
    <row r="153" ht="15" customHeight="1" s="60">
      <c r="A153" s="32" t="inlineStr">
        <is>
          <t>Semakan:</t>
        </is>
      </c>
      <c r="B153" s="32">
        <f>IF(ROUND(F151-G151,2)=0,"SEIMBANG","TIDAK SEIMBANG - beza RM"&amp;TEXT(F151-G151,"#,##0.00"))</f>
        <v/>
      </c>
      <c r="C153" s="16" t="n"/>
      <c r="D153" s="16" t="n"/>
      <c r="E153" s="16" t="n"/>
      <c r="F153" s="16" t="n"/>
      <c r="G153" s="16" t="n"/>
      <c r="H153" s="16" t="n"/>
    </row>
    <row r="154" ht="15" customHeight="1" s="60">
      <c r="A154" s="16" t="n"/>
      <c r="B154" s="16" t="n"/>
      <c r="C154" s="16" t="n"/>
      <c r="D154" s="16" t="n"/>
      <c r="E154" s="16" t="n"/>
      <c r="F154" s="16" t="n"/>
      <c r="G154" s="16" t="n"/>
      <c r="H154" s="16" t="n"/>
    </row>
    <row r="155" ht="15" customHeight="1" s="60">
      <c r="A155" s="16" t="n"/>
      <c r="B155" s="16" t="n"/>
      <c r="C155" s="16" t="n"/>
      <c r="D155" s="16" t="n"/>
      <c r="E155" s="16" t="n"/>
      <c r="F155" s="16" t="n"/>
      <c r="G155" s="16" t="n"/>
      <c r="H155" s="16" t="n"/>
    </row>
    <row r="156" ht="15" customHeight="1" s="60">
      <c r="A156" s="16" t="n"/>
      <c r="B156" s="16" t="n"/>
      <c r="C156" s="16" t="n"/>
      <c r="D156" s="16" t="n"/>
      <c r="E156" s="16" t="n"/>
      <c r="F156" s="16" t="n"/>
      <c r="G156" s="16" t="n"/>
      <c r="H156" s="16" t="n"/>
    </row>
    <row r="157" ht="15" customHeight="1" s="60">
      <c r="A157" s="16" t="n"/>
      <c r="B157" s="16" t="n"/>
      <c r="C157" s="16" t="n"/>
      <c r="D157" s="16" t="n"/>
      <c r="E157" s="16" t="n"/>
      <c r="F157" s="16" t="n"/>
      <c r="G157" s="16" t="n"/>
      <c r="H157" s="16" t="n"/>
    </row>
    <row r="158" ht="15" customHeight="1" s="60">
      <c r="A158" s="16" t="n"/>
      <c r="B158" s="16" t="n"/>
      <c r="C158" s="16" t="n"/>
      <c r="D158" s="16" t="n"/>
      <c r="E158" s="16" t="n"/>
      <c r="F158" s="16" t="n"/>
      <c r="G158" s="16" t="n"/>
      <c r="H158" s="16" t="n"/>
    </row>
    <row r="159" ht="15" customHeight="1" s="60">
      <c r="A159" s="16" t="n"/>
      <c r="B159" s="16" t="n"/>
      <c r="C159" s="16" t="n"/>
      <c r="D159" s="16" t="n"/>
      <c r="E159" s="16" t="n"/>
      <c r="F159" s="16" t="n"/>
      <c r="G159" s="16" t="n"/>
      <c r="H159" s="16" t="n"/>
    </row>
    <row r="160" ht="15" customHeight="1" s="60">
      <c r="A160" s="16" t="n"/>
      <c r="B160" s="16" t="n"/>
      <c r="C160" s="16" t="n"/>
      <c r="D160" s="16" t="n"/>
      <c r="E160" s="16" t="n"/>
      <c r="F160" s="16" t="n"/>
      <c r="G160" s="16" t="n"/>
      <c r="H160" s="16" t="n"/>
    </row>
    <row r="161" ht="15" customHeight="1" s="60">
      <c r="A161" s="16" t="n"/>
      <c r="B161" s="16" t="n"/>
      <c r="C161" s="16" t="n"/>
      <c r="D161" s="16" t="n"/>
      <c r="E161" s="16" t="n"/>
      <c r="F161" s="16" t="n"/>
      <c r="G161" s="16" t="n"/>
      <c r="H161" s="16" t="n"/>
    </row>
    <row r="162" ht="15" customHeight="1" s="60">
      <c r="A162" s="16" t="n"/>
      <c r="B162" s="16" t="n"/>
      <c r="C162" s="16" t="n"/>
      <c r="D162" s="16" t="n"/>
      <c r="E162" s="16" t="n"/>
      <c r="F162" s="16" t="n"/>
      <c r="G162" s="16" t="n"/>
      <c r="H162" s="16" t="n"/>
    </row>
    <row r="163" ht="15" customHeight="1" s="60">
      <c r="A163" s="16" t="n"/>
      <c r="B163" s="16" t="n"/>
      <c r="C163" s="16" t="n"/>
      <c r="D163" s="16" t="n"/>
      <c r="E163" s="16" t="n"/>
      <c r="F163" s="16" t="n"/>
      <c r="G163" s="16" t="n"/>
      <c r="H163" s="16" t="n"/>
    </row>
    <row r="164" ht="15" customHeight="1" s="60">
      <c r="A164" s="16" t="n"/>
      <c r="B164" s="16" t="n"/>
      <c r="C164" s="16" t="n"/>
      <c r="D164" s="16" t="n"/>
      <c r="E164" s="16" t="n"/>
      <c r="F164" s="16" t="n"/>
      <c r="G164" s="16" t="n"/>
      <c r="H164" s="16" t="n"/>
    </row>
    <row r="165" ht="15" customHeight="1" s="60">
      <c r="A165" s="16" t="n"/>
      <c r="B165" s="16" t="n"/>
      <c r="C165" s="16" t="n"/>
      <c r="D165" s="16" t="n"/>
      <c r="E165" s="16" t="n"/>
      <c r="F165" s="16" t="n"/>
      <c r="G165" s="16" t="n"/>
      <c r="H165" s="16" t="n"/>
    </row>
    <row r="166" ht="15" customHeight="1" s="60">
      <c r="A166" s="16" t="n"/>
      <c r="B166" s="16" t="n"/>
      <c r="C166" s="16" t="n"/>
      <c r="D166" s="16" t="n"/>
      <c r="E166" s="16" t="n"/>
      <c r="F166" s="16" t="n"/>
      <c r="G166" s="16" t="n"/>
      <c r="H166" s="16" t="n"/>
    </row>
    <row r="167" ht="15" customHeight="1" s="60">
      <c r="A167" s="16" t="n"/>
      <c r="B167" s="16" t="n"/>
      <c r="C167" s="16" t="n"/>
      <c r="D167" s="16" t="n"/>
      <c r="E167" s="16" t="n"/>
      <c r="F167" s="16" t="n"/>
      <c r="G167" s="16" t="n"/>
      <c r="H167" s="16" t="n"/>
    </row>
    <row r="168" ht="15" customHeight="1" s="60">
      <c r="A168" s="16" t="n"/>
      <c r="B168" s="16" t="n"/>
      <c r="C168" s="16" t="n"/>
      <c r="D168" s="16" t="n"/>
      <c r="E168" s="16" t="n"/>
      <c r="F168" s="16" t="n"/>
      <c r="G168" s="16" t="n"/>
      <c r="H168" s="16" t="n"/>
    </row>
    <row r="169" ht="15" customHeight="1" s="60">
      <c r="A169" s="16" t="n"/>
      <c r="B169" s="16" t="n"/>
      <c r="C169" s="16" t="n"/>
      <c r="D169" s="16" t="n"/>
      <c r="E169" s="16" t="n"/>
      <c r="F169" s="16" t="n"/>
      <c r="G169" s="16" t="n"/>
      <c r="H169" s="16" t="n"/>
    </row>
    <row r="170" ht="15" customHeight="1" s="60">
      <c r="A170" s="16" t="n"/>
      <c r="B170" s="16" t="n"/>
      <c r="C170" s="16" t="n"/>
      <c r="D170" s="16" t="n"/>
      <c r="E170" s="16" t="n"/>
      <c r="F170" s="16" t="n"/>
      <c r="G170" s="16" t="n"/>
      <c r="H170" s="16" t="n"/>
    </row>
    <row r="171" ht="15" customHeight="1" s="60">
      <c r="A171" s="16" t="n"/>
      <c r="B171" s="16" t="n"/>
      <c r="C171" s="16" t="n"/>
      <c r="D171" s="16" t="n"/>
      <c r="E171" s="16" t="n"/>
      <c r="F171" s="16" t="n"/>
      <c r="G171" s="16" t="n"/>
      <c r="H171" s="16" t="n"/>
    </row>
    <row r="172" ht="15" customHeight="1" s="60">
      <c r="A172" s="16" t="n"/>
      <c r="B172" s="16" t="n"/>
      <c r="C172" s="16" t="n"/>
      <c r="D172" s="16" t="n"/>
      <c r="E172" s="16" t="n"/>
      <c r="F172" s="16" t="n"/>
      <c r="G172" s="16" t="n"/>
      <c r="H172" s="16" t="n"/>
    </row>
    <row r="173" ht="15" customHeight="1" s="60">
      <c r="A173" s="16" t="n"/>
      <c r="B173" s="16" t="n"/>
      <c r="C173" s="16" t="n"/>
      <c r="D173" s="16" t="n"/>
      <c r="E173" s="16" t="n"/>
      <c r="F173" s="16" t="n"/>
      <c r="G173" s="16" t="n"/>
      <c r="H173" s="16" t="n"/>
    </row>
    <row r="174" ht="15" customHeight="1" s="60">
      <c r="A174" s="16" t="n"/>
      <c r="B174" s="16" t="n"/>
      <c r="C174" s="16" t="n"/>
      <c r="D174" s="16" t="n"/>
      <c r="E174" s="16" t="n"/>
      <c r="F174" s="16" t="n"/>
      <c r="G174" s="16" t="n"/>
      <c r="H174" s="16" t="n"/>
    </row>
    <row r="175" ht="15" customHeight="1" s="60">
      <c r="A175" s="16" t="n"/>
      <c r="B175" s="16" t="n"/>
      <c r="C175" s="16" t="n"/>
      <c r="D175" s="16" t="n"/>
      <c r="E175" s="16" t="n"/>
      <c r="F175" s="16" t="n"/>
      <c r="G175" s="16" t="n"/>
      <c r="H175" s="16" t="n"/>
    </row>
    <row r="176" ht="15" customHeight="1" s="60">
      <c r="A176" s="16" t="n"/>
      <c r="B176" s="16" t="n"/>
      <c r="C176" s="16" t="n"/>
      <c r="D176" s="16" t="n"/>
      <c r="E176" s="16" t="n"/>
      <c r="F176" s="16" t="n"/>
      <c r="G176" s="16" t="n"/>
      <c r="H176" s="16" t="n"/>
    </row>
    <row r="177" ht="15" customHeight="1" s="60">
      <c r="A177" s="16" t="n"/>
      <c r="B177" s="16" t="n"/>
      <c r="C177" s="16" t="n"/>
      <c r="D177" s="16" t="n"/>
      <c r="E177" s="16" t="n"/>
      <c r="F177" s="16" t="n"/>
      <c r="G177" s="16" t="n"/>
      <c r="H177" s="16" t="n"/>
    </row>
    <row r="178" ht="15" customHeight="1" s="60">
      <c r="A178" s="16" t="n"/>
      <c r="B178" s="16" t="n"/>
      <c r="C178" s="16" t="n"/>
      <c r="D178" s="16" t="n"/>
      <c r="E178" s="16" t="n"/>
      <c r="F178" s="16" t="n"/>
      <c r="G178" s="16" t="n"/>
      <c r="H178" s="16" t="n"/>
    </row>
    <row r="179" ht="15" customHeight="1" s="60">
      <c r="A179" s="16" t="n"/>
      <c r="B179" s="16" t="n"/>
      <c r="C179" s="16" t="n"/>
      <c r="D179" s="16" t="n"/>
      <c r="E179" s="16" t="n"/>
      <c r="F179" s="16" t="n"/>
      <c r="G179" s="16" t="n"/>
      <c r="H179" s="16" t="n"/>
    </row>
    <row r="180" ht="15" customHeight="1" s="60">
      <c r="A180" s="16" t="n"/>
      <c r="B180" s="16" t="n"/>
      <c r="C180" s="16" t="n"/>
      <c r="D180" s="16" t="n"/>
      <c r="E180" s="16" t="n"/>
      <c r="F180" s="16" t="n"/>
      <c r="G180" s="16" t="n"/>
      <c r="H180" s="16" t="n"/>
    </row>
    <row r="181" ht="15" customHeight="1" s="60">
      <c r="A181" s="16" t="n"/>
      <c r="B181" s="16" t="n"/>
      <c r="C181" s="16" t="n"/>
      <c r="D181" s="16" t="n"/>
      <c r="E181" s="16" t="n"/>
      <c r="F181" s="16" t="n"/>
      <c r="G181" s="16" t="n"/>
      <c r="H181" s="16" t="n"/>
    </row>
    <row r="182" ht="15" customHeight="1" s="60">
      <c r="A182" s="16" t="n"/>
      <c r="B182" s="16" t="n"/>
      <c r="C182" s="16" t="n"/>
      <c r="D182" s="16" t="n"/>
      <c r="E182" s="16" t="n"/>
      <c r="F182" s="16" t="n"/>
      <c r="G182" s="16" t="n"/>
      <c r="H182" s="16" t="n"/>
    </row>
    <row r="183" ht="15" customHeight="1" s="60">
      <c r="A183" s="16" t="n"/>
      <c r="B183" s="16" t="n"/>
      <c r="C183" s="16" t="n"/>
      <c r="D183" s="16" t="n"/>
      <c r="E183" s="16" t="n"/>
      <c r="F183" s="16" t="n"/>
      <c r="G183" s="16" t="n"/>
      <c r="H183" s="16" t="n"/>
    </row>
    <row r="184" ht="15" customHeight="1" s="60">
      <c r="A184" s="16" t="n"/>
      <c r="B184" s="16" t="n"/>
      <c r="C184" s="16" t="n"/>
      <c r="D184" s="16" t="n"/>
      <c r="E184" s="16" t="n"/>
      <c r="F184" s="16" t="n"/>
      <c r="G184" s="16" t="n"/>
      <c r="H184" s="16" t="n"/>
    </row>
    <row r="185" ht="15" customHeight="1" s="60">
      <c r="A185" s="16" t="n"/>
      <c r="B185" s="16" t="n"/>
      <c r="C185" s="16" t="n"/>
      <c r="D185" s="16" t="n"/>
      <c r="E185" s="16" t="n"/>
      <c r="F185" s="16" t="n"/>
      <c r="G185" s="16" t="n"/>
      <c r="H185" s="16" t="n"/>
    </row>
    <row r="186" ht="15" customHeight="1" s="60">
      <c r="A186" s="16" t="n"/>
      <c r="B186" s="16" t="n"/>
      <c r="C186" s="16" t="n"/>
      <c r="D186" s="16" t="n"/>
      <c r="E186" s="16" t="n"/>
      <c r="F186" s="16" t="n"/>
      <c r="G186" s="16" t="n"/>
      <c r="H186" s="16" t="n"/>
    </row>
    <row r="187" ht="15" customHeight="1" s="60">
      <c r="A187" s="16" t="n"/>
      <c r="B187" s="16" t="n"/>
      <c r="C187" s="16" t="n"/>
      <c r="D187" s="16" t="n"/>
      <c r="E187" s="16" t="n"/>
      <c r="F187" s="16" t="n"/>
      <c r="G187" s="16" t="n"/>
      <c r="H187" s="16" t="n"/>
    </row>
    <row r="188" ht="15" customHeight="1" s="60">
      <c r="A188" s="16" t="n"/>
      <c r="B188" s="16" t="n"/>
      <c r="C188" s="16" t="n"/>
      <c r="D188" s="16" t="n"/>
      <c r="E188" s="16" t="n"/>
      <c r="F188" s="16" t="n"/>
      <c r="G188" s="16" t="n"/>
      <c r="H188" s="16" t="n"/>
    </row>
    <row r="189" ht="15" customHeight="1" s="60">
      <c r="A189" s="16" t="n"/>
      <c r="B189" s="16" t="n"/>
      <c r="C189" s="16" t="n"/>
      <c r="D189" s="16" t="n"/>
      <c r="E189" s="16" t="n"/>
      <c r="F189" s="16" t="n"/>
      <c r="G189" s="16" t="n"/>
      <c r="H189" s="16" t="n"/>
    </row>
    <row r="190" ht="15" customHeight="1" s="60">
      <c r="A190" s="16" t="n"/>
      <c r="B190" s="16" t="n"/>
      <c r="C190" s="16" t="n"/>
      <c r="D190" s="16" t="n"/>
      <c r="E190" s="16" t="n"/>
      <c r="F190" s="16" t="n"/>
      <c r="G190" s="16" t="n"/>
      <c r="H190" s="16" t="n"/>
    </row>
    <row r="191" ht="15" customHeight="1" s="60">
      <c r="A191" s="16" t="n"/>
      <c r="B191" s="16" t="n"/>
      <c r="C191" s="16" t="n"/>
      <c r="D191" s="16" t="n"/>
      <c r="E191" s="16" t="n"/>
      <c r="F191" s="16" t="n"/>
      <c r="G191" s="16" t="n"/>
      <c r="H191" s="16" t="n"/>
    </row>
    <row r="192" ht="15" customHeight="1" s="60">
      <c r="A192" s="16" t="n"/>
      <c r="B192" s="16" t="n"/>
      <c r="C192" s="16" t="n"/>
      <c r="D192" s="16" t="n"/>
      <c r="E192" s="16" t="n"/>
      <c r="F192" s="16" t="n"/>
      <c r="G192" s="16" t="n"/>
      <c r="H192" s="16" t="n"/>
    </row>
    <row r="193" ht="15" customHeight="1" s="60">
      <c r="A193" s="16" t="n"/>
      <c r="B193" s="16" t="n"/>
      <c r="C193" s="16" t="n"/>
      <c r="D193" s="16" t="n"/>
      <c r="E193" s="16" t="n"/>
      <c r="F193" s="16" t="n"/>
      <c r="G193" s="16" t="n"/>
      <c r="H193" s="16" t="n"/>
    </row>
    <row r="194" ht="15" customHeight="1" s="60">
      <c r="A194" s="16" t="n"/>
      <c r="B194" s="16" t="n"/>
      <c r="C194" s="16" t="n"/>
      <c r="D194" s="16" t="n"/>
      <c r="E194" s="16" t="n"/>
      <c r="F194" s="16" t="n"/>
      <c r="G194" s="16" t="n"/>
      <c r="H194" s="16" t="n"/>
    </row>
    <row r="195" ht="15" customHeight="1" s="60">
      <c r="A195" s="16" t="n"/>
      <c r="B195" s="16" t="n"/>
      <c r="C195" s="16" t="n"/>
      <c r="D195" s="16" t="n"/>
      <c r="E195" s="16" t="n"/>
      <c r="F195" s="16" t="n"/>
      <c r="G195" s="16" t="n"/>
      <c r="H195" s="16" t="n"/>
    </row>
    <row r="196" ht="15" customHeight="1" s="60">
      <c r="A196" s="16" t="n"/>
      <c r="B196" s="16" t="n"/>
      <c r="C196" s="16" t="n"/>
      <c r="D196" s="16" t="n"/>
      <c r="E196" s="16" t="n"/>
      <c r="F196" s="16" t="n"/>
      <c r="G196" s="16" t="n"/>
      <c r="H196" s="16" t="n"/>
    </row>
    <row r="197" ht="15" customHeight="1" s="60">
      <c r="A197" s="16" t="n"/>
      <c r="B197" s="16" t="n"/>
      <c r="C197" s="16" t="n"/>
      <c r="D197" s="16" t="n"/>
      <c r="E197" s="16" t="n"/>
      <c r="F197" s="16" t="n"/>
      <c r="G197" s="16" t="n"/>
      <c r="H197" s="16" t="n"/>
    </row>
    <row r="198" ht="15" customHeight="1" s="60">
      <c r="A198" s="16" t="n"/>
      <c r="B198" s="16" t="n"/>
      <c r="C198" s="16" t="n"/>
      <c r="D198" s="16" t="n"/>
      <c r="E198" s="16" t="n"/>
      <c r="F198" s="16" t="n"/>
      <c r="G198" s="16" t="n"/>
      <c r="H198" s="16" t="n"/>
    </row>
    <row r="199" ht="15" customHeight="1" s="60">
      <c r="A199" s="16" t="n"/>
      <c r="B199" s="16" t="n"/>
      <c r="C199" s="16" t="n"/>
      <c r="D199" s="16" t="n"/>
      <c r="E199" s="16" t="n"/>
      <c r="F199" s="16" t="n"/>
      <c r="G199" s="16" t="n"/>
      <c r="H199" s="16" t="n"/>
    </row>
    <row r="200" ht="15" customHeight="1" s="60">
      <c r="A200" s="16" t="n"/>
      <c r="B200" s="16" t="n"/>
      <c r="C200" s="16" t="n"/>
      <c r="D200" s="16" t="n"/>
      <c r="E200" s="16" t="n"/>
      <c r="F200" s="16" t="n"/>
      <c r="G200" s="16" t="n"/>
      <c r="H200" s="16" t="n"/>
    </row>
    <row r="201" ht="15.75" customHeight="1" s="60">
      <c r="A201" s="41" t="n"/>
      <c r="B201" s="41" t="n"/>
      <c r="C201" s="41" t="n"/>
      <c r="D201" s="41" t="n"/>
      <c r="E201" s="41" t="n"/>
      <c r="F201" s="41" t="n"/>
      <c r="G201" s="41" t="n"/>
      <c r="H201" s="41" t="n"/>
    </row>
    <row r="202" ht="15.75" customHeight="1" s="60">
      <c r="A202" s="41" t="n"/>
      <c r="B202" s="41" t="n"/>
      <c r="C202" s="41" t="n"/>
      <c r="D202" s="41" t="n"/>
      <c r="E202" s="41" t="n"/>
      <c r="F202" s="41" t="n"/>
      <c r="G202" s="41" t="n"/>
      <c r="H202" s="41" t="n"/>
    </row>
    <row r="203" ht="15.75" customHeight="1" s="60">
      <c r="A203" s="41" t="n"/>
      <c r="B203" s="41" t="n"/>
      <c r="C203" s="41" t="n"/>
      <c r="D203" s="41" t="n"/>
      <c r="E203" s="41" t="n"/>
      <c r="F203" s="41" t="n"/>
      <c r="G203" s="41" t="n"/>
      <c r="H203" s="41" t="n"/>
    </row>
    <row r="204" ht="15.75" customHeight="1" s="60">
      <c r="A204" s="41" t="n"/>
      <c r="B204" s="41" t="n"/>
      <c r="C204" s="41" t="n"/>
      <c r="D204" s="41" t="n"/>
      <c r="E204" s="41" t="n"/>
      <c r="F204" s="41" t="n"/>
      <c r="G204" s="41" t="n"/>
      <c r="H204" s="41" t="n"/>
    </row>
    <row r="205" ht="15.75" customHeight="1" s="60">
      <c r="A205" s="41" t="n"/>
      <c r="B205" s="41" t="n"/>
      <c r="C205" s="41" t="n"/>
      <c r="D205" s="41" t="n"/>
      <c r="E205" s="41" t="n"/>
      <c r="F205" s="41" t="n"/>
      <c r="G205" s="41" t="n"/>
      <c r="H205" s="41" t="n"/>
    </row>
    <row r="206" ht="15.75" customHeight="1" s="60">
      <c r="A206" s="41" t="n"/>
      <c r="B206" s="41" t="n"/>
      <c r="C206" s="41" t="n"/>
      <c r="D206" s="41" t="n"/>
      <c r="E206" s="41" t="n"/>
      <c r="F206" s="41" t="n"/>
      <c r="G206" s="41" t="n"/>
      <c r="H206" s="41" t="n"/>
    </row>
    <row r="207" ht="15.75" customHeight="1" s="60">
      <c r="A207" s="41" t="n"/>
      <c r="B207" s="41" t="n"/>
      <c r="C207" s="41" t="n"/>
      <c r="D207" s="41" t="n"/>
      <c r="E207" s="41" t="n"/>
      <c r="F207" s="41" t="n"/>
      <c r="G207" s="41" t="n"/>
      <c r="H207" s="41" t="n"/>
    </row>
    <row r="208" ht="15.75" customHeight="1" s="60">
      <c r="A208" s="41" t="n"/>
      <c r="B208" s="41" t="n"/>
      <c r="C208" s="41" t="n"/>
      <c r="D208" s="41" t="n"/>
      <c r="E208" s="41" t="n"/>
      <c r="F208" s="41" t="n"/>
      <c r="G208" s="41" t="n"/>
      <c r="H208" s="41" t="n"/>
    </row>
    <row r="209" ht="15.75" customHeight="1" s="60">
      <c r="A209" s="41" t="n"/>
      <c r="B209" s="41" t="n"/>
      <c r="C209" s="41" t="n"/>
      <c r="D209" s="41" t="n"/>
      <c r="E209" s="41" t="n"/>
      <c r="F209" s="41" t="n"/>
      <c r="G209" s="41" t="n"/>
      <c r="H209" s="41" t="n"/>
    </row>
    <row r="210" ht="15.75" customHeight="1" s="60">
      <c r="A210" s="41" t="n"/>
      <c r="B210" s="41" t="n"/>
      <c r="C210" s="41" t="n"/>
      <c r="D210" s="41" t="n"/>
      <c r="E210" s="41" t="n"/>
      <c r="F210" s="41" t="n"/>
      <c r="G210" s="41" t="n"/>
      <c r="H210" s="41" t="n"/>
    </row>
    <row r="211" ht="15.75" customHeight="1" s="60">
      <c r="A211" s="41" t="n"/>
      <c r="B211" s="41" t="n"/>
      <c r="C211" s="41" t="n"/>
      <c r="D211" s="41" t="n"/>
      <c r="E211" s="41" t="n"/>
      <c r="F211" s="41" t="n"/>
      <c r="G211" s="41" t="n"/>
      <c r="H211" s="41" t="n"/>
    </row>
    <row r="212" ht="15.75" customHeight="1" s="60">
      <c r="A212" s="41" t="n"/>
      <c r="B212" s="41" t="n"/>
      <c r="C212" s="41" t="n"/>
      <c r="D212" s="41" t="n"/>
      <c r="E212" s="41" t="n"/>
      <c r="F212" s="41" t="n"/>
      <c r="G212" s="41" t="n"/>
      <c r="H212" s="41" t="n"/>
    </row>
    <row r="213" ht="15.75" customHeight="1" s="60">
      <c r="A213" s="41" t="n"/>
      <c r="B213" s="41" t="n"/>
      <c r="C213" s="41" t="n"/>
      <c r="D213" s="41" t="n"/>
      <c r="E213" s="41" t="n"/>
      <c r="F213" s="41" t="n"/>
      <c r="G213" s="41" t="n"/>
      <c r="H213" s="41" t="n"/>
    </row>
    <row r="214" ht="15.75" customHeight="1" s="60">
      <c r="A214" s="41" t="n"/>
      <c r="B214" s="41" t="n"/>
      <c r="C214" s="41" t="n"/>
      <c r="D214" s="41" t="n"/>
      <c r="E214" s="41" t="n"/>
      <c r="F214" s="41" t="n"/>
      <c r="G214" s="41" t="n"/>
      <c r="H214" s="41" t="n"/>
    </row>
    <row r="215" ht="15.75" customHeight="1" s="60">
      <c r="A215" s="41" t="n"/>
      <c r="B215" s="41" t="n"/>
      <c r="C215" s="41" t="n"/>
      <c r="D215" s="41" t="n"/>
      <c r="E215" s="41" t="n"/>
      <c r="F215" s="41" t="n"/>
      <c r="G215" s="41" t="n"/>
      <c r="H215" s="41" t="n"/>
    </row>
    <row r="216" ht="15.75" customHeight="1" s="60">
      <c r="A216" s="41" t="n"/>
      <c r="B216" s="41" t="n"/>
      <c r="C216" s="41" t="n"/>
      <c r="D216" s="41" t="n"/>
      <c r="E216" s="41" t="n"/>
      <c r="F216" s="41" t="n"/>
      <c r="G216" s="41" t="n"/>
      <c r="H216" s="41" t="n"/>
    </row>
    <row r="217" ht="15.75" customHeight="1" s="60">
      <c r="A217" s="41" t="n"/>
      <c r="B217" s="41" t="n"/>
      <c r="C217" s="41" t="n"/>
      <c r="D217" s="41" t="n"/>
      <c r="E217" s="41" t="n"/>
      <c r="F217" s="41" t="n"/>
      <c r="G217" s="41" t="n"/>
      <c r="H217" s="41" t="n"/>
    </row>
    <row r="218" ht="15.75" customHeight="1" s="60">
      <c r="A218" s="41" t="n"/>
      <c r="B218" s="41" t="n"/>
      <c r="C218" s="41" t="n"/>
      <c r="D218" s="41" t="n"/>
      <c r="E218" s="41" t="n"/>
      <c r="F218" s="41" t="n"/>
      <c r="G218" s="41" t="n"/>
      <c r="H218" s="41" t="n"/>
    </row>
    <row r="219" ht="15.75" customHeight="1" s="60">
      <c r="A219" s="41" t="n"/>
      <c r="B219" s="41" t="n"/>
      <c r="C219" s="41" t="n"/>
      <c r="D219" s="41" t="n"/>
      <c r="E219" s="41" t="n"/>
      <c r="F219" s="41" t="n"/>
      <c r="G219" s="41" t="n"/>
      <c r="H219" s="41" t="n"/>
    </row>
    <row r="220" ht="15.75" customHeight="1" s="60">
      <c r="A220" s="41" t="n"/>
      <c r="B220" s="41" t="n"/>
      <c r="C220" s="41" t="n"/>
      <c r="D220" s="41" t="n"/>
      <c r="E220" s="41" t="n"/>
      <c r="F220" s="41" t="n"/>
      <c r="G220" s="41" t="n"/>
      <c r="H220" s="41" t="n"/>
    </row>
    <row r="221" ht="15.75" customHeight="1" s="60">
      <c r="A221" s="41" t="n"/>
      <c r="B221" s="41" t="n"/>
      <c r="C221" s="41" t="n"/>
      <c r="D221" s="41" t="n"/>
      <c r="E221" s="41" t="n"/>
      <c r="F221" s="41" t="n"/>
      <c r="G221" s="41" t="n"/>
      <c r="H221" s="41" t="n"/>
    </row>
    <row r="222" ht="15.75" customHeight="1" s="60">
      <c r="A222" s="41" t="n"/>
      <c r="B222" s="41" t="n"/>
      <c r="C222" s="41" t="n"/>
      <c r="D222" s="41" t="n"/>
      <c r="E222" s="41" t="n"/>
      <c r="F222" s="41" t="n"/>
      <c r="G222" s="41" t="n"/>
      <c r="H222" s="41" t="n"/>
    </row>
    <row r="223" ht="15.75" customHeight="1" s="60">
      <c r="A223" s="41" t="n"/>
      <c r="B223" s="41" t="n"/>
      <c r="C223" s="41" t="n"/>
      <c r="D223" s="41" t="n"/>
      <c r="E223" s="41" t="n"/>
      <c r="F223" s="41" t="n"/>
      <c r="G223" s="41" t="n"/>
      <c r="H223" s="41" t="n"/>
    </row>
    <row r="224" ht="15.75" customHeight="1" s="60">
      <c r="A224" s="41" t="n"/>
      <c r="B224" s="41" t="n"/>
      <c r="C224" s="41" t="n"/>
      <c r="D224" s="41" t="n"/>
      <c r="E224" s="41" t="n"/>
      <c r="F224" s="41" t="n"/>
      <c r="G224" s="41" t="n"/>
      <c r="H224" s="41" t="n"/>
    </row>
    <row r="225" ht="15.75" customHeight="1" s="60">
      <c r="A225" s="41" t="n"/>
      <c r="B225" s="41" t="n"/>
      <c r="C225" s="41" t="n"/>
      <c r="D225" s="41" t="n"/>
      <c r="E225" s="41" t="n"/>
      <c r="F225" s="41" t="n"/>
      <c r="G225" s="41" t="n"/>
      <c r="H225" s="41" t="n"/>
    </row>
    <row r="226" ht="15.75" customHeight="1" s="60">
      <c r="A226" s="41" t="n"/>
      <c r="B226" s="41" t="n"/>
      <c r="C226" s="41" t="n"/>
      <c r="D226" s="41" t="n"/>
      <c r="E226" s="41" t="n"/>
      <c r="F226" s="41" t="n"/>
      <c r="G226" s="41" t="n"/>
      <c r="H226" s="41" t="n"/>
    </row>
    <row r="227" ht="15.75" customHeight="1" s="60">
      <c r="A227" s="41" t="n"/>
      <c r="B227" s="41" t="n"/>
      <c r="C227" s="41" t="n"/>
      <c r="D227" s="41" t="n"/>
      <c r="E227" s="41" t="n"/>
      <c r="F227" s="41" t="n"/>
      <c r="G227" s="41" t="n"/>
      <c r="H227" s="41" t="n"/>
    </row>
    <row r="228" ht="15.75" customHeight="1" s="60">
      <c r="A228" s="41" t="n"/>
      <c r="B228" s="41" t="n"/>
      <c r="C228" s="41" t="n"/>
      <c r="D228" s="41" t="n"/>
      <c r="E228" s="41" t="n"/>
      <c r="F228" s="41" t="n"/>
      <c r="G228" s="41" t="n"/>
      <c r="H228" s="41" t="n"/>
    </row>
    <row r="229" ht="15.75" customHeight="1" s="60">
      <c r="A229" s="41" t="n"/>
      <c r="B229" s="41" t="n"/>
      <c r="C229" s="41" t="n"/>
      <c r="D229" s="41" t="n"/>
      <c r="E229" s="41" t="n"/>
      <c r="F229" s="41" t="n"/>
      <c r="G229" s="41" t="n"/>
      <c r="H229" s="41" t="n"/>
    </row>
    <row r="230" ht="15.75" customHeight="1" s="60">
      <c r="A230" s="41" t="n"/>
      <c r="B230" s="41" t="n"/>
      <c r="C230" s="41" t="n"/>
      <c r="D230" s="41" t="n"/>
      <c r="E230" s="41" t="n"/>
      <c r="F230" s="41" t="n"/>
      <c r="G230" s="41" t="n"/>
      <c r="H230" s="41" t="n"/>
    </row>
    <row r="231" ht="15.75" customHeight="1" s="60">
      <c r="A231" s="41" t="n"/>
      <c r="B231" s="41" t="n"/>
      <c r="C231" s="41" t="n"/>
      <c r="D231" s="41" t="n"/>
      <c r="E231" s="41" t="n"/>
      <c r="F231" s="41" t="n"/>
      <c r="G231" s="41" t="n"/>
      <c r="H231" s="41" t="n"/>
    </row>
    <row r="232" ht="15.75" customHeight="1" s="60">
      <c r="A232" s="41" t="n"/>
      <c r="B232" s="41" t="n"/>
      <c r="C232" s="41" t="n"/>
      <c r="D232" s="41" t="n"/>
      <c r="E232" s="41" t="n"/>
      <c r="F232" s="41" t="n"/>
      <c r="G232" s="41" t="n"/>
      <c r="H232" s="41" t="n"/>
    </row>
    <row r="233" ht="15.75" customHeight="1" s="60">
      <c r="A233" s="41" t="n"/>
      <c r="B233" s="41" t="n"/>
      <c r="C233" s="41" t="n"/>
      <c r="D233" s="41" t="n"/>
      <c r="E233" s="41" t="n"/>
      <c r="F233" s="41" t="n"/>
      <c r="G233" s="41" t="n"/>
      <c r="H233" s="41" t="n"/>
    </row>
    <row r="234" ht="15.75" customHeight="1" s="60">
      <c r="A234" s="41" t="n"/>
      <c r="B234" s="41" t="n"/>
      <c r="C234" s="41" t="n"/>
      <c r="D234" s="41" t="n"/>
      <c r="E234" s="41" t="n"/>
      <c r="F234" s="41" t="n"/>
      <c r="G234" s="41" t="n"/>
      <c r="H234" s="41" t="n"/>
    </row>
    <row r="235" ht="15.75" customHeight="1" s="60">
      <c r="A235" s="41" t="n"/>
      <c r="B235" s="41" t="n"/>
      <c r="C235" s="41" t="n"/>
      <c r="D235" s="41" t="n"/>
      <c r="E235" s="41" t="n"/>
      <c r="F235" s="41" t="n"/>
      <c r="G235" s="41" t="n"/>
      <c r="H235" s="41" t="n"/>
    </row>
    <row r="236" ht="15.75" customHeight="1" s="60">
      <c r="A236" s="41" t="n"/>
      <c r="B236" s="41" t="n"/>
      <c r="C236" s="41" t="n"/>
      <c r="D236" s="41" t="n"/>
      <c r="E236" s="41" t="n"/>
      <c r="F236" s="41" t="n"/>
      <c r="G236" s="41" t="n"/>
      <c r="H236" s="41" t="n"/>
    </row>
    <row r="237" ht="15.75" customHeight="1" s="60">
      <c r="A237" s="41" t="n"/>
      <c r="B237" s="41" t="n"/>
      <c r="C237" s="41" t="n"/>
      <c r="D237" s="41" t="n"/>
      <c r="E237" s="41" t="n"/>
      <c r="F237" s="41" t="n"/>
      <c r="G237" s="41" t="n"/>
      <c r="H237" s="41" t="n"/>
    </row>
    <row r="238" ht="15.75" customHeight="1" s="60">
      <c r="A238" s="41" t="n"/>
      <c r="B238" s="41" t="n"/>
      <c r="C238" s="41" t="n"/>
      <c r="D238" s="41" t="n"/>
      <c r="E238" s="41" t="n"/>
      <c r="F238" s="41" t="n"/>
      <c r="G238" s="41" t="n"/>
      <c r="H238" s="41" t="n"/>
    </row>
    <row r="239" ht="15.75" customHeight="1" s="60">
      <c r="A239" s="41" t="n"/>
      <c r="B239" s="41" t="n"/>
      <c r="C239" s="41" t="n"/>
      <c r="D239" s="41" t="n"/>
      <c r="E239" s="41" t="n"/>
      <c r="F239" s="41" t="n"/>
      <c r="G239" s="41" t="n"/>
      <c r="H239" s="41" t="n"/>
    </row>
    <row r="240" ht="15.75" customHeight="1" s="60">
      <c r="A240" s="41" t="n"/>
      <c r="B240" s="41" t="n"/>
      <c r="C240" s="41" t="n"/>
      <c r="D240" s="41" t="n"/>
      <c r="E240" s="41" t="n"/>
      <c r="F240" s="41" t="n"/>
      <c r="G240" s="41" t="n"/>
      <c r="H240" s="41" t="n"/>
    </row>
    <row r="241" ht="15.75" customHeight="1" s="60">
      <c r="A241" s="41" t="n"/>
      <c r="B241" s="41" t="n"/>
      <c r="C241" s="41" t="n"/>
      <c r="D241" s="41" t="n"/>
      <c r="E241" s="41" t="n"/>
      <c r="F241" s="41" t="n"/>
      <c r="G241" s="41" t="n"/>
      <c r="H241" s="41" t="n"/>
    </row>
    <row r="242" ht="15.75" customHeight="1" s="60">
      <c r="A242" s="41" t="n"/>
      <c r="B242" s="41" t="n"/>
      <c r="C242" s="41" t="n"/>
      <c r="D242" s="41" t="n"/>
      <c r="E242" s="41" t="n"/>
      <c r="F242" s="41" t="n"/>
      <c r="G242" s="41" t="n"/>
      <c r="H242" s="41" t="n"/>
    </row>
    <row r="243" ht="15.75" customHeight="1" s="60">
      <c r="A243" s="41" t="n"/>
      <c r="B243" s="41" t="n"/>
      <c r="C243" s="41" t="n"/>
      <c r="D243" s="41" t="n"/>
      <c r="E243" s="41" t="n"/>
      <c r="F243" s="41" t="n"/>
      <c r="G243" s="41" t="n"/>
      <c r="H243" s="41" t="n"/>
    </row>
    <row r="244" ht="15.75" customHeight="1" s="60">
      <c r="A244" s="41" t="n"/>
      <c r="B244" s="41" t="n"/>
      <c r="C244" s="41" t="n"/>
      <c r="D244" s="41" t="n"/>
      <c r="E244" s="41" t="n"/>
      <c r="F244" s="41" t="n"/>
      <c r="G244" s="41" t="n"/>
      <c r="H244" s="41" t="n"/>
    </row>
    <row r="245" ht="15.75" customHeight="1" s="60">
      <c r="A245" s="41" t="n"/>
      <c r="B245" s="41" t="n"/>
      <c r="C245" s="41" t="n"/>
      <c r="D245" s="41" t="n"/>
      <c r="E245" s="41" t="n"/>
      <c r="F245" s="41" t="n"/>
      <c r="G245" s="41" t="n"/>
      <c r="H245" s="41" t="n"/>
    </row>
    <row r="246" ht="15.75" customHeight="1" s="60">
      <c r="A246" s="41" t="n"/>
      <c r="B246" s="41" t="n"/>
      <c r="C246" s="41" t="n"/>
      <c r="D246" s="41" t="n"/>
      <c r="E246" s="41" t="n"/>
      <c r="F246" s="41" t="n"/>
      <c r="G246" s="41" t="n"/>
      <c r="H246" s="41" t="n"/>
    </row>
    <row r="247" ht="15.75" customHeight="1" s="60">
      <c r="A247" s="41" t="n"/>
      <c r="B247" s="41" t="n"/>
      <c r="C247" s="41" t="n"/>
      <c r="D247" s="41" t="n"/>
      <c r="E247" s="41" t="n"/>
      <c r="F247" s="41" t="n"/>
      <c r="G247" s="41" t="n"/>
      <c r="H247" s="41" t="n"/>
    </row>
    <row r="248" ht="15.75" customHeight="1" s="60">
      <c r="A248" s="41" t="n"/>
      <c r="B248" s="41" t="n"/>
      <c r="C248" s="41" t="n"/>
      <c r="D248" s="41" t="n"/>
      <c r="E248" s="41" t="n"/>
      <c r="F248" s="41" t="n"/>
      <c r="G248" s="41" t="n"/>
      <c r="H248" s="41" t="n"/>
    </row>
    <row r="249" ht="15.75" customHeight="1" s="60">
      <c r="A249" s="41" t="n"/>
      <c r="B249" s="41" t="n"/>
      <c r="C249" s="41" t="n"/>
      <c r="D249" s="41" t="n"/>
      <c r="E249" s="41" t="n"/>
      <c r="F249" s="41" t="n"/>
      <c r="G249" s="41" t="n"/>
      <c r="H249" s="41" t="n"/>
    </row>
    <row r="250" ht="15.75" customHeight="1" s="60">
      <c r="A250" s="41" t="n"/>
      <c r="B250" s="41" t="n"/>
      <c r="C250" s="41" t="n"/>
      <c r="D250" s="41" t="n"/>
      <c r="E250" s="41" t="n"/>
      <c r="F250" s="41" t="n"/>
      <c r="G250" s="41" t="n"/>
      <c r="H250" s="41" t="n"/>
    </row>
    <row r="251" ht="15.75" customHeight="1" s="60">
      <c r="A251" s="41" t="n"/>
      <c r="B251" s="41" t="n"/>
      <c r="C251" s="41" t="n"/>
      <c r="D251" s="41" t="n"/>
      <c r="E251" s="41" t="n"/>
      <c r="F251" s="41" t="n"/>
      <c r="G251" s="41" t="n"/>
      <c r="H251" s="41" t="n"/>
    </row>
    <row r="252" ht="15.75" customHeight="1" s="60">
      <c r="A252" s="41" t="n"/>
      <c r="B252" s="41" t="n"/>
      <c r="C252" s="41" t="n"/>
      <c r="D252" s="41" t="n"/>
      <c r="E252" s="41" t="n"/>
      <c r="F252" s="41" t="n"/>
      <c r="G252" s="41" t="n"/>
      <c r="H252" s="41" t="n"/>
    </row>
    <row r="253" ht="15.75" customHeight="1" s="60">
      <c r="A253" s="41" t="n"/>
      <c r="B253" s="41" t="n"/>
      <c r="C253" s="41" t="n"/>
      <c r="D253" s="41" t="n"/>
      <c r="E253" s="41" t="n"/>
      <c r="F253" s="41" t="n"/>
      <c r="G253" s="41" t="n"/>
      <c r="H253" s="41" t="n"/>
    </row>
    <row r="254" ht="15.75" customHeight="1" s="60">
      <c r="A254" s="41" t="n"/>
      <c r="B254" s="41" t="n"/>
      <c r="C254" s="41" t="n"/>
      <c r="D254" s="41" t="n"/>
      <c r="E254" s="41" t="n"/>
      <c r="F254" s="41" t="n"/>
      <c r="G254" s="41" t="n"/>
      <c r="H254" s="41" t="n"/>
    </row>
    <row r="255" ht="15.75" customHeight="1" s="60">
      <c r="A255" s="41" t="n"/>
      <c r="B255" s="41" t="n"/>
      <c r="C255" s="41" t="n"/>
      <c r="D255" s="41" t="n"/>
      <c r="E255" s="41" t="n"/>
      <c r="F255" s="41" t="n"/>
      <c r="G255" s="41" t="n"/>
      <c r="H255" s="41" t="n"/>
    </row>
    <row r="256" ht="15.75" customHeight="1" s="60">
      <c r="A256" s="41" t="n"/>
      <c r="B256" s="41" t="n"/>
      <c r="C256" s="41" t="n"/>
      <c r="D256" s="41" t="n"/>
      <c r="E256" s="41" t="n"/>
      <c r="F256" s="41" t="n"/>
      <c r="G256" s="41" t="n"/>
      <c r="H256" s="41" t="n"/>
    </row>
    <row r="257" ht="15.75" customHeight="1" s="60">
      <c r="A257" s="41" t="n"/>
      <c r="B257" s="41" t="n"/>
      <c r="C257" s="41" t="n"/>
      <c r="D257" s="41" t="n"/>
      <c r="E257" s="41" t="n"/>
      <c r="F257" s="41" t="n"/>
      <c r="G257" s="41" t="n"/>
      <c r="H257" s="41" t="n"/>
    </row>
    <row r="258" ht="15.75" customHeight="1" s="60">
      <c r="A258" s="41" t="n"/>
      <c r="B258" s="41" t="n"/>
      <c r="C258" s="41" t="n"/>
      <c r="D258" s="41" t="n"/>
      <c r="E258" s="41" t="n"/>
      <c r="F258" s="41" t="n"/>
      <c r="G258" s="41" t="n"/>
      <c r="H258" s="41" t="n"/>
    </row>
    <row r="259" ht="15.75" customHeight="1" s="60">
      <c r="A259" s="41" t="n"/>
      <c r="B259" s="41" t="n"/>
      <c r="C259" s="41" t="n"/>
      <c r="D259" s="41" t="n"/>
      <c r="E259" s="41" t="n"/>
      <c r="F259" s="41" t="n"/>
      <c r="G259" s="41" t="n"/>
      <c r="H259" s="41" t="n"/>
    </row>
    <row r="260" ht="15.75" customHeight="1" s="60">
      <c r="A260" s="41" t="n"/>
      <c r="B260" s="41" t="n"/>
      <c r="C260" s="41" t="n"/>
      <c r="D260" s="41" t="n"/>
      <c r="E260" s="41" t="n"/>
      <c r="F260" s="41" t="n"/>
      <c r="G260" s="41" t="n"/>
      <c r="H260" s="41" t="n"/>
    </row>
    <row r="261" ht="15.75" customHeight="1" s="60">
      <c r="A261" s="41" t="n"/>
      <c r="B261" s="41" t="n"/>
      <c r="C261" s="41" t="n"/>
      <c r="D261" s="41" t="n"/>
      <c r="E261" s="41" t="n"/>
      <c r="F261" s="41" t="n"/>
      <c r="G261" s="41" t="n"/>
      <c r="H261" s="41" t="n"/>
    </row>
    <row r="262" ht="15.75" customHeight="1" s="60">
      <c r="A262" s="41" t="n"/>
      <c r="B262" s="41" t="n"/>
      <c r="C262" s="41" t="n"/>
      <c r="D262" s="41" t="n"/>
      <c r="E262" s="41" t="n"/>
      <c r="F262" s="41" t="n"/>
      <c r="G262" s="41" t="n"/>
      <c r="H262" s="41" t="n"/>
    </row>
    <row r="263" ht="15.75" customHeight="1" s="60">
      <c r="A263" s="41" t="n"/>
      <c r="B263" s="41" t="n"/>
      <c r="C263" s="41" t="n"/>
      <c r="D263" s="41" t="n"/>
      <c r="E263" s="41" t="n"/>
      <c r="F263" s="41" t="n"/>
      <c r="G263" s="41" t="n"/>
      <c r="H263" s="41" t="n"/>
    </row>
    <row r="264" ht="15.75" customHeight="1" s="60">
      <c r="A264" s="41" t="n"/>
      <c r="B264" s="41" t="n"/>
      <c r="C264" s="41" t="n"/>
      <c r="D264" s="41" t="n"/>
      <c r="E264" s="41" t="n"/>
      <c r="F264" s="41" t="n"/>
      <c r="G264" s="41" t="n"/>
      <c r="H264" s="41" t="n"/>
    </row>
    <row r="265" ht="15.75" customHeight="1" s="60">
      <c r="A265" s="41" t="n"/>
      <c r="B265" s="41" t="n"/>
      <c r="C265" s="41" t="n"/>
      <c r="D265" s="41" t="n"/>
      <c r="E265" s="41" t="n"/>
      <c r="F265" s="41" t="n"/>
      <c r="G265" s="41" t="n"/>
      <c r="H265" s="41" t="n"/>
    </row>
    <row r="266" ht="15.75" customHeight="1" s="60">
      <c r="A266" s="41" t="n"/>
      <c r="B266" s="41" t="n"/>
      <c r="C266" s="41" t="n"/>
      <c r="D266" s="41" t="n"/>
      <c r="E266" s="41" t="n"/>
      <c r="F266" s="41" t="n"/>
      <c r="G266" s="41" t="n"/>
      <c r="H266" s="41" t="n"/>
    </row>
    <row r="267" ht="15.75" customHeight="1" s="60">
      <c r="A267" s="41" t="n"/>
      <c r="B267" s="41" t="n"/>
      <c r="C267" s="41" t="n"/>
      <c r="D267" s="41" t="n"/>
      <c r="E267" s="41" t="n"/>
      <c r="F267" s="41" t="n"/>
      <c r="G267" s="41" t="n"/>
      <c r="H267" s="41" t="n"/>
    </row>
    <row r="268" ht="15.75" customHeight="1" s="60">
      <c r="A268" s="41" t="n"/>
      <c r="B268" s="41" t="n"/>
      <c r="C268" s="41" t="n"/>
      <c r="D268" s="41" t="n"/>
      <c r="E268" s="41" t="n"/>
      <c r="F268" s="41" t="n"/>
      <c r="G268" s="41" t="n"/>
      <c r="H268" s="41" t="n"/>
    </row>
    <row r="269" ht="15.75" customHeight="1" s="60">
      <c r="A269" s="41" t="n"/>
      <c r="B269" s="41" t="n"/>
      <c r="C269" s="41" t="n"/>
      <c r="D269" s="41" t="n"/>
      <c r="E269" s="41" t="n"/>
      <c r="F269" s="41" t="n"/>
      <c r="G269" s="41" t="n"/>
      <c r="H269" s="41" t="n"/>
    </row>
    <row r="270" ht="15.75" customHeight="1" s="60">
      <c r="A270" s="41" t="n"/>
      <c r="B270" s="41" t="n"/>
      <c r="C270" s="41" t="n"/>
      <c r="D270" s="41" t="n"/>
      <c r="E270" s="41" t="n"/>
      <c r="F270" s="41" t="n"/>
      <c r="G270" s="41" t="n"/>
      <c r="H270" s="41" t="n"/>
    </row>
    <row r="271" ht="15.75" customHeight="1" s="60">
      <c r="A271" s="41" t="n"/>
      <c r="B271" s="41" t="n"/>
      <c r="C271" s="41" t="n"/>
      <c r="D271" s="41" t="n"/>
      <c r="E271" s="41" t="n"/>
      <c r="F271" s="41" t="n"/>
      <c r="G271" s="41" t="n"/>
      <c r="H271" s="41" t="n"/>
    </row>
    <row r="272" ht="15.75" customHeight="1" s="60">
      <c r="A272" s="41" t="n"/>
      <c r="B272" s="41" t="n"/>
      <c r="C272" s="41" t="n"/>
      <c r="D272" s="41" t="n"/>
      <c r="E272" s="41" t="n"/>
      <c r="F272" s="41" t="n"/>
      <c r="G272" s="41" t="n"/>
      <c r="H272" s="41" t="n"/>
    </row>
    <row r="273" ht="15.75" customHeight="1" s="60">
      <c r="A273" s="41" t="n"/>
      <c r="B273" s="41" t="n"/>
      <c r="C273" s="41" t="n"/>
      <c r="D273" s="41" t="n"/>
      <c r="E273" s="41" t="n"/>
      <c r="F273" s="41" t="n"/>
      <c r="G273" s="41" t="n"/>
      <c r="H273" s="41" t="n"/>
    </row>
    <row r="274" ht="15.75" customHeight="1" s="60">
      <c r="A274" s="41" t="n"/>
      <c r="B274" s="41" t="n"/>
      <c r="C274" s="41" t="n"/>
      <c r="D274" s="41" t="n"/>
      <c r="E274" s="41" t="n"/>
      <c r="F274" s="41" t="n"/>
      <c r="G274" s="41" t="n"/>
      <c r="H274" s="41" t="n"/>
    </row>
    <row r="275" ht="15.75" customHeight="1" s="60">
      <c r="A275" s="41" t="n"/>
      <c r="B275" s="41" t="n"/>
      <c r="C275" s="41" t="n"/>
      <c r="D275" s="41" t="n"/>
      <c r="E275" s="41" t="n"/>
      <c r="F275" s="41" t="n"/>
      <c r="G275" s="41" t="n"/>
      <c r="H275" s="41" t="n"/>
    </row>
    <row r="276" ht="15.75" customHeight="1" s="60">
      <c r="A276" s="41" t="n"/>
      <c r="B276" s="41" t="n"/>
      <c r="C276" s="41" t="n"/>
      <c r="D276" s="41" t="n"/>
      <c r="E276" s="41" t="n"/>
      <c r="F276" s="41" t="n"/>
      <c r="G276" s="41" t="n"/>
      <c r="H276" s="41" t="n"/>
    </row>
    <row r="277" ht="15.75" customHeight="1" s="60">
      <c r="A277" s="41" t="n"/>
      <c r="B277" s="41" t="n"/>
      <c r="C277" s="41" t="n"/>
      <c r="D277" s="41" t="n"/>
      <c r="E277" s="41" t="n"/>
      <c r="F277" s="41" t="n"/>
      <c r="G277" s="41" t="n"/>
      <c r="H277" s="41" t="n"/>
    </row>
    <row r="278" ht="15.75" customHeight="1" s="60">
      <c r="A278" s="41" t="n"/>
      <c r="B278" s="41" t="n"/>
      <c r="C278" s="41" t="n"/>
      <c r="D278" s="41" t="n"/>
      <c r="E278" s="41" t="n"/>
      <c r="F278" s="41" t="n"/>
      <c r="G278" s="41" t="n"/>
      <c r="H278" s="41" t="n"/>
    </row>
    <row r="279" ht="15.75" customHeight="1" s="60">
      <c r="A279" s="41" t="n"/>
      <c r="B279" s="41" t="n"/>
      <c r="C279" s="41" t="n"/>
      <c r="D279" s="41" t="n"/>
      <c r="E279" s="41" t="n"/>
      <c r="F279" s="41" t="n"/>
      <c r="G279" s="41" t="n"/>
      <c r="H279" s="41" t="n"/>
    </row>
    <row r="280" ht="15.75" customHeight="1" s="60">
      <c r="A280" s="41" t="n"/>
      <c r="B280" s="41" t="n"/>
      <c r="C280" s="41" t="n"/>
      <c r="D280" s="41" t="n"/>
      <c r="E280" s="41" t="n"/>
      <c r="F280" s="41" t="n"/>
      <c r="G280" s="41" t="n"/>
      <c r="H280" s="41" t="n"/>
    </row>
    <row r="281" ht="15.75" customHeight="1" s="60">
      <c r="A281" s="41" t="n"/>
      <c r="B281" s="41" t="n"/>
      <c r="C281" s="41" t="n"/>
      <c r="D281" s="41" t="n"/>
      <c r="E281" s="41" t="n"/>
      <c r="F281" s="41" t="n"/>
      <c r="G281" s="41" t="n"/>
      <c r="H281" s="41" t="n"/>
    </row>
    <row r="282" ht="15.75" customHeight="1" s="60">
      <c r="A282" s="41" t="n"/>
      <c r="B282" s="41" t="n"/>
      <c r="C282" s="41" t="n"/>
      <c r="D282" s="41" t="n"/>
      <c r="E282" s="41" t="n"/>
      <c r="F282" s="41" t="n"/>
      <c r="G282" s="41" t="n"/>
      <c r="H282" s="41" t="n"/>
    </row>
    <row r="283" ht="15.75" customHeight="1" s="60">
      <c r="A283" s="41" t="n"/>
      <c r="B283" s="41" t="n"/>
      <c r="C283" s="41" t="n"/>
      <c r="D283" s="41" t="n"/>
      <c r="E283" s="41" t="n"/>
      <c r="F283" s="41" t="n"/>
      <c r="G283" s="41" t="n"/>
      <c r="H283" s="41" t="n"/>
    </row>
    <row r="284" ht="15.75" customHeight="1" s="60">
      <c r="A284" s="41" t="n"/>
      <c r="B284" s="41" t="n"/>
      <c r="C284" s="41" t="n"/>
      <c r="D284" s="41" t="n"/>
      <c r="E284" s="41" t="n"/>
      <c r="F284" s="41" t="n"/>
      <c r="G284" s="41" t="n"/>
      <c r="H284" s="41" t="n"/>
    </row>
    <row r="285" ht="15.75" customHeight="1" s="60">
      <c r="A285" s="41" t="n"/>
      <c r="B285" s="41" t="n"/>
      <c r="C285" s="41" t="n"/>
      <c r="D285" s="41" t="n"/>
      <c r="E285" s="41" t="n"/>
      <c r="F285" s="41" t="n"/>
      <c r="G285" s="41" t="n"/>
      <c r="H285" s="41" t="n"/>
    </row>
    <row r="286" ht="15.75" customHeight="1" s="60">
      <c r="A286" s="41" t="n"/>
      <c r="B286" s="41" t="n"/>
      <c r="C286" s="41" t="n"/>
      <c r="D286" s="41" t="n"/>
      <c r="E286" s="41" t="n"/>
      <c r="F286" s="41" t="n"/>
      <c r="G286" s="41" t="n"/>
      <c r="H286" s="41" t="n"/>
    </row>
    <row r="287" ht="15.75" customHeight="1" s="60">
      <c r="A287" s="41" t="n"/>
      <c r="B287" s="41" t="n"/>
      <c r="C287" s="41" t="n"/>
      <c r="D287" s="41" t="n"/>
      <c r="E287" s="41" t="n"/>
      <c r="F287" s="41" t="n"/>
      <c r="G287" s="41" t="n"/>
      <c r="H287" s="41" t="n"/>
    </row>
    <row r="288" ht="15.75" customHeight="1" s="60">
      <c r="A288" s="41" t="n"/>
      <c r="B288" s="41" t="n"/>
      <c r="C288" s="41" t="n"/>
      <c r="D288" s="41" t="n"/>
      <c r="E288" s="41" t="n"/>
      <c r="F288" s="41" t="n"/>
      <c r="G288" s="41" t="n"/>
      <c r="H288" s="41" t="n"/>
    </row>
    <row r="289" ht="15.75" customHeight="1" s="60">
      <c r="A289" s="41" t="n"/>
      <c r="B289" s="41" t="n"/>
      <c r="C289" s="41" t="n"/>
      <c r="D289" s="41" t="n"/>
      <c r="E289" s="41" t="n"/>
      <c r="F289" s="41" t="n"/>
      <c r="G289" s="41" t="n"/>
      <c r="H289" s="41" t="n"/>
    </row>
    <row r="290" ht="15.75" customHeight="1" s="60">
      <c r="A290" s="41" t="n"/>
      <c r="B290" s="41" t="n"/>
      <c r="C290" s="41" t="n"/>
      <c r="D290" s="41" t="n"/>
      <c r="E290" s="41" t="n"/>
      <c r="F290" s="41" t="n"/>
      <c r="G290" s="41" t="n"/>
      <c r="H290" s="41" t="n"/>
    </row>
    <row r="291" ht="15.75" customHeight="1" s="60">
      <c r="A291" s="41" t="n"/>
      <c r="B291" s="41" t="n"/>
      <c r="C291" s="41" t="n"/>
      <c r="D291" s="41" t="n"/>
      <c r="E291" s="41" t="n"/>
      <c r="F291" s="41" t="n"/>
      <c r="G291" s="41" t="n"/>
      <c r="H291" s="41" t="n"/>
    </row>
    <row r="292" ht="15.75" customHeight="1" s="60">
      <c r="A292" s="41" t="n"/>
      <c r="B292" s="41" t="n"/>
      <c r="C292" s="41" t="n"/>
      <c r="D292" s="41" t="n"/>
      <c r="E292" s="41" t="n"/>
      <c r="F292" s="41" t="n"/>
      <c r="G292" s="41" t="n"/>
      <c r="H292" s="41" t="n"/>
    </row>
    <row r="293" ht="15.75" customHeight="1" s="60">
      <c r="A293" s="41" t="n"/>
      <c r="B293" s="41" t="n"/>
      <c r="C293" s="41" t="n"/>
      <c r="D293" s="41" t="n"/>
      <c r="E293" s="41" t="n"/>
      <c r="F293" s="41" t="n"/>
      <c r="G293" s="41" t="n"/>
      <c r="H293" s="41" t="n"/>
    </row>
    <row r="294" ht="15.75" customHeight="1" s="60">
      <c r="A294" s="41" t="n"/>
      <c r="B294" s="41" t="n"/>
      <c r="C294" s="41" t="n"/>
      <c r="D294" s="41" t="n"/>
      <c r="E294" s="41" t="n"/>
      <c r="F294" s="41" t="n"/>
      <c r="G294" s="41" t="n"/>
      <c r="H294" s="41" t="n"/>
    </row>
    <row r="295" ht="15.75" customHeight="1" s="60">
      <c r="A295" s="41" t="n"/>
      <c r="B295" s="41" t="n"/>
      <c r="C295" s="41" t="n"/>
      <c r="D295" s="41" t="n"/>
      <c r="E295" s="41" t="n"/>
      <c r="F295" s="41" t="n"/>
      <c r="G295" s="41" t="n"/>
      <c r="H295" s="41" t="n"/>
    </row>
    <row r="296" ht="15.75" customHeight="1" s="60">
      <c r="A296" s="41" t="n"/>
      <c r="B296" s="41" t="n"/>
      <c r="C296" s="41" t="n"/>
      <c r="D296" s="41" t="n"/>
      <c r="E296" s="41" t="n"/>
      <c r="F296" s="41" t="n"/>
      <c r="G296" s="41" t="n"/>
      <c r="H296" s="41" t="n"/>
    </row>
    <row r="297" ht="15.75" customHeight="1" s="60">
      <c r="A297" s="41" t="n"/>
      <c r="B297" s="41" t="n"/>
      <c r="C297" s="41" t="n"/>
      <c r="D297" s="41" t="n"/>
      <c r="E297" s="41" t="n"/>
      <c r="F297" s="41" t="n"/>
      <c r="G297" s="41" t="n"/>
      <c r="H297" s="41" t="n"/>
    </row>
    <row r="298" ht="15.75" customHeight="1" s="60">
      <c r="A298" s="41" t="n"/>
      <c r="B298" s="41" t="n"/>
      <c r="C298" s="41" t="n"/>
      <c r="D298" s="41" t="n"/>
      <c r="E298" s="41" t="n"/>
      <c r="F298" s="41" t="n"/>
      <c r="G298" s="41" t="n"/>
      <c r="H298" s="41" t="n"/>
    </row>
    <row r="299" ht="15.75" customHeight="1" s="60">
      <c r="A299" s="41" t="n"/>
      <c r="B299" s="41" t="n"/>
      <c r="C299" s="41" t="n"/>
      <c r="D299" s="41" t="n"/>
      <c r="E299" s="41" t="n"/>
      <c r="F299" s="41" t="n"/>
      <c r="G299" s="41" t="n"/>
      <c r="H299" s="41" t="n"/>
    </row>
    <row r="300" ht="15.75" customHeight="1" s="60">
      <c r="A300" s="41" t="n"/>
      <c r="B300" s="41" t="n"/>
      <c r="C300" s="41" t="n"/>
      <c r="D300" s="41" t="n"/>
      <c r="E300" s="41" t="n"/>
      <c r="F300" s="41" t="n"/>
      <c r="G300" s="41" t="n"/>
      <c r="H300" s="41" t="n"/>
    </row>
    <row r="301" ht="15.75" customHeight="1" s="60">
      <c r="A301" s="41" t="n"/>
      <c r="B301" s="41" t="n"/>
      <c r="C301" s="41" t="n"/>
      <c r="D301" s="41" t="n"/>
      <c r="E301" s="41" t="n"/>
      <c r="F301" s="41" t="n"/>
      <c r="G301" s="41" t="n"/>
      <c r="H301" s="41" t="n"/>
    </row>
    <row r="302" ht="15.75" customHeight="1" s="60">
      <c r="A302" s="41" t="n"/>
      <c r="B302" s="41" t="n"/>
      <c r="C302" s="41" t="n"/>
      <c r="D302" s="41" t="n"/>
      <c r="E302" s="41" t="n"/>
      <c r="F302" s="41" t="n"/>
      <c r="G302" s="41" t="n"/>
      <c r="H302" s="41" t="n"/>
    </row>
    <row r="303" ht="15.75" customHeight="1" s="60">
      <c r="A303" s="41" t="n"/>
      <c r="B303" s="41" t="n"/>
      <c r="C303" s="41" t="n"/>
      <c r="D303" s="41" t="n"/>
      <c r="E303" s="41" t="n"/>
      <c r="F303" s="41" t="n"/>
      <c r="G303" s="41" t="n"/>
      <c r="H303" s="41" t="n"/>
    </row>
    <row r="304" ht="15.75" customHeight="1" s="60">
      <c r="A304" s="41" t="n"/>
      <c r="B304" s="41" t="n"/>
      <c r="C304" s="41" t="n"/>
      <c r="D304" s="41" t="n"/>
      <c r="E304" s="41" t="n"/>
      <c r="F304" s="41" t="n"/>
      <c r="G304" s="41" t="n"/>
      <c r="H304" s="41" t="n"/>
    </row>
    <row r="305" ht="15.75" customHeight="1" s="60">
      <c r="A305" s="41" t="n"/>
      <c r="B305" s="41" t="n"/>
      <c r="C305" s="41" t="n"/>
      <c r="D305" s="41" t="n"/>
      <c r="E305" s="41" t="n"/>
      <c r="F305" s="41" t="n"/>
      <c r="G305" s="41" t="n"/>
      <c r="H305" s="41" t="n"/>
    </row>
    <row r="306" ht="15.75" customHeight="1" s="60">
      <c r="A306" s="41" t="n"/>
      <c r="B306" s="41" t="n"/>
      <c r="C306" s="41" t="n"/>
      <c r="D306" s="41" t="n"/>
      <c r="E306" s="41" t="n"/>
      <c r="F306" s="41" t="n"/>
      <c r="G306" s="41" t="n"/>
      <c r="H306" s="41" t="n"/>
    </row>
    <row r="307" ht="15.75" customHeight="1" s="60">
      <c r="A307" s="41" t="n"/>
      <c r="B307" s="41" t="n"/>
      <c r="C307" s="41" t="n"/>
      <c r="D307" s="41" t="n"/>
      <c r="E307" s="41" t="n"/>
      <c r="F307" s="41" t="n"/>
      <c r="G307" s="41" t="n"/>
      <c r="H307" s="41" t="n"/>
    </row>
    <row r="308" ht="15.75" customHeight="1" s="60">
      <c r="A308" s="41" t="n"/>
      <c r="B308" s="41" t="n"/>
      <c r="C308" s="41" t="n"/>
      <c r="D308" s="41" t="n"/>
      <c r="E308" s="41" t="n"/>
      <c r="F308" s="41" t="n"/>
      <c r="G308" s="41" t="n"/>
      <c r="H308" s="41" t="n"/>
    </row>
    <row r="309" ht="15.75" customHeight="1" s="60">
      <c r="A309" s="41" t="n"/>
      <c r="B309" s="41" t="n"/>
      <c r="C309" s="41" t="n"/>
      <c r="D309" s="41" t="n"/>
      <c r="E309" s="41" t="n"/>
      <c r="F309" s="41" t="n"/>
      <c r="G309" s="41" t="n"/>
      <c r="H309" s="41" t="n"/>
    </row>
    <row r="310" ht="15.75" customHeight="1" s="60">
      <c r="A310" s="41" t="n"/>
      <c r="B310" s="41" t="n"/>
      <c r="C310" s="41" t="n"/>
      <c r="D310" s="41" t="n"/>
      <c r="E310" s="41" t="n"/>
      <c r="F310" s="41" t="n"/>
      <c r="G310" s="41" t="n"/>
      <c r="H310" s="41" t="n"/>
    </row>
    <row r="311" ht="15.75" customHeight="1" s="60">
      <c r="A311" s="41" t="n"/>
      <c r="B311" s="41" t="n"/>
      <c r="C311" s="41" t="n"/>
      <c r="D311" s="41" t="n"/>
      <c r="E311" s="41" t="n"/>
      <c r="F311" s="41" t="n"/>
      <c r="G311" s="41" t="n"/>
      <c r="H311" s="41" t="n"/>
    </row>
    <row r="312" ht="15.75" customHeight="1" s="60">
      <c r="A312" s="41" t="n"/>
      <c r="B312" s="41" t="n"/>
      <c r="C312" s="41" t="n"/>
      <c r="D312" s="41" t="n"/>
      <c r="E312" s="41" t="n"/>
      <c r="F312" s="41" t="n"/>
      <c r="G312" s="41" t="n"/>
      <c r="H312" s="41" t="n"/>
    </row>
    <row r="313" ht="15.75" customHeight="1" s="60">
      <c r="A313" s="41" t="n"/>
      <c r="B313" s="41" t="n"/>
      <c r="C313" s="41" t="n"/>
      <c r="D313" s="41" t="n"/>
      <c r="E313" s="41" t="n"/>
      <c r="F313" s="41" t="n"/>
      <c r="G313" s="41" t="n"/>
      <c r="H313" s="41" t="n"/>
    </row>
    <row r="314" ht="15.75" customHeight="1" s="60">
      <c r="A314" s="41" t="n"/>
      <c r="B314" s="41" t="n"/>
      <c r="C314" s="41" t="n"/>
      <c r="D314" s="41" t="n"/>
      <c r="E314" s="41" t="n"/>
      <c r="F314" s="41" t="n"/>
      <c r="G314" s="41" t="n"/>
      <c r="H314" s="41" t="n"/>
    </row>
    <row r="315" ht="15.75" customHeight="1" s="60">
      <c r="A315" s="41" t="n"/>
      <c r="B315" s="41" t="n"/>
      <c r="C315" s="41" t="n"/>
      <c r="D315" s="41" t="n"/>
      <c r="E315" s="41" t="n"/>
      <c r="F315" s="41" t="n"/>
      <c r="G315" s="41" t="n"/>
      <c r="H315" s="41" t="n"/>
    </row>
    <row r="316" ht="15.75" customHeight="1" s="60">
      <c r="A316" s="41" t="n"/>
      <c r="B316" s="41" t="n"/>
      <c r="C316" s="41" t="n"/>
      <c r="D316" s="41" t="n"/>
      <c r="E316" s="41" t="n"/>
      <c r="F316" s="41" t="n"/>
      <c r="G316" s="41" t="n"/>
      <c r="H316" s="41" t="n"/>
    </row>
    <row r="317" ht="15.75" customHeight="1" s="60">
      <c r="A317" s="41" t="n"/>
      <c r="B317" s="41" t="n"/>
      <c r="C317" s="41" t="n"/>
      <c r="D317" s="41" t="n"/>
      <c r="E317" s="41" t="n"/>
      <c r="F317" s="41" t="n"/>
      <c r="G317" s="41" t="n"/>
      <c r="H317" s="41" t="n"/>
    </row>
    <row r="318" ht="15.75" customHeight="1" s="60">
      <c r="A318" s="41" t="n"/>
      <c r="B318" s="41" t="n"/>
      <c r="C318" s="41" t="n"/>
      <c r="D318" s="41" t="n"/>
      <c r="E318" s="41" t="n"/>
      <c r="F318" s="41" t="n"/>
      <c r="G318" s="41" t="n"/>
      <c r="H318" s="41" t="n"/>
    </row>
    <row r="319" ht="15.75" customHeight="1" s="60">
      <c r="A319" s="41" t="n"/>
      <c r="B319" s="41" t="n"/>
      <c r="C319" s="41" t="n"/>
      <c r="D319" s="41" t="n"/>
      <c r="E319" s="41" t="n"/>
      <c r="F319" s="41" t="n"/>
      <c r="G319" s="41" t="n"/>
      <c r="H319" s="41" t="n"/>
    </row>
    <row r="320" ht="15.75" customHeight="1" s="60">
      <c r="A320" s="41" t="n"/>
      <c r="B320" s="41" t="n"/>
      <c r="C320" s="41" t="n"/>
      <c r="D320" s="41" t="n"/>
      <c r="E320" s="41" t="n"/>
      <c r="F320" s="41" t="n"/>
      <c r="G320" s="41" t="n"/>
      <c r="H320" s="41" t="n"/>
    </row>
    <row r="321" ht="15.75" customHeight="1" s="60">
      <c r="A321" s="41" t="n"/>
      <c r="B321" s="41" t="n"/>
      <c r="C321" s="41" t="n"/>
      <c r="D321" s="41" t="n"/>
      <c r="E321" s="41" t="n"/>
      <c r="F321" s="41" t="n"/>
      <c r="G321" s="41" t="n"/>
      <c r="H321" s="41" t="n"/>
    </row>
    <row r="322" ht="15.75" customHeight="1" s="60">
      <c r="A322" s="41" t="n"/>
      <c r="B322" s="41" t="n"/>
      <c r="C322" s="41" t="n"/>
      <c r="D322" s="41" t="n"/>
      <c r="E322" s="41" t="n"/>
      <c r="F322" s="41" t="n"/>
      <c r="G322" s="41" t="n"/>
      <c r="H322" s="41" t="n"/>
    </row>
    <row r="323" ht="15.75" customHeight="1" s="60">
      <c r="A323" s="41" t="n"/>
      <c r="B323" s="41" t="n"/>
      <c r="C323" s="41" t="n"/>
      <c r="D323" s="41" t="n"/>
      <c r="E323" s="41" t="n"/>
      <c r="F323" s="41" t="n"/>
      <c r="G323" s="41" t="n"/>
      <c r="H323" s="41" t="n"/>
    </row>
    <row r="324" ht="15.75" customHeight="1" s="60">
      <c r="A324" s="41" t="n"/>
      <c r="B324" s="41" t="n"/>
      <c r="C324" s="41" t="n"/>
      <c r="D324" s="41" t="n"/>
      <c r="E324" s="41" t="n"/>
      <c r="F324" s="41" t="n"/>
      <c r="G324" s="41" t="n"/>
      <c r="H324" s="41" t="n"/>
    </row>
    <row r="325" ht="15.75" customHeight="1" s="60">
      <c r="A325" s="41" t="n"/>
      <c r="B325" s="41" t="n"/>
      <c r="C325" s="41" t="n"/>
      <c r="D325" s="41" t="n"/>
      <c r="E325" s="41" t="n"/>
      <c r="F325" s="41" t="n"/>
      <c r="G325" s="41" t="n"/>
      <c r="H325" s="41" t="n"/>
    </row>
    <row r="326" ht="15.75" customHeight="1" s="60">
      <c r="A326" s="41" t="n"/>
      <c r="B326" s="41" t="n"/>
      <c r="C326" s="41" t="n"/>
      <c r="D326" s="41" t="n"/>
      <c r="E326" s="41" t="n"/>
      <c r="F326" s="41" t="n"/>
      <c r="G326" s="41" t="n"/>
      <c r="H326" s="41" t="n"/>
    </row>
    <row r="327" ht="15.75" customHeight="1" s="60">
      <c r="A327" s="41" t="n"/>
      <c r="B327" s="41" t="n"/>
      <c r="C327" s="41" t="n"/>
      <c r="D327" s="41" t="n"/>
      <c r="E327" s="41" t="n"/>
      <c r="F327" s="41" t="n"/>
      <c r="G327" s="41" t="n"/>
      <c r="H327" s="41" t="n"/>
    </row>
    <row r="328" ht="15.75" customHeight="1" s="60">
      <c r="A328" s="41" t="n"/>
      <c r="B328" s="41" t="n"/>
      <c r="C328" s="41" t="n"/>
      <c r="D328" s="41" t="n"/>
      <c r="E328" s="41" t="n"/>
      <c r="F328" s="41" t="n"/>
      <c r="G328" s="41" t="n"/>
      <c r="H328" s="41" t="n"/>
    </row>
    <row r="329" ht="15.75" customHeight="1" s="60">
      <c r="A329" s="41" t="n"/>
      <c r="B329" s="41" t="n"/>
      <c r="C329" s="41" t="n"/>
      <c r="D329" s="41" t="n"/>
      <c r="E329" s="41" t="n"/>
      <c r="F329" s="41" t="n"/>
      <c r="G329" s="41" t="n"/>
      <c r="H329" s="41" t="n"/>
    </row>
    <row r="330" ht="15.75" customHeight="1" s="60">
      <c r="A330" s="41" t="n"/>
      <c r="B330" s="41" t="n"/>
      <c r="C330" s="41" t="n"/>
      <c r="D330" s="41" t="n"/>
      <c r="E330" s="41" t="n"/>
      <c r="F330" s="41" t="n"/>
      <c r="G330" s="41" t="n"/>
      <c r="H330" s="41" t="n"/>
    </row>
    <row r="331" ht="15.75" customHeight="1" s="60">
      <c r="A331" s="41" t="n"/>
      <c r="B331" s="41" t="n"/>
      <c r="C331" s="41" t="n"/>
      <c r="D331" s="41" t="n"/>
      <c r="E331" s="41" t="n"/>
      <c r="F331" s="41" t="n"/>
      <c r="G331" s="41" t="n"/>
      <c r="H331" s="41" t="n"/>
    </row>
    <row r="332" ht="15.75" customHeight="1" s="60">
      <c r="A332" s="41" t="n"/>
      <c r="B332" s="41" t="n"/>
      <c r="C332" s="41" t="n"/>
      <c r="D332" s="41" t="n"/>
      <c r="E332" s="41" t="n"/>
      <c r="F332" s="41" t="n"/>
      <c r="G332" s="41" t="n"/>
      <c r="H332" s="41" t="n"/>
    </row>
    <row r="333" ht="15.75" customHeight="1" s="60">
      <c r="A333" s="41" t="n"/>
      <c r="B333" s="41" t="n"/>
      <c r="C333" s="41" t="n"/>
      <c r="D333" s="41" t="n"/>
      <c r="E333" s="41" t="n"/>
      <c r="F333" s="41" t="n"/>
      <c r="G333" s="41" t="n"/>
      <c r="H333" s="41" t="n"/>
    </row>
    <row r="334" ht="15.75" customHeight="1" s="60">
      <c r="A334" s="41" t="n"/>
      <c r="B334" s="41" t="n"/>
      <c r="C334" s="41" t="n"/>
      <c r="D334" s="41" t="n"/>
      <c r="E334" s="41" t="n"/>
      <c r="F334" s="41" t="n"/>
      <c r="G334" s="41" t="n"/>
      <c r="H334" s="41" t="n"/>
    </row>
    <row r="335" ht="15.75" customHeight="1" s="60">
      <c r="A335" s="41" t="n"/>
      <c r="B335" s="41" t="n"/>
      <c r="C335" s="41" t="n"/>
      <c r="D335" s="41" t="n"/>
      <c r="E335" s="41" t="n"/>
      <c r="F335" s="41" t="n"/>
      <c r="G335" s="41" t="n"/>
      <c r="H335" s="41" t="n"/>
    </row>
    <row r="336" ht="15.75" customHeight="1" s="60">
      <c r="A336" s="41" t="n"/>
      <c r="B336" s="41" t="n"/>
      <c r="C336" s="41" t="n"/>
      <c r="D336" s="41" t="n"/>
      <c r="E336" s="41" t="n"/>
      <c r="F336" s="41" t="n"/>
      <c r="G336" s="41" t="n"/>
      <c r="H336" s="41" t="n"/>
    </row>
    <row r="337" ht="15.75" customHeight="1" s="60">
      <c r="A337" s="41" t="n"/>
      <c r="B337" s="41" t="n"/>
      <c r="C337" s="41" t="n"/>
      <c r="D337" s="41" t="n"/>
      <c r="E337" s="41" t="n"/>
      <c r="F337" s="41" t="n"/>
      <c r="G337" s="41" t="n"/>
      <c r="H337" s="41" t="n"/>
    </row>
    <row r="338" ht="15.75" customHeight="1" s="60">
      <c r="A338" s="41" t="n"/>
      <c r="B338" s="41" t="n"/>
      <c r="C338" s="41" t="n"/>
      <c r="D338" s="41" t="n"/>
      <c r="E338" s="41" t="n"/>
      <c r="F338" s="41" t="n"/>
      <c r="G338" s="41" t="n"/>
      <c r="H338" s="41" t="n"/>
    </row>
    <row r="339" ht="15.75" customHeight="1" s="60">
      <c r="A339" s="41" t="n"/>
      <c r="B339" s="41" t="n"/>
      <c r="C339" s="41" t="n"/>
      <c r="D339" s="41" t="n"/>
      <c r="E339" s="41" t="n"/>
      <c r="F339" s="41" t="n"/>
      <c r="G339" s="41" t="n"/>
      <c r="H339" s="41" t="n"/>
    </row>
    <row r="340" ht="15.75" customHeight="1" s="60">
      <c r="A340" s="41" t="n"/>
      <c r="B340" s="41" t="n"/>
      <c r="C340" s="41" t="n"/>
      <c r="D340" s="41" t="n"/>
      <c r="E340" s="41" t="n"/>
      <c r="F340" s="41" t="n"/>
      <c r="G340" s="41" t="n"/>
      <c r="H340" s="41" t="n"/>
    </row>
    <row r="341" ht="15.75" customHeight="1" s="60">
      <c r="A341" s="41" t="n"/>
      <c r="B341" s="41" t="n"/>
      <c r="C341" s="41" t="n"/>
      <c r="D341" s="41" t="n"/>
      <c r="E341" s="41" t="n"/>
      <c r="F341" s="41" t="n"/>
      <c r="G341" s="41" t="n"/>
      <c r="H341" s="41" t="n"/>
    </row>
    <row r="342" ht="15.75" customHeight="1" s="60">
      <c r="A342" s="41" t="n"/>
      <c r="B342" s="41" t="n"/>
      <c r="C342" s="41" t="n"/>
      <c r="D342" s="41" t="n"/>
      <c r="E342" s="41" t="n"/>
      <c r="F342" s="41" t="n"/>
      <c r="G342" s="41" t="n"/>
      <c r="H342" s="41" t="n"/>
    </row>
    <row r="343" ht="15.75" customHeight="1" s="60">
      <c r="A343" s="41" t="n"/>
      <c r="B343" s="41" t="n"/>
      <c r="C343" s="41" t="n"/>
      <c r="D343" s="41" t="n"/>
      <c r="E343" s="41" t="n"/>
      <c r="F343" s="41" t="n"/>
      <c r="G343" s="41" t="n"/>
      <c r="H343" s="41" t="n"/>
    </row>
    <row r="344" ht="15.75" customHeight="1" s="60">
      <c r="A344" s="41" t="n"/>
      <c r="B344" s="41" t="n"/>
      <c r="C344" s="41" t="n"/>
      <c r="D344" s="41" t="n"/>
      <c r="E344" s="41" t="n"/>
      <c r="F344" s="41" t="n"/>
      <c r="G344" s="41" t="n"/>
      <c r="H344" s="41" t="n"/>
    </row>
    <row r="345" ht="15.75" customHeight="1" s="60">
      <c r="A345" s="41" t="n"/>
      <c r="B345" s="41" t="n"/>
      <c r="C345" s="41" t="n"/>
      <c r="D345" s="41" t="n"/>
      <c r="E345" s="41" t="n"/>
      <c r="F345" s="41" t="n"/>
      <c r="G345" s="41" t="n"/>
      <c r="H345" s="41" t="n"/>
    </row>
    <row r="346" ht="15.75" customHeight="1" s="60">
      <c r="A346" s="41" t="n"/>
      <c r="B346" s="41" t="n"/>
      <c r="C346" s="41" t="n"/>
      <c r="D346" s="41" t="n"/>
      <c r="E346" s="41" t="n"/>
      <c r="F346" s="41" t="n"/>
      <c r="G346" s="41" t="n"/>
      <c r="H346" s="41" t="n"/>
    </row>
    <row r="347" ht="15.75" customHeight="1" s="60">
      <c r="A347" s="41" t="n"/>
      <c r="B347" s="41" t="n"/>
      <c r="C347" s="41" t="n"/>
      <c r="D347" s="41" t="n"/>
      <c r="E347" s="41" t="n"/>
      <c r="F347" s="41" t="n"/>
      <c r="G347" s="41" t="n"/>
      <c r="H347" s="41" t="n"/>
    </row>
    <row r="348" ht="15.75" customHeight="1" s="60">
      <c r="A348" s="41" t="n"/>
      <c r="B348" s="41" t="n"/>
      <c r="C348" s="41" t="n"/>
      <c r="D348" s="41" t="n"/>
      <c r="E348" s="41" t="n"/>
      <c r="F348" s="41" t="n"/>
      <c r="G348" s="41" t="n"/>
      <c r="H348" s="41" t="n"/>
    </row>
    <row r="349" ht="15.75" customHeight="1" s="60">
      <c r="A349" s="41" t="n"/>
      <c r="B349" s="41" t="n"/>
      <c r="C349" s="41" t="n"/>
      <c r="D349" s="41" t="n"/>
      <c r="E349" s="41" t="n"/>
      <c r="F349" s="41" t="n"/>
      <c r="G349" s="41" t="n"/>
      <c r="H349" s="41" t="n"/>
    </row>
    <row r="350" ht="15.75" customHeight="1" s="60">
      <c r="A350" s="41" t="n"/>
      <c r="B350" s="41" t="n"/>
      <c r="C350" s="41" t="n"/>
      <c r="D350" s="41" t="n"/>
      <c r="E350" s="41" t="n"/>
      <c r="F350" s="41" t="n"/>
      <c r="G350" s="41" t="n"/>
      <c r="H350" s="41" t="n"/>
    </row>
    <row r="351" ht="15.75" customHeight="1" s="60">
      <c r="A351" s="41" t="n"/>
      <c r="B351" s="41" t="n"/>
      <c r="C351" s="41" t="n"/>
      <c r="D351" s="41" t="n"/>
      <c r="E351" s="41" t="n"/>
      <c r="F351" s="41" t="n"/>
      <c r="G351" s="41" t="n"/>
      <c r="H351" s="41" t="n"/>
    </row>
    <row r="352" ht="15.75" customHeight="1" s="60">
      <c r="A352" s="41" t="n"/>
      <c r="B352" s="41" t="n"/>
      <c r="C352" s="41" t="n"/>
      <c r="D352" s="41" t="n"/>
      <c r="E352" s="41" t="n"/>
      <c r="F352" s="41" t="n"/>
      <c r="G352" s="41" t="n"/>
      <c r="H352" s="41" t="n"/>
    </row>
    <row r="353" ht="15.75" customHeight="1" s="60">
      <c r="A353" s="41" t="n"/>
      <c r="B353" s="41" t="n"/>
      <c r="C353" s="41" t="n"/>
      <c r="D353" s="41" t="n"/>
      <c r="E353" s="41" t="n"/>
      <c r="F353" s="41" t="n"/>
      <c r="G353" s="41" t="n"/>
      <c r="H353" s="41" t="n"/>
    </row>
    <row r="354" ht="15.75" customHeight="1" s="60">
      <c r="A354" s="41" t="n"/>
      <c r="B354" s="41" t="n"/>
      <c r="C354" s="41" t="n"/>
      <c r="D354" s="41" t="n"/>
      <c r="E354" s="41" t="n"/>
      <c r="F354" s="41" t="n"/>
      <c r="G354" s="41" t="n"/>
      <c r="H354" s="41" t="n"/>
    </row>
    <row r="355" ht="15.75" customHeight="1" s="60">
      <c r="A355" s="41" t="n"/>
      <c r="B355" s="41" t="n"/>
      <c r="C355" s="41" t="n"/>
      <c r="D355" s="41" t="n"/>
      <c r="E355" s="41" t="n"/>
      <c r="F355" s="41" t="n"/>
      <c r="G355" s="41" t="n"/>
      <c r="H355" s="41" t="n"/>
    </row>
    <row r="356" ht="15.75" customHeight="1" s="60">
      <c r="A356" s="41" t="n"/>
      <c r="B356" s="41" t="n"/>
      <c r="C356" s="41" t="n"/>
      <c r="D356" s="41" t="n"/>
      <c r="E356" s="41" t="n"/>
      <c r="F356" s="41" t="n"/>
      <c r="G356" s="41" t="n"/>
      <c r="H356" s="41" t="n"/>
    </row>
    <row r="357" ht="15.75" customHeight="1" s="60">
      <c r="A357" s="41" t="n"/>
      <c r="B357" s="41" t="n"/>
      <c r="C357" s="41" t="n"/>
      <c r="D357" s="41" t="n"/>
      <c r="E357" s="41" t="n"/>
      <c r="F357" s="41" t="n"/>
      <c r="G357" s="41" t="n"/>
      <c r="H357" s="41" t="n"/>
    </row>
    <row r="358" ht="15.75" customHeight="1" s="60">
      <c r="A358" s="41" t="n"/>
      <c r="B358" s="41" t="n"/>
      <c r="C358" s="41" t="n"/>
      <c r="D358" s="41" t="n"/>
      <c r="E358" s="41" t="n"/>
      <c r="F358" s="41" t="n"/>
      <c r="G358" s="41" t="n"/>
      <c r="H358" s="41" t="n"/>
    </row>
    <row r="359" ht="15.75" customHeight="1" s="60">
      <c r="A359" s="41" t="n"/>
      <c r="B359" s="41" t="n"/>
      <c r="C359" s="41" t="n"/>
      <c r="D359" s="41" t="n"/>
      <c r="E359" s="41" t="n"/>
      <c r="F359" s="41" t="n"/>
      <c r="G359" s="41" t="n"/>
      <c r="H359" s="41" t="n"/>
    </row>
    <row r="360" ht="15.75" customHeight="1" s="60">
      <c r="A360" s="41" t="n"/>
      <c r="B360" s="41" t="n"/>
      <c r="C360" s="41" t="n"/>
      <c r="D360" s="41" t="n"/>
      <c r="E360" s="41" t="n"/>
      <c r="F360" s="41" t="n"/>
      <c r="G360" s="41" t="n"/>
      <c r="H360" s="41" t="n"/>
    </row>
    <row r="361" ht="15.75" customHeight="1" s="60">
      <c r="A361" s="41" t="n"/>
      <c r="B361" s="41" t="n"/>
      <c r="C361" s="41" t="n"/>
      <c r="D361" s="41" t="n"/>
      <c r="E361" s="41" t="n"/>
      <c r="F361" s="41" t="n"/>
      <c r="G361" s="41" t="n"/>
      <c r="H361" s="41" t="n"/>
    </row>
    <row r="362" ht="15.75" customHeight="1" s="60">
      <c r="A362" s="41" t="n"/>
      <c r="B362" s="41" t="n"/>
      <c r="C362" s="41" t="n"/>
      <c r="D362" s="41" t="n"/>
      <c r="E362" s="41" t="n"/>
      <c r="F362" s="41" t="n"/>
      <c r="G362" s="41" t="n"/>
      <c r="H362" s="41" t="n"/>
    </row>
    <row r="363" ht="15.75" customHeight="1" s="60">
      <c r="A363" s="41" t="n"/>
      <c r="B363" s="41" t="n"/>
      <c r="C363" s="41" t="n"/>
      <c r="D363" s="41" t="n"/>
      <c r="E363" s="41" t="n"/>
      <c r="F363" s="41" t="n"/>
      <c r="G363" s="41" t="n"/>
      <c r="H363" s="41" t="n"/>
    </row>
    <row r="364" ht="15.75" customHeight="1" s="60">
      <c r="A364" s="41" t="n"/>
      <c r="B364" s="41" t="n"/>
      <c r="C364" s="41" t="n"/>
      <c r="D364" s="41" t="n"/>
      <c r="E364" s="41" t="n"/>
      <c r="F364" s="41" t="n"/>
      <c r="G364" s="41" t="n"/>
      <c r="H364" s="41" t="n"/>
    </row>
    <row r="365" ht="15.75" customHeight="1" s="60">
      <c r="A365" s="41" t="n"/>
      <c r="B365" s="41" t="n"/>
      <c r="C365" s="41" t="n"/>
      <c r="D365" s="41" t="n"/>
      <c r="E365" s="41" t="n"/>
      <c r="F365" s="41" t="n"/>
      <c r="G365" s="41" t="n"/>
      <c r="H365" s="41" t="n"/>
    </row>
    <row r="366" ht="15.75" customHeight="1" s="60">
      <c r="A366" s="41" t="n"/>
      <c r="B366" s="41" t="n"/>
      <c r="C366" s="41" t="n"/>
      <c r="D366" s="41" t="n"/>
      <c r="E366" s="41" t="n"/>
      <c r="F366" s="41" t="n"/>
      <c r="G366" s="41" t="n"/>
      <c r="H366" s="41" t="n"/>
    </row>
    <row r="367" ht="15.75" customHeight="1" s="60">
      <c r="A367" s="41" t="n"/>
      <c r="B367" s="41" t="n"/>
      <c r="C367" s="41" t="n"/>
      <c r="D367" s="41" t="n"/>
      <c r="E367" s="41" t="n"/>
      <c r="F367" s="41" t="n"/>
      <c r="G367" s="41" t="n"/>
      <c r="H367" s="41" t="n"/>
    </row>
    <row r="368" ht="15.75" customHeight="1" s="60">
      <c r="A368" s="41" t="n"/>
      <c r="B368" s="41" t="n"/>
      <c r="C368" s="41" t="n"/>
      <c r="D368" s="41" t="n"/>
      <c r="E368" s="41" t="n"/>
      <c r="F368" s="41" t="n"/>
      <c r="G368" s="41" t="n"/>
      <c r="H368" s="41" t="n"/>
    </row>
    <row r="369" ht="15.75" customHeight="1" s="60">
      <c r="A369" s="41" t="n"/>
      <c r="B369" s="41" t="n"/>
      <c r="C369" s="41" t="n"/>
      <c r="D369" s="41" t="n"/>
      <c r="E369" s="41" t="n"/>
      <c r="F369" s="41" t="n"/>
      <c r="G369" s="41" t="n"/>
      <c r="H369" s="41" t="n"/>
    </row>
    <row r="370" ht="15.75" customHeight="1" s="60">
      <c r="A370" s="41" t="n"/>
      <c r="B370" s="41" t="n"/>
      <c r="C370" s="41" t="n"/>
      <c r="D370" s="41" t="n"/>
      <c r="E370" s="41" t="n"/>
      <c r="F370" s="41" t="n"/>
      <c r="G370" s="41" t="n"/>
      <c r="H370" s="41" t="n"/>
    </row>
    <row r="371" ht="15.75" customHeight="1" s="60">
      <c r="A371" s="41" t="n"/>
      <c r="B371" s="41" t="n"/>
      <c r="C371" s="41" t="n"/>
      <c r="D371" s="41" t="n"/>
      <c r="E371" s="41" t="n"/>
      <c r="F371" s="41" t="n"/>
      <c r="G371" s="41" t="n"/>
      <c r="H371" s="41" t="n"/>
    </row>
    <row r="372" ht="15.75" customHeight="1" s="60">
      <c r="A372" s="41" t="n"/>
      <c r="B372" s="41" t="n"/>
      <c r="C372" s="41" t="n"/>
      <c r="D372" s="41" t="n"/>
      <c r="E372" s="41" t="n"/>
      <c r="F372" s="41" t="n"/>
      <c r="G372" s="41" t="n"/>
      <c r="H372" s="41" t="n"/>
    </row>
    <row r="373" ht="15.75" customHeight="1" s="60">
      <c r="A373" s="41" t="n"/>
      <c r="B373" s="41" t="n"/>
      <c r="C373" s="41" t="n"/>
      <c r="D373" s="41" t="n"/>
      <c r="E373" s="41" t="n"/>
      <c r="F373" s="41" t="n"/>
      <c r="G373" s="41" t="n"/>
      <c r="H373" s="41" t="n"/>
    </row>
    <row r="374" ht="15.75" customHeight="1" s="60">
      <c r="A374" s="41" t="n"/>
      <c r="B374" s="41" t="n"/>
      <c r="C374" s="41" t="n"/>
      <c r="D374" s="41" t="n"/>
      <c r="E374" s="41" t="n"/>
      <c r="F374" s="41" t="n"/>
      <c r="G374" s="41" t="n"/>
      <c r="H374" s="41" t="n"/>
    </row>
    <row r="375" ht="15.75" customHeight="1" s="60">
      <c r="A375" s="41" t="n"/>
      <c r="B375" s="41" t="n"/>
      <c r="C375" s="41" t="n"/>
      <c r="D375" s="41" t="n"/>
      <c r="E375" s="41" t="n"/>
      <c r="F375" s="41" t="n"/>
      <c r="G375" s="41" t="n"/>
      <c r="H375" s="41" t="n"/>
    </row>
    <row r="376" ht="15.75" customHeight="1" s="60">
      <c r="A376" s="41" t="n"/>
      <c r="B376" s="41" t="n"/>
      <c r="C376" s="41" t="n"/>
      <c r="D376" s="41" t="n"/>
      <c r="E376" s="41" t="n"/>
      <c r="F376" s="41" t="n"/>
      <c r="G376" s="41" t="n"/>
      <c r="H376" s="41" t="n"/>
    </row>
    <row r="377" ht="15.75" customHeight="1" s="60">
      <c r="A377" s="41" t="n"/>
      <c r="B377" s="41" t="n"/>
      <c r="C377" s="41" t="n"/>
      <c r="D377" s="41" t="n"/>
      <c r="E377" s="41" t="n"/>
      <c r="F377" s="41" t="n"/>
      <c r="G377" s="41" t="n"/>
      <c r="H377" s="41" t="n"/>
    </row>
    <row r="378" ht="15.75" customHeight="1" s="60">
      <c r="A378" s="41" t="n"/>
      <c r="B378" s="41" t="n"/>
      <c r="C378" s="41" t="n"/>
      <c r="D378" s="41" t="n"/>
      <c r="E378" s="41" t="n"/>
      <c r="F378" s="41" t="n"/>
      <c r="G378" s="41" t="n"/>
      <c r="H378" s="41" t="n"/>
    </row>
    <row r="379" ht="15.75" customHeight="1" s="60">
      <c r="A379" s="41" t="n"/>
      <c r="B379" s="41" t="n"/>
      <c r="C379" s="41" t="n"/>
      <c r="D379" s="41" t="n"/>
      <c r="E379" s="41" t="n"/>
      <c r="F379" s="41" t="n"/>
      <c r="G379" s="41" t="n"/>
      <c r="H379" s="41" t="n"/>
    </row>
    <row r="380" ht="15.75" customHeight="1" s="60">
      <c r="A380" s="41" t="n"/>
      <c r="B380" s="41" t="n"/>
      <c r="C380" s="41" t="n"/>
      <c r="D380" s="41" t="n"/>
      <c r="E380" s="41" t="n"/>
      <c r="F380" s="41" t="n"/>
      <c r="G380" s="41" t="n"/>
      <c r="H380" s="41" t="n"/>
    </row>
    <row r="381" ht="15.75" customHeight="1" s="60">
      <c r="A381" s="41" t="n"/>
      <c r="B381" s="41" t="n"/>
      <c r="C381" s="41" t="n"/>
      <c r="D381" s="41" t="n"/>
      <c r="E381" s="41" t="n"/>
      <c r="F381" s="41" t="n"/>
      <c r="G381" s="41" t="n"/>
      <c r="H381" s="41" t="n"/>
    </row>
    <row r="382" ht="15.75" customHeight="1" s="60">
      <c r="A382" s="41" t="n"/>
      <c r="B382" s="41" t="n"/>
      <c r="C382" s="41" t="n"/>
      <c r="D382" s="41" t="n"/>
      <c r="E382" s="41" t="n"/>
      <c r="F382" s="41" t="n"/>
      <c r="G382" s="41" t="n"/>
      <c r="H382" s="41" t="n"/>
    </row>
    <row r="383" ht="15.75" customHeight="1" s="60">
      <c r="A383" s="41" t="n"/>
      <c r="B383" s="41" t="n"/>
      <c r="C383" s="41" t="n"/>
      <c r="D383" s="41" t="n"/>
      <c r="E383" s="41" t="n"/>
      <c r="F383" s="41" t="n"/>
      <c r="G383" s="41" t="n"/>
      <c r="H383" s="41" t="n"/>
    </row>
    <row r="384" ht="15.75" customHeight="1" s="60">
      <c r="A384" s="41" t="n"/>
      <c r="B384" s="41" t="n"/>
      <c r="C384" s="41" t="n"/>
      <c r="D384" s="41" t="n"/>
      <c r="E384" s="41" t="n"/>
      <c r="F384" s="41" t="n"/>
      <c r="G384" s="41" t="n"/>
      <c r="H384" s="41" t="n"/>
    </row>
    <row r="385" ht="15.75" customHeight="1" s="60">
      <c r="A385" s="41" t="n"/>
      <c r="B385" s="41" t="n"/>
      <c r="C385" s="41" t="n"/>
      <c r="D385" s="41" t="n"/>
      <c r="E385" s="41" t="n"/>
      <c r="F385" s="41" t="n"/>
      <c r="G385" s="41" t="n"/>
      <c r="H385" s="41" t="n"/>
    </row>
    <row r="386" ht="15.75" customHeight="1" s="60">
      <c r="A386" s="41" t="n"/>
      <c r="B386" s="41" t="n"/>
      <c r="C386" s="41" t="n"/>
      <c r="D386" s="41" t="n"/>
      <c r="E386" s="41" t="n"/>
      <c r="F386" s="41" t="n"/>
      <c r="G386" s="41" t="n"/>
      <c r="H386" s="41" t="n"/>
    </row>
    <row r="387" ht="15.75" customHeight="1" s="60">
      <c r="A387" s="41" t="n"/>
      <c r="B387" s="41" t="n"/>
      <c r="C387" s="41" t="n"/>
      <c r="D387" s="41" t="n"/>
      <c r="E387" s="41" t="n"/>
      <c r="F387" s="41" t="n"/>
      <c r="G387" s="41" t="n"/>
      <c r="H387" s="41" t="n"/>
    </row>
    <row r="388" ht="15.75" customHeight="1" s="60">
      <c r="A388" s="41" t="n"/>
      <c r="B388" s="41" t="n"/>
      <c r="C388" s="41" t="n"/>
      <c r="D388" s="41" t="n"/>
      <c r="E388" s="41" t="n"/>
      <c r="F388" s="41" t="n"/>
      <c r="G388" s="41" t="n"/>
      <c r="H388" s="41" t="n"/>
    </row>
    <row r="389" ht="15.75" customHeight="1" s="60">
      <c r="A389" s="41" t="n"/>
      <c r="B389" s="41" t="n"/>
      <c r="C389" s="41" t="n"/>
      <c r="D389" s="41" t="n"/>
      <c r="E389" s="41" t="n"/>
      <c r="F389" s="41" t="n"/>
      <c r="G389" s="41" t="n"/>
      <c r="H389" s="41" t="n"/>
    </row>
    <row r="390" ht="15.75" customHeight="1" s="60">
      <c r="A390" s="41" t="n"/>
      <c r="B390" s="41" t="n"/>
      <c r="C390" s="41" t="n"/>
      <c r="D390" s="41" t="n"/>
      <c r="E390" s="41" t="n"/>
      <c r="F390" s="41" t="n"/>
      <c r="G390" s="41" t="n"/>
      <c r="H390" s="41" t="n"/>
    </row>
    <row r="391" ht="15.75" customHeight="1" s="60">
      <c r="A391" s="41" t="n"/>
      <c r="B391" s="41" t="n"/>
      <c r="C391" s="41" t="n"/>
      <c r="D391" s="41" t="n"/>
      <c r="E391" s="41" t="n"/>
      <c r="F391" s="41" t="n"/>
      <c r="G391" s="41" t="n"/>
      <c r="H391" s="41" t="n"/>
    </row>
    <row r="392" ht="15.75" customHeight="1" s="60">
      <c r="A392" s="41" t="n"/>
      <c r="B392" s="41" t="n"/>
      <c r="C392" s="41" t="n"/>
      <c r="D392" s="41" t="n"/>
      <c r="E392" s="41" t="n"/>
      <c r="F392" s="41" t="n"/>
      <c r="G392" s="41" t="n"/>
      <c r="H392" s="41" t="n"/>
    </row>
    <row r="393" ht="15.75" customHeight="1" s="60">
      <c r="A393" s="41" t="n"/>
      <c r="B393" s="41" t="n"/>
      <c r="C393" s="41" t="n"/>
      <c r="D393" s="41" t="n"/>
      <c r="E393" s="41" t="n"/>
      <c r="F393" s="41" t="n"/>
      <c r="G393" s="41" t="n"/>
      <c r="H393" s="41" t="n"/>
    </row>
    <row r="394" ht="15.75" customHeight="1" s="60">
      <c r="A394" s="41" t="n"/>
      <c r="B394" s="41" t="n"/>
      <c r="C394" s="41" t="n"/>
      <c r="D394" s="41" t="n"/>
      <c r="E394" s="41" t="n"/>
      <c r="F394" s="41" t="n"/>
      <c r="G394" s="41" t="n"/>
      <c r="H394" s="41" t="n"/>
    </row>
    <row r="395" ht="15.75" customHeight="1" s="60">
      <c r="A395" s="41" t="n"/>
      <c r="B395" s="41" t="n"/>
      <c r="C395" s="41" t="n"/>
      <c r="D395" s="41" t="n"/>
      <c r="E395" s="41" t="n"/>
      <c r="F395" s="41" t="n"/>
      <c r="G395" s="41" t="n"/>
      <c r="H395" s="41" t="n"/>
    </row>
    <row r="396" ht="15.75" customHeight="1" s="60">
      <c r="A396" s="41" t="n"/>
      <c r="B396" s="41" t="n"/>
      <c r="C396" s="41" t="n"/>
      <c r="D396" s="41" t="n"/>
      <c r="E396" s="41" t="n"/>
      <c r="F396" s="41" t="n"/>
      <c r="G396" s="41" t="n"/>
      <c r="H396" s="41" t="n"/>
    </row>
    <row r="397" ht="15.75" customHeight="1" s="60">
      <c r="A397" s="41" t="n"/>
      <c r="B397" s="41" t="n"/>
      <c r="C397" s="41" t="n"/>
      <c r="D397" s="41" t="n"/>
      <c r="E397" s="41" t="n"/>
      <c r="F397" s="41" t="n"/>
      <c r="G397" s="41" t="n"/>
      <c r="H397" s="41" t="n"/>
    </row>
    <row r="398" ht="15.75" customHeight="1" s="60">
      <c r="A398" s="41" t="n"/>
      <c r="B398" s="41" t="n"/>
      <c r="C398" s="41" t="n"/>
      <c r="D398" s="41" t="n"/>
      <c r="E398" s="41" t="n"/>
      <c r="F398" s="41" t="n"/>
      <c r="G398" s="41" t="n"/>
      <c r="H398" s="41" t="n"/>
    </row>
    <row r="399" ht="15.75" customHeight="1" s="60">
      <c r="A399" s="41" t="n"/>
      <c r="B399" s="41" t="n"/>
      <c r="C399" s="41" t="n"/>
      <c r="D399" s="41" t="n"/>
      <c r="E399" s="41" t="n"/>
      <c r="F399" s="41" t="n"/>
      <c r="G399" s="41" t="n"/>
      <c r="H399" s="41" t="n"/>
    </row>
    <row r="400" ht="15.75" customHeight="1" s="60">
      <c r="A400" s="41" t="n"/>
      <c r="B400" s="41" t="n"/>
      <c r="C400" s="41" t="n"/>
      <c r="D400" s="41" t="n"/>
      <c r="E400" s="41" t="n"/>
      <c r="F400" s="41" t="n"/>
      <c r="G400" s="41" t="n"/>
      <c r="H400" s="41" t="n"/>
    </row>
    <row r="401" ht="15.75" customHeight="1" s="60">
      <c r="A401" s="41" t="n"/>
      <c r="B401" s="41" t="n"/>
      <c r="C401" s="41" t="n"/>
      <c r="D401" s="41" t="n"/>
      <c r="E401" s="41" t="n"/>
      <c r="F401" s="41" t="n"/>
      <c r="G401" s="41" t="n"/>
      <c r="H401" s="41" t="n"/>
    </row>
    <row r="402" ht="15.75" customHeight="1" s="60">
      <c r="A402" s="41" t="n"/>
      <c r="B402" s="41" t="n"/>
      <c r="C402" s="41" t="n"/>
      <c r="D402" s="41" t="n"/>
      <c r="E402" s="41" t="n"/>
      <c r="F402" s="41" t="n"/>
      <c r="G402" s="41" t="n"/>
      <c r="H402" s="41" t="n"/>
    </row>
    <row r="403" ht="15.75" customHeight="1" s="60">
      <c r="A403" s="41" t="n"/>
      <c r="B403" s="41" t="n"/>
      <c r="C403" s="41" t="n"/>
      <c r="D403" s="41" t="n"/>
      <c r="E403" s="41" t="n"/>
      <c r="F403" s="41" t="n"/>
      <c r="G403" s="41" t="n"/>
      <c r="H403" s="41" t="n"/>
    </row>
    <row r="404" ht="15.75" customHeight="1" s="60">
      <c r="A404" s="41" t="n"/>
      <c r="B404" s="41" t="n"/>
      <c r="C404" s="41" t="n"/>
      <c r="D404" s="41" t="n"/>
      <c r="E404" s="41" t="n"/>
      <c r="F404" s="41" t="n"/>
      <c r="G404" s="41" t="n"/>
      <c r="H404" s="41" t="n"/>
    </row>
    <row r="405" ht="15.75" customHeight="1" s="60">
      <c r="A405" s="41" t="n"/>
      <c r="B405" s="41" t="n"/>
      <c r="C405" s="41" t="n"/>
      <c r="D405" s="41" t="n"/>
      <c r="E405" s="41" t="n"/>
      <c r="F405" s="41" t="n"/>
      <c r="G405" s="41" t="n"/>
      <c r="H405" s="41" t="n"/>
    </row>
    <row r="406" ht="15.75" customHeight="1" s="60">
      <c r="A406" s="41" t="n"/>
      <c r="B406" s="41" t="n"/>
      <c r="C406" s="41" t="n"/>
      <c r="D406" s="41" t="n"/>
      <c r="E406" s="41" t="n"/>
      <c r="F406" s="41" t="n"/>
      <c r="G406" s="41" t="n"/>
      <c r="H406" s="41" t="n"/>
    </row>
    <row r="407" ht="15.75" customHeight="1" s="60">
      <c r="A407" s="41" t="n"/>
      <c r="B407" s="41" t="n"/>
      <c r="C407" s="41" t="n"/>
      <c r="D407" s="41" t="n"/>
      <c r="E407" s="41" t="n"/>
      <c r="F407" s="41" t="n"/>
      <c r="G407" s="41" t="n"/>
      <c r="H407" s="41" t="n"/>
    </row>
    <row r="408" ht="15.75" customHeight="1" s="60">
      <c r="A408" s="41" t="n"/>
      <c r="B408" s="41" t="n"/>
      <c r="C408" s="41" t="n"/>
      <c r="D408" s="41" t="n"/>
      <c r="E408" s="41" t="n"/>
      <c r="F408" s="41" t="n"/>
      <c r="G408" s="41" t="n"/>
      <c r="H408" s="41" t="n"/>
    </row>
    <row r="409" ht="15.75" customHeight="1" s="60">
      <c r="A409" s="41" t="n"/>
      <c r="B409" s="41" t="n"/>
      <c r="C409" s="41" t="n"/>
      <c r="D409" s="41" t="n"/>
      <c r="E409" s="41" t="n"/>
      <c r="F409" s="41" t="n"/>
      <c r="G409" s="41" t="n"/>
      <c r="H409" s="41" t="n"/>
    </row>
    <row r="410" ht="15.75" customHeight="1" s="60">
      <c r="A410" s="41" t="n"/>
      <c r="B410" s="41" t="n"/>
      <c r="C410" s="41" t="n"/>
      <c r="D410" s="41" t="n"/>
      <c r="E410" s="41" t="n"/>
      <c r="F410" s="41" t="n"/>
      <c r="G410" s="41" t="n"/>
      <c r="H410" s="41" t="n"/>
    </row>
    <row r="411" ht="15.75" customHeight="1" s="60">
      <c r="A411" s="41" t="n"/>
      <c r="B411" s="41" t="n"/>
      <c r="C411" s="41" t="n"/>
      <c r="D411" s="41" t="n"/>
      <c r="E411" s="41" t="n"/>
      <c r="F411" s="41" t="n"/>
      <c r="G411" s="41" t="n"/>
      <c r="H411" s="41" t="n"/>
    </row>
    <row r="412" ht="15.75" customHeight="1" s="60">
      <c r="A412" s="41" t="n"/>
      <c r="B412" s="41" t="n"/>
      <c r="C412" s="41" t="n"/>
      <c r="D412" s="41" t="n"/>
      <c r="E412" s="41" t="n"/>
      <c r="F412" s="41" t="n"/>
      <c r="G412" s="41" t="n"/>
      <c r="H412" s="41" t="n"/>
    </row>
    <row r="413" ht="15.75" customHeight="1" s="60">
      <c r="A413" s="41" t="n"/>
      <c r="B413" s="41" t="n"/>
      <c r="C413" s="41" t="n"/>
      <c r="D413" s="41" t="n"/>
      <c r="E413" s="41" t="n"/>
      <c r="F413" s="41" t="n"/>
      <c r="G413" s="41" t="n"/>
      <c r="H413" s="41" t="n"/>
    </row>
    <row r="414" ht="15.75" customHeight="1" s="60">
      <c r="A414" s="41" t="n"/>
      <c r="B414" s="41" t="n"/>
      <c r="C414" s="41" t="n"/>
      <c r="D414" s="41" t="n"/>
      <c r="E414" s="41" t="n"/>
      <c r="F414" s="41" t="n"/>
      <c r="G414" s="41" t="n"/>
      <c r="H414" s="41" t="n"/>
    </row>
    <row r="415" ht="15.75" customHeight="1" s="60">
      <c r="A415" s="41" t="n"/>
      <c r="B415" s="41" t="n"/>
      <c r="C415" s="41" t="n"/>
      <c r="D415" s="41" t="n"/>
      <c r="E415" s="41" t="n"/>
      <c r="F415" s="41" t="n"/>
      <c r="G415" s="41" t="n"/>
      <c r="H415" s="41" t="n"/>
    </row>
    <row r="416" ht="15.75" customHeight="1" s="60">
      <c r="A416" s="41" t="n"/>
      <c r="B416" s="41" t="n"/>
      <c r="C416" s="41" t="n"/>
      <c r="D416" s="41" t="n"/>
      <c r="E416" s="41" t="n"/>
      <c r="F416" s="41" t="n"/>
      <c r="G416" s="41" t="n"/>
      <c r="H416" s="41" t="n"/>
    </row>
    <row r="417" ht="15.75" customHeight="1" s="60">
      <c r="A417" s="41" t="n"/>
      <c r="B417" s="41" t="n"/>
      <c r="C417" s="41" t="n"/>
      <c r="D417" s="41" t="n"/>
      <c r="E417" s="41" t="n"/>
      <c r="F417" s="41" t="n"/>
      <c r="G417" s="41" t="n"/>
      <c r="H417" s="41" t="n"/>
    </row>
    <row r="418" ht="15.75" customHeight="1" s="60">
      <c r="A418" s="41" t="n"/>
      <c r="B418" s="41" t="n"/>
      <c r="C418" s="41" t="n"/>
      <c r="D418" s="41" t="n"/>
      <c r="E418" s="41" t="n"/>
      <c r="F418" s="41" t="n"/>
      <c r="G418" s="41" t="n"/>
      <c r="H418" s="41" t="n"/>
    </row>
    <row r="419" ht="15.75" customHeight="1" s="60">
      <c r="A419" s="41" t="n"/>
      <c r="B419" s="41" t="n"/>
      <c r="C419" s="41" t="n"/>
      <c r="D419" s="41" t="n"/>
      <c r="E419" s="41" t="n"/>
      <c r="F419" s="41" t="n"/>
      <c r="G419" s="41" t="n"/>
      <c r="H419" s="41" t="n"/>
    </row>
    <row r="420" ht="15.75" customHeight="1" s="60">
      <c r="A420" s="41" t="n"/>
      <c r="B420" s="41" t="n"/>
      <c r="C420" s="41" t="n"/>
      <c r="D420" s="41" t="n"/>
      <c r="E420" s="41" t="n"/>
      <c r="F420" s="41" t="n"/>
      <c r="G420" s="41" t="n"/>
      <c r="H420" s="41" t="n"/>
    </row>
    <row r="421" ht="15.75" customHeight="1" s="60">
      <c r="A421" s="41" t="n"/>
      <c r="B421" s="41" t="n"/>
      <c r="C421" s="41" t="n"/>
      <c r="D421" s="41" t="n"/>
      <c r="E421" s="41" t="n"/>
      <c r="F421" s="41" t="n"/>
      <c r="G421" s="41" t="n"/>
      <c r="H421" s="41" t="n"/>
    </row>
    <row r="422" ht="15.75" customHeight="1" s="60">
      <c r="A422" s="41" t="n"/>
      <c r="B422" s="41" t="n"/>
      <c r="C422" s="41" t="n"/>
      <c r="D422" s="41" t="n"/>
      <c r="E422" s="41" t="n"/>
      <c r="F422" s="41" t="n"/>
      <c r="G422" s="41" t="n"/>
      <c r="H422" s="41" t="n"/>
    </row>
    <row r="423" ht="15.75" customHeight="1" s="60">
      <c r="A423" s="41" t="n"/>
      <c r="B423" s="41" t="n"/>
      <c r="C423" s="41" t="n"/>
      <c r="D423" s="41" t="n"/>
      <c r="E423" s="41" t="n"/>
      <c r="F423" s="41" t="n"/>
      <c r="G423" s="41" t="n"/>
      <c r="H423" s="41" t="n"/>
    </row>
    <row r="424" ht="15.75" customHeight="1" s="60">
      <c r="A424" s="41" t="n"/>
      <c r="B424" s="41" t="n"/>
      <c r="C424" s="41" t="n"/>
      <c r="D424" s="41" t="n"/>
      <c r="E424" s="41" t="n"/>
      <c r="F424" s="41" t="n"/>
      <c r="G424" s="41" t="n"/>
      <c r="H424" s="41" t="n"/>
    </row>
    <row r="425" ht="15.75" customHeight="1" s="60">
      <c r="A425" s="41" t="n"/>
      <c r="B425" s="41" t="n"/>
      <c r="C425" s="41" t="n"/>
      <c r="D425" s="41" t="n"/>
      <c r="E425" s="41" t="n"/>
      <c r="F425" s="41" t="n"/>
      <c r="G425" s="41" t="n"/>
      <c r="H425" s="41" t="n"/>
    </row>
    <row r="426" ht="15.75" customHeight="1" s="60">
      <c r="A426" s="41" t="n"/>
      <c r="B426" s="41" t="n"/>
      <c r="C426" s="41" t="n"/>
      <c r="D426" s="41" t="n"/>
      <c r="E426" s="41" t="n"/>
      <c r="F426" s="41" t="n"/>
      <c r="G426" s="41" t="n"/>
      <c r="H426" s="41" t="n"/>
    </row>
    <row r="427" ht="15.75" customHeight="1" s="60">
      <c r="A427" s="41" t="n"/>
      <c r="B427" s="41" t="n"/>
      <c r="C427" s="41" t="n"/>
      <c r="D427" s="41" t="n"/>
      <c r="E427" s="41" t="n"/>
      <c r="F427" s="41" t="n"/>
      <c r="G427" s="41" t="n"/>
      <c r="H427" s="41" t="n"/>
    </row>
    <row r="428" ht="15.75" customHeight="1" s="60">
      <c r="A428" s="41" t="n"/>
      <c r="B428" s="41" t="n"/>
      <c r="C428" s="41" t="n"/>
      <c r="D428" s="41" t="n"/>
      <c r="E428" s="41" t="n"/>
      <c r="F428" s="41" t="n"/>
      <c r="G428" s="41" t="n"/>
      <c r="H428" s="41" t="n"/>
    </row>
    <row r="429" ht="15.75" customHeight="1" s="60">
      <c r="A429" s="41" t="n"/>
      <c r="B429" s="41" t="n"/>
      <c r="C429" s="41" t="n"/>
      <c r="D429" s="41" t="n"/>
      <c r="E429" s="41" t="n"/>
      <c r="F429" s="41" t="n"/>
      <c r="G429" s="41" t="n"/>
      <c r="H429" s="41" t="n"/>
    </row>
    <row r="430" ht="15.75" customHeight="1" s="60">
      <c r="A430" s="41" t="n"/>
      <c r="B430" s="41" t="n"/>
      <c r="C430" s="41" t="n"/>
      <c r="D430" s="41" t="n"/>
      <c r="E430" s="41" t="n"/>
      <c r="F430" s="41" t="n"/>
      <c r="G430" s="41" t="n"/>
      <c r="H430" s="41" t="n"/>
    </row>
    <row r="431" ht="15.75" customHeight="1" s="60">
      <c r="A431" s="41" t="n"/>
      <c r="B431" s="41" t="n"/>
      <c r="C431" s="41" t="n"/>
      <c r="D431" s="41" t="n"/>
      <c r="E431" s="41" t="n"/>
      <c r="F431" s="41" t="n"/>
      <c r="G431" s="41" t="n"/>
      <c r="H431" s="41" t="n"/>
    </row>
    <row r="432" ht="15.75" customHeight="1" s="60">
      <c r="A432" s="41" t="n"/>
      <c r="B432" s="41" t="n"/>
      <c r="C432" s="41" t="n"/>
      <c r="D432" s="41" t="n"/>
      <c r="E432" s="41" t="n"/>
      <c r="F432" s="41" t="n"/>
      <c r="G432" s="41" t="n"/>
      <c r="H432" s="41" t="n"/>
    </row>
    <row r="433" ht="15.75" customHeight="1" s="60">
      <c r="A433" s="41" t="n"/>
      <c r="B433" s="41" t="n"/>
      <c r="C433" s="41" t="n"/>
      <c r="D433" s="41" t="n"/>
      <c r="E433" s="41" t="n"/>
      <c r="F433" s="41" t="n"/>
      <c r="G433" s="41" t="n"/>
      <c r="H433" s="41" t="n"/>
    </row>
    <row r="434" ht="15.75" customHeight="1" s="60">
      <c r="A434" s="41" t="n"/>
      <c r="B434" s="41" t="n"/>
      <c r="C434" s="41" t="n"/>
      <c r="D434" s="41" t="n"/>
      <c r="E434" s="41" t="n"/>
      <c r="F434" s="41" t="n"/>
      <c r="G434" s="41" t="n"/>
      <c r="H434" s="41" t="n"/>
    </row>
    <row r="435" ht="15.75" customHeight="1" s="60">
      <c r="A435" s="41" t="n"/>
      <c r="B435" s="41" t="n"/>
      <c r="C435" s="41" t="n"/>
      <c r="D435" s="41" t="n"/>
      <c r="E435" s="41" t="n"/>
      <c r="F435" s="41" t="n"/>
      <c r="G435" s="41" t="n"/>
      <c r="H435" s="41" t="n"/>
    </row>
    <row r="436" ht="15.75" customHeight="1" s="60">
      <c r="A436" s="41" t="n"/>
      <c r="B436" s="41" t="n"/>
      <c r="C436" s="41" t="n"/>
      <c r="D436" s="41" t="n"/>
      <c r="E436" s="41" t="n"/>
      <c r="F436" s="41" t="n"/>
      <c r="G436" s="41" t="n"/>
      <c r="H436" s="41" t="n"/>
    </row>
    <row r="437" ht="15.75" customHeight="1" s="60">
      <c r="A437" s="41" t="n"/>
      <c r="B437" s="41" t="n"/>
      <c r="C437" s="41" t="n"/>
      <c r="D437" s="41" t="n"/>
      <c r="E437" s="41" t="n"/>
      <c r="F437" s="41" t="n"/>
      <c r="G437" s="41" t="n"/>
      <c r="H437" s="41" t="n"/>
    </row>
    <row r="438" ht="15.75" customHeight="1" s="60">
      <c r="A438" s="41" t="n"/>
      <c r="B438" s="41" t="n"/>
      <c r="C438" s="41" t="n"/>
      <c r="D438" s="41" t="n"/>
      <c r="E438" s="41" t="n"/>
      <c r="F438" s="41" t="n"/>
      <c r="G438" s="41" t="n"/>
      <c r="H438" s="41" t="n"/>
    </row>
    <row r="439" ht="15.75" customHeight="1" s="60">
      <c r="A439" s="41" t="n"/>
      <c r="B439" s="41" t="n"/>
      <c r="C439" s="41" t="n"/>
      <c r="D439" s="41" t="n"/>
      <c r="E439" s="41" t="n"/>
      <c r="F439" s="41" t="n"/>
      <c r="G439" s="41" t="n"/>
      <c r="H439" s="41" t="n"/>
    </row>
    <row r="440" ht="15.75" customHeight="1" s="60">
      <c r="A440" s="41" t="n"/>
      <c r="B440" s="41" t="n"/>
      <c r="C440" s="41" t="n"/>
      <c r="D440" s="41" t="n"/>
      <c r="E440" s="41" t="n"/>
      <c r="F440" s="41" t="n"/>
      <c r="G440" s="41" t="n"/>
      <c r="H440" s="41" t="n"/>
    </row>
    <row r="441" ht="15.75" customHeight="1" s="60">
      <c r="A441" s="41" t="n"/>
      <c r="B441" s="41" t="n"/>
      <c r="C441" s="41" t="n"/>
      <c r="D441" s="41" t="n"/>
      <c r="E441" s="41" t="n"/>
      <c r="F441" s="41" t="n"/>
      <c r="G441" s="41" t="n"/>
      <c r="H441" s="41" t="n"/>
    </row>
    <row r="442" ht="15.75" customHeight="1" s="60">
      <c r="A442" s="41" t="n"/>
      <c r="B442" s="41" t="n"/>
      <c r="C442" s="41" t="n"/>
      <c r="D442" s="41" t="n"/>
      <c r="E442" s="41" t="n"/>
      <c r="F442" s="41" t="n"/>
      <c r="G442" s="41" t="n"/>
      <c r="H442" s="41" t="n"/>
    </row>
    <row r="443" ht="15.75" customHeight="1" s="60">
      <c r="A443" s="41" t="n"/>
      <c r="B443" s="41" t="n"/>
      <c r="C443" s="41" t="n"/>
      <c r="D443" s="41" t="n"/>
      <c r="E443" s="41" t="n"/>
      <c r="F443" s="41" t="n"/>
      <c r="G443" s="41" t="n"/>
      <c r="H443" s="41" t="n"/>
    </row>
    <row r="444" ht="15.75" customHeight="1" s="60">
      <c r="A444" s="41" t="n"/>
      <c r="B444" s="41" t="n"/>
      <c r="C444" s="41" t="n"/>
      <c r="D444" s="41" t="n"/>
      <c r="E444" s="41" t="n"/>
      <c r="F444" s="41" t="n"/>
      <c r="G444" s="41" t="n"/>
      <c r="H444" s="41" t="n"/>
    </row>
    <row r="445" ht="15.75" customHeight="1" s="60">
      <c r="A445" s="41" t="n"/>
      <c r="B445" s="41" t="n"/>
      <c r="C445" s="41" t="n"/>
      <c r="D445" s="41" t="n"/>
      <c r="E445" s="41" t="n"/>
      <c r="F445" s="41" t="n"/>
      <c r="G445" s="41" t="n"/>
      <c r="H445" s="41" t="n"/>
    </row>
    <row r="446" ht="15.75" customHeight="1" s="60">
      <c r="A446" s="41" t="n"/>
      <c r="B446" s="41" t="n"/>
      <c r="C446" s="41" t="n"/>
      <c r="D446" s="41" t="n"/>
      <c r="E446" s="41" t="n"/>
      <c r="F446" s="41" t="n"/>
      <c r="G446" s="41" t="n"/>
      <c r="H446" s="41" t="n"/>
    </row>
    <row r="447" ht="15.75" customHeight="1" s="60">
      <c r="A447" s="41" t="n"/>
      <c r="B447" s="41" t="n"/>
      <c r="C447" s="41" t="n"/>
      <c r="D447" s="41" t="n"/>
      <c r="E447" s="41" t="n"/>
      <c r="F447" s="41" t="n"/>
      <c r="G447" s="41" t="n"/>
      <c r="H447" s="41" t="n"/>
    </row>
    <row r="448" ht="15.75" customHeight="1" s="60">
      <c r="A448" s="41" t="n"/>
      <c r="B448" s="41" t="n"/>
      <c r="C448" s="41" t="n"/>
      <c r="D448" s="41" t="n"/>
      <c r="E448" s="41" t="n"/>
      <c r="F448" s="41" t="n"/>
      <c r="G448" s="41" t="n"/>
      <c r="H448" s="41" t="n"/>
    </row>
    <row r="449" ht="15.75" customHeight="1" s="60">
      <c r="A449" s="41" t="n"/>
      <c r="B449" s="41" t="n"/>
      <c r="C449" s="41" t="n"/>
      <c r="D449" s="41" t="n"/>
      <c r="E449" s="41" t="n"/>
      <c r="F449" s="41" t="n"/>
      <c r="G449" s="41" t="n"/>
      <c r="H449" s="41" t="n"/>
    </row>
    <row r="450" ht="15.75" customHeight="1" s="60">
      <c r="A450" s="41" t="n"/>
      <c r="B450" s="41" t="n"/>
      <c r="C450" s="41" t="n"/>
      <c r="D450" s="41" t="n"/>
      <c r="E450" s="41" t="n"/>
      <c r="F450" s="41" t="n"/>
      <c r="G450" s="41" t="n"/>
      <c r="H450" s="41" t="n"/>
    </row>
    <row r="451" ht="15.75" customHeight="1" s="60">
      <c r="A451" s="41" t="n"/>
      <c r="B451" s="41" t="n"/>
      <c r="C451" s="41" t="n"/>
      <c r="D451" s="41" t="n"/>
      <c r="E451" s="41" t="n"/>
      <c r="F451" s="41" t="n"/>
      <c r="G451" s="41" t="n"/>
      <c r="H451" s="41" t="n"/>
    </row>
    <row r="452" ht="15.75" customHeight="1" s="60">
      <c r="A452" s="41" t="n"/>
      <c r="B452" s="41" t="n"/>
      <c r="C452" s="41" t="n"/>
      <c r="D452" s="41" t="n"/>
      <c r="E452" s="41" t="n"/>
      <c r="F452" s="41" t="n"/>
      <c r="G452" s="41" t="n"/>
      <c r="H452" s="41" t="n"/>
    </row>
    <row r="453" ht="15.75" customHeight="1" s="60">
      <c r="A453" s="41" t="n"/>
      <c r="B453" s="41" t="n"/>
      <c r="C453" s="41" t="n"/>
      <c r="D453" s="41" t="n"/>
      <c r="E453" s="41" t="n"/>
      <c r="F453" s="41" t="n"/>
      <c r="G453" s="41" t="n"/>
      <c r="H453" s="41" t="n"/>
    </row>
    <row r="454" ht="15.75" customHeight="1" s="60">
      <c r="A454" s="41" t="n"/>
      <c r="B454" s="41" t="n"/>
      <c r="C454" s="41" t="n"/>
      <c r="D454" s="41" t="n"/>
      <c r="E454" s="41" t="n"/>
      <c r="F454" s="41" t="n"/>
      <c r="G454" s="41" t="n"/>
      <c r="H454" s="41" t="n"/>
    </row>
    <row r="455" ht="15.75" customHeight="1" s="60">
      <c r="A455" s="41" t="n"/>
      <c r="B455" s="41" t="n"/>
      <c r="C455" s="41" t="n"/>
      <c r="D455" s="41" t="n"/>
      <c r="E455" s="41" t="n"/>
      <c r="F455" s="41" t="n"/>
      <c r="G455" s="41" t="n"/>
      <c r="H455" s="41" t="n"/>
    </row>
    <row r="456" ht="15.75" customHeight="1" s="60">
      <c r="A456" s="41" t="n"/>
      <c r="B456" s="41" t="n"/>
      <c r="C456" s="41" t="n"/>
      <c r="D456" s="41" t="n"/>
      <c r="E456" s="41" t="n"/>
      <c r="F456" s="41" t="n"/>
      <c r="G456" s="41" t="n"/>
      <c r="H456" s="41" t="n"/>
    </row>
    <row r="457" ht="15.75" customHeight="1" s="60">
      <c r="A457" s="41" t="n"/>
      <c r="B457" s="41" t="n"/>
      <c r="C457" s="41" t="n"/>
      <c r="D457" s="41" t="n"/>
      <c r="E457" s="41" t="n"/>
      <c r="F457" s="41" t="n"/>
      <c r="G457" s="41" t="n"/>
      <c r="H457" s="41" t="n"/>
    </row>
    <row r="458" ht="15.75" customHeight="1" s="60">
      <c r="A458" s="41" t="n"/>
      <c r="B458" s="41" t="n"/>
      <c r="C458" s="41" t="n"/>
      <c r="D458" s="41" t="n"/>
      <c r="E458" s="41" t="n"/>
      <c r="F458" s="41" t="n"/>
      <c r="G458" s="41" t="n"/>
      <c r="H458" s="41" t="n"/>
    </row>
    <row r="459" ht="15.75" customHeight="1" s="60">
      <c r="A459" s="41" t="n"/>
      <c r="B459" s="41" t="n"/>
      <c r="C459" s="41" t="n"/>
      <c r="D459" s="41" t="n"/>
      <c r="E459" s="41" t="n"/>
      <c r="F459" s="41" t="n"/>
      <c r="G459" s="41" t="n"/>
      <c r="H459" s="41" t="n"/>
    </row>
    <row r="460" ht="15.75" customHeight="1" s="60">
      <c r="A460" s="41" t="n"/>
      <c r="B460" s="41" t="n"/>
      <c r="C460" s="41" t="n"/>
      <c r="D460" s="41" t="n"/>
      <c r="E460" s="41" t="n"/>
      <c r="F460" s="41" t="n"/>
      <c r="G460" s="41" t="n"/>
      <c r="H460" s="41" t="n"/>
    </row>
    <row r="461" ht="15.75" customHeight="1" s="60">
      <c r="A461" s="41" t="n"/>
      <c r="B461" s="41" t="n"/>
      <c r="C461" s="41" t="n"/>
      <c r="D461" s="41" t="n"/>
      <c r="E461" s="41" t="n"/>
      <c r="F461" s="41" t="n"/>
      <c r="G461" s="41" t="n"/>
      <c r="H461" s="41" t="n"/>
    </row>
    <row r="462" ht="15.75" customHeight="1" s="60">
      <c r="A462" s="41" t="n"/>
      <c r="B462" s="41" t="n"/>
      <c r="C462" s="41" t="n"/>
      <c r="D462" s="41" t="n"/>
      <c r="E462" s="41" t="n"/>
      <c r="F462" s="41" t="n"/>
      <c r="G462" s="41" t="n"/>
      <c r="H462" s="41" t="n"/>
    </row>
    <row r="463" ht="15.75" customHeight="1" s="60">
      <c r="A463" s="41" t="n"/>
      <c r="B463" s="41" t="n"/>
      <c r="C463" s="41" t="n"/>
      <c r="D463" s="41" t="n"/>
      <c r="E463" s="41" t="n"/>
      <c r="F463" s="41" t="n"/>
      <c r="G463" s="41" t="n"/>
      <c r="H463" s="41" t="n"/>
    </row>
    <row r="464" ht="15.75" customHeight="1" s="60">
      <c r="A464" s="41" t="n"/>
      <c r="B464" s="41" t="n"/>
      <c r="C464" s="41" t="n"/>
      <c r="D464" s="41" t="n"/>
      <c r="E464" s="41" t="n"/>
      <c r="F464" s="41" t="n"/>
      <c r="G464" s="41" t="n"/>
      <c r="H464" s="41" t="n"/>
    </row>
    <row r="465" ht="15.75" customHeight="1" s="60">
      <c r="A465" s="41" t="n"/>
      <c r="B465" s="41" t="n"/>
      <c r="C465" s="41" t="n"/>
      <c r="D465" s="41" t="n"/>
      <c r="E465" s="41" t="n"/>
      <c r="F465" s="41" t="n"/>
      <c r="G465" s="41" t="n"/>
      <c r="H465" s="41" t="n"/>
    </row>
    <row r="466" ht="15.75" customHeight="1" s="60">
      <c r="A466" s="41" t="n"/>
      <c r="B466" s="41" t="n"/>
      <c r="C466" s="41" t="n"/>
      <c r="D466" s="41" t="n"/>
      <c r="E466" s="41" t="n"/>
      <c r="F466" s="41" t="n"/>
      <c r="G466" s="41" t="n"/>
      <c r="H466" s="41" t="n"/>
    </row>
    <row r="467" ht="15.75" customHeight="1" s="60">
      <c r="A467" s="41" t="n"/>
      <c r="B467" s="41" t="n"/>
      <c r="C467" s="41" t="n"/>
      <c r="D467" s="41" t="n"/>
      <c r="E467" s="41" t="n"/>
      <c r="F467" s="41" t="n"/>
      <c r="G467" s="41" t="n"/>
      <c r="H467" s="41" t="n"/>
    </row>
    <row r="468" ht="15.75" customHeight="1" s="60">
      <c r="A468" s="41" t="n"/>
      <c r="B468" s="41" t="n"/>
      <c r="C468" s="41" t="n"/>
      <c r="D468" s="41" t="n"/>
      <c r="E468" s="41" t="n"/>
      <c r="F468" s="41" t="n"/>
      <c r="G468" s="41" t="n"/>
      <c r="H468" s="41" t="n"/>
    </row>
    <row r="469" ht="15.75" customHeight="1" s="60">
      <c r="A469" s="41" t="n"/>
      <c r="B469" s="41" t="n"/>
      <c r="C469" s="41" t="n"/>
      <c r="D469" s="41" t="n"/>
      <c r="E469" s="41" t="n"/>
      <c r="F469" s="41" t="n"/>
      <c r="G469" s="41" t="n"/>
      <c r="H469" s="41" t="n"/>
    </row>
    <row r="470" ht="15.75" customHeight="1" s="60">
      <c r="A470" s="41" t="n"/>
      <c r="B470" s="41" t="n"/>
      <c r="C470" s="41" t="n"/>
      <c r="D470" s="41" t="n"/>
      <c r="E470" s="41" t="n"/>
      <c r="F470" s="41" t="n"/>
      <c r="G470" s="41" t="n"/>
      <c r="H470" s="41" t="n"/>
    </row>
    <row r="471" ht="15.75" customHeight="1" s="60">
      <c r="A471" s="41" t="n"/>
      <c r="B471" s="41" t="n"/>
      <c r="C471" s="41" t="n"/>
      <c r="D471" s="41" t="n"/>
      <c r="E471" s="41" t="n"/>
      <c r="F471" s="41" t="n"/>
      <c r="G471" s="41" t="n"/>
      <c r="H471" s="41" t="n"/>
    </row>
    <row r="472" ht="15.75" customHeight="1" s="60">
      <c r="A472" s="41" t="n"/>
      <c r="B472" s="41" t="n"/>
      <c r="C472" s="41" t="n"/>
      <c r="D472" s="41" t="n"/>
      <c r="E472" s="41" t="n"/>
      <c r="F472" s="41" t="n"/>
      <c r="G472" s="41" t="n"/>
      <c r="H472" s="41" t="n"/>
    </row>
    <row r="473" ht="15.75" customHeight="1" s="60">
      <c r="A473" s="41" t="n"/>
      <c r="B473" s="41" t="n"/>
      <c r="C473" s="41" t="n"/>
      <c r="D473" s="41" t="n"/>
      <c r="E473" s="41" t="n"/>
      <c r="F473" s="41" t="n"/>
      <c r="G473" s="41" t="n"/>
      <c r="H473" s="41" t="n"/>
    </row>
    <row r="474" ht="15.75" customHeight="1" s="60">
      <c r="A474" s="41" t="n"/>
      <c r="B474" s="41" t="n"/>
      <c r="C474" s="41" t="n"/>
      <c r="D474" s="41" t="n"/>
      <c r="E474" s="41" t="n"/>
      <c r="F474" s="41" t="n"/>
      <c r="G474" s="41" t="n"/>
      <c r="H474" s="41" t="n"/>
    </row>
    <row r="475" ht="15.75" customHeight="1" s="60">
      <c r="A475" s="41" t="n"/>
      <c r="B475" s="41" t="n"/>
      <c r="C475" s="41" t="n"/>
      <c r="D475" s="41" t="n"/>
      <c r="E475" s="41" t="n"/>
      <c r="F475" s="41" t="n"/>
      <c r="G475" s="41" t="n"/>
      <c r="H475" s="41" t="n"/>
    </row>
    <row r="476" ht="15.75" customHeight="1" s="60">
      <c r="A476" s="41" t="n"/>
      <c r="B476" s="41" t="n"/>
      <c r="C476" s="41" t="n"/>
      <c r="D476" s="41" t="n"/>
      <c r="E476" s="41" t="n"/>
      <c r="F476" s="41" t="n"/>
      <c r="G476" s="41" t="n"/>
      <c r="H476" s="41" t="n"/>
    </row>
    <row r="477" ht="15.75" customHeight="1" s="60">
      <c r="A477" s="41" t="n"/>
      <c r="B477" s="41" t="n"/>
      <c r="C477" s="41" t="n"/>
      <c r="D477" s="41" t="n"/>
      <c r="E477" s="41" t="n"/>
      <c r="F477" s="41" t="n"/>
      <c r="G477" s="41" t="n"/>
      <c r="H477" s="41" t="n"/>
    </row>
    <row r="478" ht="15.75" customHeight="1" s="60">
      <c r="A478" s="41" t="n"/>
      <c r="B478" s="41" t="n"/>
      <c r="C478" s="41" t="n"/>
      <c r="D478" s="41" t="n"/>
      <c r="E478" s="41" t="n"/>
      <c r="F478" s="41" t="n"/>
      <c r="G478" s="41" t="n"/>
      <c r="H478" s="41" t="n"/>
    </row>
    <row r="479" ht="15.75" customHeight="1" s="60">
      <c r="A479" s="41" t="n"/>
      <c r="B479" s="41" t="n"/>
      <c r="C479" s="41" t="n"/>
      <c r="D479" s="41" t="n"/>
      <c r="E479" s="41" t="n"/>
      <c r="F479" s="41" t="n"/>
      <c r="G479" s="41" t="n"/>
      <c r="H479" s="41" t="n"/>
    </row>
    <row r="480" ht="15.75" customHeight="1" s="60">
      <c r="A480" s="41" t="n"/>
      <c r="B480" s="41" t="n"/>
      <c r="C480" s="41" t="n"/>
      <c r="D480" s="41" t="n"/>
      <c r="E480" s="41" t="n"/>
      <c r="F480" s="41" t="n"/>
      <c r="G480" s="41" t="n"/>
      <c r="H480" s="41" t="n"/>
    </row>
    <row r="481" ht="15.75" customHeight="1" s="60">
      <c r="A481" s="41" t="n"/>
      <c r="B481" s="41" t="n"/>
      <c r="C481" s="41" t="n"/>
      <c r="D481" s="41" t="n"/>
      <c r="E481" s="41" t="n"/>
      <c r="F481" s="41" t="n"/>
      <c r="G481" s="41" t="n"/>
      <c r="H481" s="41" t="n"/>
    </row>
    <row r="482" ht="15.75" customHeight="1" s="60">
      <c r="A482" s="41" t="n"/>
      <c r="B482" s="41" t="n"/>
      <c r="C482" s="41" t="n"/>
      <c r="D482" s="41" t="n"/>
      <c r="E482" s="41" t="n"/>
      <c r="F482" s="41" t="n"/>
      <c r="G482" s="41" t="n"/>
      <c r="H482" s="41" t="n"/>
    </row>
    <row r="483" ht="15.75" customHeight="1" s="60">
      <c r="A483" s="41" t="n"/>
      <c r="B483" s="41" t="n"/>
      <c r="C483" s="41" t="n"/>
      <c r="D483" s="41" t="n"/>
      <c r="E483" s="41" t="n"/>
      <c r="F483" s="41" t="n"/>
      <c r="G483" s="41" t="n"/>
      <c r="H483" s="41" t="n"/>
    </row>
    <row r="484" ht="15.75" customHeight="1" s="60">
      <c r="A484" s="41" t="n"/>
      <c r="B484" s="41" t="n"/>
      <c r="C484" s="41" t="n"/>
      <c r="D484" s="41" t="n"/>
      <c r="E484" s="41" t="n"/>
      <c r="F484" s="41" t="n"/>
      <c r="G484" s="41" t="n"/>
      <c r="H484" s="41" t="n"/>
    </row>
    <row r="485" ht="15.75" customHeight="1" s="60">
      <c r="A485" s="41" t="n"/>
      <c r="B485" s="41" t="n"/>
      <c r="C485" s="41" t="n"/>
      <c r="D485" s="41" t="n"/>
      <c r="E485" s="41" t="n"/>
      <c r="F485" s="41" t="n"/>
      <c r="G485" s="41" t="n"/>
      <c r="H485" s="41" t="n"/>
    </row>
    <row r="486" ht="15.75" customHeight="1" s="60">
      <c r="A486" s="41" t="n"/>
      <c r="B486" s="41" t="n"/>
      <c r="C486" s="41" t="n"/>
      <c r="D486" s="41" t="n"/>
      <c r="E486" s="41" t="n"/>
      <c r="F486" s="41" t="n"/>
      <c r="G486" s="41" t="n"/>
      <c r="H486" s="41" t="n"/>
    </row>
    <row r="487" ht="15.75" customHeight="1" s="60">
      <c r="A487" s="41" t="n"/>
      <c r="B487" s="41" t="n"/>
      <c r="C487" s="41" t="n"/>
      <c r="D487" s="41" t="n"/>
      <c r="E487" s="41" t="n"/>
      <c r="F487" s="41" t="n"/>
      <c r="G487" s="41" t="n"/>
      <c r="H487" s="41" t="n"/>
    </row>
    <row r="488" ht="15.75" customHeight="1" s="60">
      <c r="A488" s="41" t="n"/>
      <c r="B488" s="41" t="n"/>
      <c r="C488" s="41" t="n"/>
      <c r="D488" s="41" t="n"/>
      <c r="E488" s="41" t="n"/>
      <c r="F488" s="41" t="n"/>
      <c r="G488" s="41" t="n"/>
      <c r="H488" s="41" t="n"/>
    </row>
    <row r="489" ht="15.75" customHeight="1" s="60">
      <c r="A489" s="41" t="n"/>
      <c r="B489" s="41" t="n"/>
      <c r="C489" s="41" t="n"/>
      <c r="D489" s="41" t="n"/>
      <c r="E489" s="41" t="n"/>
      <c r="F489" s="41" t="n"/>
      <c r="G489" s="41" t="n"/>
      <c r="H489" s="41" t="n"/>
    </row>
    <row r="490" ht="15.75" customHeight="1" s="60">
      <c r="A490" s="41" t="n"/>
      <c r="B490" s="41" t="n"/>
      <c r="C490" s="41" t="n"/>
      <c r="D490" s="41" t="n"/>
      <c r="E490" s="41" t="n"/>
      <c r="F490" s="41" t="n"/>
      <c r="G490" s="41" t="n"/>
      <c r="H490" s="41" t="n"/>
    </row>
    <row r="491" ht="15.75" customHeight="1" s="60">
      <c r="A491" s="41" t="n"/>
      <c r="B491" s="41" t="n"/>
      <c r="C491" s="41" t="n"/>
      <c r="D491" s="41" t="n"/>
      <c r="E491" s="41" t="n"/>
      <c r="F491" s="41" t="n"/>
      <c r="G491" s="41" t="n"/>
      <c r="H491" s="41" t="n"/>
    </row>
    <row r="492" ht="15.75" customHeight="1" s="60">
      <c r="A492" s="41" t="n"/>
      <c r="B492" s="41" t="n"/>
      <c r="C492" s="41" t="n"/>
      <c r="D492" s="41" t="n"/>
      <c r="E492" s="41" t="n"/>
      <c r="F492" s="41" t="n"/>
      <c r="G492" s="41" t="n"/>
      <c r="H492" s="41" t="n"/>
    </row>
    <row r="493" ht="15.75" customHeight="1" s="60">
      <c r="A493" s="41" t="n"/>
      <c r="B493" s="41" t="n"/>
      <c r="C493" s="41" t="n"/>
      <c r="D493" s="41" t="n"/>
      <c r="E493" s="41" t="n"/>
      <c r="F493" s="41" t="n"/>
      <c r="G493" s="41" t="n"/>
      <c r="H493" s="41" t="n"/>
    </row>
    <row r="494" ht="15.75" customHeight="1" s="60">
      <c r="A494" s="41" t="n"/>
      <c r="B494" s="41" t="n"/>
      <c r="C494" s="41" t="n"/>
      <c r="D494" s="41" t="n"/>
      <c r="E494" s="41" t="n"/>
      <c r="F494" s="41" t="n"/>
      <c r="G494" s="41" t="n"/>
      <c r="H494" s="41" t="n"/>
    </row>
    <row r="495" ht="15.75" customHeight="1" s="60">
      <c r="A495" s="41" t="n"/>
      <c r="B495" s="41" t="n"/>
      <c r="C495" s="41" t="n"/>
      <c r="D495" s="41" t="n"/>
      <c r="E495" s="41" t="n"/>
      <c r="F495" s="41" t="n"/>
      <c r="G495" s="41" t="n"/>
      <c r="H495" s="41" t="n"/>
    </row>
    <row r="496" ht="15.75" customHeight="1" s="60">
      <c r="A496" s="41" t="n"/>
      <c r="B496" s="41" t="n"/>
      <c r="C496" s="41" t="n"/>
      <c r="D496" s="41" t="n"/>
      <c r="E496" s="41" t="n"/>
      <c r="F496" s="41" t="n"/>
      <c r="G496" s="41" t="n"/>
      <c r="H496" s="41" t="n"/>
    </row>
    <row r="497" ht="15.75" customHeight="1" s="60">
      <c r="A497" s="41" t="n"/>
      <c r="B497" s="41" t="n"/>
      <c r="C497" s="41" t="n"/>
      <c r="D497" s="41" t="n"/>
      <c r="E497" s="41" t="n"/>
      <c r="F497" s="41" t="n"/>
      <c r="G497" s="41" t="n"/>
      <c r="H497" s="41" t="n"/>
    </row>
    <row r="498" ht="15.75" customHeight="1" s="60">
      <c r="A498" s="41" t="n"/>
      <c r="B498" s="41" t="n"/>
      <c r="C498" s="41" t="n"/>
      <c r="D498" s="41" t="n"/>
      <c r="E498" s="41" t="n"/>
      <c r="F498" s="41" t="n"/>
      <c r="G498" s="41" t="n"/>
      <c r="H498" s="41" t="n"/>
    </row>
    <row r="499" ht="15.75" customHeight="1" s="60">
      <c r="A499" s="41" t="n"/>
      <c r="B499" s="41" t="n"/>
      <c r="C499" s="41" t="n"/>
      <c r="D499" s="41" t="n"/>
      <c r="E499" s="41" t="n"/>
      <c r="F499" s="41" t="n"/>
      <c r="G499" s="41" t="n"/>
      <c r="H499" s="41" t="n"/>
    </row>
    <row r="500" ht="15.75" customHeight="1" s="60">
      <c r="A500" s="41" t="n"/>
      <c r="B500" s="41" t="n"/>
      <c r="C500" s="41" t="n"/>
      <c r="D500" s="41" t="n"/>
      <c r="E500" s="41" t="n"/>
      <c r="F500" s="41" t="n"/>
      <c r="G500" s="41" t="n"/>
      <c r="H500" s="41" t="n"/>
    </row>
    <row r="501" ht="15.75" customHeight="1" s="60">
      <c r="A501" s="41" t="n"/>
      <c r="B501" s="41" t="n"/>
      <c r="C501" s="41" t="n"/>
      <c r="D501" s="41" t="n"/>
      <c r="E501" s="41" t="n"/>
      <c r="F501" s="41" t="n"/>
      <c r="G501" s="41" t="n"/>
      <c r="H501" s="41" t="n"/>
    </row>
    <row r="502" ht="15.75" customHeight="1" s="60">
      <c r="A502" s="41" t="n"/>
      <c r="B502" s="41" t="n"/>
      <c r="C502" s="41" t="n"/>
      <c r="D502" s="41" t="n"/>
      <c r="E502" s="41" t="n"/>
      <c r="F502" s="41" t="n"/>
      <c r="G502" s="41" t="n"/>
      <c r="H502" s="41" t="n"/>
    </row>
    <row r="503" ht="15.75" customHeight="1" s="60">
      <c r="A503" s="41" t="n"/>
      <c r="B503" s="41" t="n"/>
      <c r="C503" s="41" t="n"/>
      <c r="D503" s="41" t="n"/>
      <c r="E503" s="41" t="n"/>
      <c r="F503" s="41" t="n"/>
      <c r="G503" s="41" t="n"/>
      <c r="H503" s="41" t="n"/>
    </row>
    <row r="504" ht="15.75" customHeight="1" s="60">
      <c r="A504" s="41" t="n"/>
      <c r="B504" s="41" t="n"/>
      <c r="C504" s="41" t="n"/>
      <c r="D504" s="41" t="n"/>
      <c r="E504" s="41" t="n"/>
      <c r="F504" s="41" t="n"/>
      <c r="G504" s="41" t="n"/>
      <c r="H504" s="41" t="n"/>
    </row>
    <row r="505" ht="15.75" customHeight="1" s="60">
      <c r="A505" s="41" t="n"/>
      <c r="B505" s="41" t="n"/>
      <c r="C505" s="41" t="n"/>
      <c r="D505" s="41" t="n"/>
      <c r="E505" s="41" t="n"/>
      <c r="F505" s="41" t="n"/>
      <c r="G505" s="41" t="n"/>
      <c r="H505" s="41" t="n"/>
    </row>
    <row r="506" ht="15.75" customHeight="1" s="60">
      <c r="A506" s="41" t="n"/>
      <c r="B506" s="41" t="n"/>
      <c r="C506" s="41" t="n"/>
      <c r="D506" s="41" t="n"/>
      <c r="E506" s="41" t="n"/>
      <c r="F506" s="41" t="n"/>
      <c r="G506" s="41" t="n"/>
      <c r="H506" s="41" t="n"/>
    </row>
    <row r="507" ht="15.75" customHeight="1" s="60">
      <c r="A507" s="41" t="n"/>
      <c r="B507" s="41" t="n"/>
      <c r="C507" s="41" t="n"/>
      <c r="D507" s="41" t="n"/>
      <c r="E507" s="41" t="n"/>
      <c r="F507" s="41" t="n"/>
      <c r="G507" s="41" t="n"/>
      <c r="H507" s="41" t="n"/>
    </row>
    <row r="508" ht="15.75" customHeight="1" s="60">
      <c r="A508" s="41" t="n"/>
      <c r="B508" s="41" t="n"/>
      <c r="C508" s="41" t="n"/>
      <c r="D508" s="41" t="n"/>
      <c r="E508" s="41" t="n"/>
      <c r="F508" s="41" t="n"/>
      <c r="G508" s="41" t="n"/>
      <c r="H508" s="41" t="n"/>
    </row>
    <row r="509" ht="15.75" customHeight="1" s="60">
      <c r="A509" s="41" t="n"/>
      <c r="B509" s="41" t="n"/>
      <c r="C509" s="41" t="n"/>
      <c r="D509" s="41" t="n"/>
      <c r="E509" s="41" t="n"/>
      <c r="F509" s="41" t="n"/>
      <c r="G509" s="41" t="n"/>
      <c r="H509" s="41" t="n"/>
    </row>
    <row r="510" ht="15.75" customHeight="1" s="60">
      <c r="A510" s="41" t="n"/>
      <c r="B510" s="41" t="n"/>
      <c r="C510" s="41" t="n"/>
      <c r="D510" s="41" t="n"/>
      <c r="E510" s="41" t="n"/>
      <c r="F510" s="41" t="n"/>
      <c r="G510" s="41" t="n"/>
      <c r="H510" s="41" t="n"/>
    </row>
    <row r="511" ht="15.75" customHeight="1" s="60">
      <c r="A511" s="41" t="n"/>
      <c r="B511" s="41" t="n"/>
      <c r="C511" s="41" t="n"/>
      <c r="D511" s="41" t="n"/>
      <c r="E511" s="41" t="n"/>
      <c r="F511" s="41" t="n"/>
      <c r="G511" s="41" t="n"/>
      <c r="H511" s="41" t="n"/>
    </row>
    <row r="512" ht="15.75" customHeight="1" s="60">
      <c r="A512" s="41" t="n"/>
      <c r="B512" s="41" t="n"/>
      <c r="C512" s="41" t="n"/>
      <c r="D512" s="41" t="n"/>
      <c r="E512" s="41" t="n"/>
      <c r="F512" s="41" t="n"/>
      <c r="G512" s="41" t="n"/>
      <c r="H512" s="41" t="n"/>
    </row>
    <row r="513" ht="15.75" customHeight="1" s="60">
      <c r="A513" s="41" t="n"/>
      <c r="B513" s="41" t="n"/>
      <c r="C513" s="41" t="n"/>
      <c r="D513" s="41" t="n"/>
      <c r="E513" s="41" t="n"/>
      <c r="F513" s="41" t="n"/>
      <c r="G513" s="41" t="n"/>
      <c r="H513" s="41" t="n"/>
    </row>
    <row r="514" ht="15.75" customHeight="1" s="60">
      <c r="A514" s="41" t="n"/>
      <c r="B514" s="41" t="n"/>
      <c r="C514" s="41" t="n"/>
      <c r="D514" s="41" t="n"/>
      <c r="E514" s="41" t="n"/>
      <c r="F514" s="41" t="n"/>
      <c r="G514" s="41" t="n"/>
      <c r="H514" s="41" t="n"/>
    </row>
    <row r="515" ht="15.75" customHeight="1" s="60">
      <c r="A515" s="41" t="n"/>
      <c r="B515" s="41" t="n"/>
      <c r="C515" s="41" t="n"/>
      <c r="D515" s="41" t="n"/>
      <c r="E515" s="41" t="n"/>
      <c r="F515" s="41" t="n"/>
      <c r="G515" s="41" t="n"/>
      <c r="H515" s="41" t="n"/>
    </row>
    <row r="516" ht="15.75" customHeight="1" s="60">
      <c r="A516" s="41" t="n"/>
      <c r="B516" s="41" t="n"/>
      <c r="C516" s="41" t="n"/>
      <c r="D516" s="41" t="n"/>
      <c r="E516" s="41" t="n"/>
      <c r="F516" s="41" t="n"/>
      <c r="G516" s="41" t="n"/>
      <c r="H516" s="41" t="n"/>
    </row>
    <row r="517" ht="15.75" customHeight="1" s="60">
      <c r="A517" s="41" t="n"/>
      <c r="B517" s="41" t="n"/>
      <c r="C517" s="41" t="n"/>
      <c r="D517" s="41" t="n"/>
      <c r="E517" s="41" t="n"/>
      <c r="F517" s="41" t="n"/>
      <c r="G517" s="41" t="n"/>
      <c r="H517" s="41" t="n"/>
    </row>
    <row r="518" ht="15.75" customHeight="1" s="60">
      <c r="A518" s="41" t="n"/>
      <c r="B518" s="41" t="n"/>
      <c r="C518" s="41" t="n"/>
      <c r="D518" s="41" t="n"/>
      <c r="E518" s="41" t="n"/>
      <c r="F518" s="41" t="n"/>
      <c r="G518" s="41" t="n"/>
      <c r="H518" s="41" t="n"/>
    </row>
    <row r="519" ht="15.75" customHeight="1" s="60">
      <c r="A519" s="41" t="n"/>
      <c r="B519" s="41" t="n"/>
      <c r="C519" s="41" t="n"/>
      <c r="D519" s="41" t="n"/>
      <c r="E519" s="41" t="n"/>
      <c r="F519" s="41" t="n"/>
      <c r="G519" s="41" t="n"/>
      <c r="H519" s="41" t="n"/>
    </row>
    <row r="520" ht="15.75" customHeight="1" s="60">
      <c r="A520" s="41" t="n"/>
      <c r="B520" s="41" t="n"/>
      <c r="C520" s="41" t="n"/>
      <c r="D520" s="41" t="n"/>
      <c r="E520" s="41" t="n"/>
      <c r="F520" s="41" t="n"/>
      <c r="G520" s="41" t="n"/>
      <c r="H520" s="41" t="n"/>
    </row>
    <row r="521" ht="15.75" customHeight="1" s="60">
      <c r="A521" s="41" t="n"/>
      <c r="B521" s="41" t="n"/>
      <c r="C521" s="41" t="n"/>
      <c r="D521" s="41" t="n"/>
      <c r="E521" s="41" t="n"/>
      <c r="F521" s="41" t="n"/>
      <c r="G521" s="41" t="n"/>
      <c r="H521" s="41" t="n"/>
    </row>
    <row r="522" ht="15.75" customHeight="1" s="60">
      <c r="A522" s="41" t="n"/>
      <c r="B522" s="41" t="n"/>
      <c r="C522" s="41" t="n"/>
      <c r="D522" s="41" t="n"/>
      <c r="E522" s="41" t="n"/>
      <c r="F522" s="41" t="n"/>
      <c r="G522" s="41" t="n"/>
      <c r="H522" s="41" t="n"/>
    </row>
    <row r="523" ht="15.75" customHeight="1" s="60">
      <c r="A523" s="41" t="n"/>
      <c r="B523" s="41" t="n"/>
      <c r="C523" s="41" t="n"/>
      <c r="D523" s="41" t="n"/>
      <c r="E523" s="41" t="n"/>
      <c r="F523" s="41" t="n"/>
      <c r="G523" s="41" t="n"/>
      <c r="H523" s="41" t="n"/>
    </row>
    <row r="524" ht="15.75" customHeight="1" s="60">
      <c r="A524" s="41" t="n"/>
      <c r="B524" s="41" t="n"/>
      <c r="C524" s="41" t="n"/>
      <c r="D524" s="41" t="n"/>
      <c r="E524" s="41" t="n"/>
      <c r="F524" s="41" t="n"/>
      <c r="G524" s="41" t="n"/>
      <c r="H524" s="41" t="n"/>
    </row>
    <row r="525" ht="15.75" customHeight="1" s="60">
      <c r="A525" s="41" t="n"/>
      <c r="B525" s="41" t="n"/>
      <c r="C525" s="41" t="n"/>
      <c r="D525" s="41" t="n"/>
      <c r="E525" s="41" t="n"/>
      <c r="F525" s="41" t="n"/>
      <c r="G525" s="41" t="n"/>
      <c r="H525" s="41" t="n"/>
    </row>
    <row r="526" ht="15.75" customHeight="1" s="60">
      <c r="A526" s="41" t="n"/>
      <c r="B526" s="41" t="n"/>
      <c r="C526" s="41" t="n"/>
      <c r="D526" s="41" t="n"/>
      <c r="E526" s="41" t="n"/>
      <c r="F526" s="41" t="n"/>
      <c r="G526" s="41" t="n"/>
      <c r="H526" s="41" t="n"/>
    </row>
    <row r="527" ht="15.75" customHeight="1" s="60">
      <c r="A527" s="41" t="n"/>
      <c r="B527" s="41" t="n"/>
      <c r="C527" s="41" t="n"/>
      <c r="D527" s="41" t="n"/>
      <c r="E527" s="41" t="n"/>
      <c r="F527" s="41" t="n"/>
      <c r="G527" s="41" t="n"/>
      <c r="H527" s="41" t="n"/>
    </row>
    <row r="528" ht="15.75" customHeight="1" s="60">
      <c r="A528" s="41" t="n"/>
      <c r="B528" s="41" t="n"/>
      <c r="C528" s="41" t="n"/>
      <c r="D528" s="41" t="n"/>
      <c r="E528" s="41" t="n"/>
      <c r="F528" s="41" t="n"/>
      <c r="G528" s="41" t="n"/>
      <c r="H528" s="41" t="n"/>
    </row>
    <row r="529" ht="15.75" customHeight="1" s="60">
      <c r="A529" s="41" t="n"/>
      <c r="B529" s="41" t="n"/>
      <c r="C529" s="41" t="n"/>
      <c r="D529" s="41" t="n"/>
      <c r="E529" s="41" t="n"/>
      <c r="F529" s="41" t="n"/>
      <c r="G529" s="41" t="n"/>
      <c r="H529" s="41" t="n"/>
    </row>
    <row r="530" ht="15.75" customHeight="1" s="60">
      <c r="A530" s="41" t="n"/>
      <c r="B530" s="41" t="n"/>
      <c r="C530" s="41" t="n"/>
      <c r="D530" s="41" t="n"/>
      <c r="E530" s="41" t="n"/>
      <c r="F530" s="41" t="n"/>
      <c r="G530" s="41" t="n"/>
      <c r="H530" s="41" t="n"/>
    </row>
    <row r="531" ht="15.75" customHeight="1" s="60">
      <c r="A531" s="41" t="n"/>
      <c r="B531" s="41" t="n"/>
      <c r="C531" s="41" t="n"/>
      <c r="D531" s="41" t="n"/>
      <c r="E531" s="41" t="n"/>
      <c r="F531" s="41" t="n"/>
      <c r="G531" s="41" t="n"/>
      <c r="H531" s="41" t="n"/>
    </row>
    <row r="532" ht="15.75" customHeight="1" s="60">
      <c r="A532" s="41" t="n"/>
      <c r="B532" s="41" t="n"/>
      <c r="C532" s="41" t="n"/>
      <c r="D532" s="41" t="n"/>
      <c r="E532" s="41" t="n"/>
      <c r="F532" s="41" t="n"/>
      <c r="G532" s="41" t="n"/>
      <c r="H532" s="41" t="n"/>
    </row>
    <row r="533" ht="15.75" customHeight="1" s="60">
      <c r="A533" s="41" t="n"/>
      <c r="B533" s="41" t="n"/>
      <c r="C533" s="41" t="n"/>
      <c r="D533" s="41" t="n"/>
      <c r="E533" s="41" t="n"/>
      <c r="F533" s="41" t="n"/>
      <c r="G533" s="41" t="n"/>
      <c r="H533" s="41" t="n"/>
    </row>
    <row r="534" ht="15.75" customHeight="1" s="60">
      <c r="A534" s="41" t="n"/>
      <c r="B534" s="41" t="n"/>
      <c r="C534" s="41" t="n"/>
      <c r="D534" s="41" t="n"/>
      <c r="E534" s="41" t="n"/>
      <c r="F534" s="41" t="n"/>
      <c r="G534" s="41" t="n"/>
      <c r="H534" s="41" t="n"/>
    </row>
    <row r="535" ht="15.75" customHeight="1" s="60">
      <c r="A535" s="41" t="n"/>
      <c r="B535" s="41" t="n"/>
      <c r="C535" s="41" t="n"/>
      <c r="D535" s="41" t="n"/>
      <c r="E535" s="41" t="n"/>
      <c r="F535" s="41" t="n"/>
      <c r="G535" s="41" t="n"/>
      <c r="H535" s="41" t="n"/>
    </row>
    <row r="536" ht="15.75" customHeight="1" s="60">
      <c r="A536" s="41" t="n"/>
      <c r="B536" s="41" t="n"/>
      <c r="C536" s="41" t="n"/>
      <c r="D536" s="41" t="n"/>
      <c r="E536" s="41" t="n"/>
      <c r="F536" s="41" t="n"/>
      <c r="G536" s="41" t="n"/>
      <c r="H536" s="41" t="n"/>
    </row>
    <row r="537" ht="15.75" customHeight="1" s="60">
      <c r="A537" s="41" t="n"/>
      <c r="B537" s="41" t="n"/>
      <c r="C537" s="41" t="n"/>
      <c r="D537" s="41" t="n"/>
      <c r="E537" s="41" t="n"/>
      <c r="F537" s="41" t="n"/>
      <c r="G537" s="41" t="n"/>
      <c r="H537" s="41" t="n"/>
    </row>
    <row r="538" ht="15.75" customHeight="1" s="60">
      <c r="A538" s="41" t="n"/>
      <c r="B538" s="41" t="n"/>
      <c r="C538" s="41" t="n"/>
      <c r="D538" s="41" t="n"/>
      <c r="E538" s="41" t="n"/>
      <c r="F538" s="41" t="n"/>
      <c r="G538" s="41" t="n"/>
      <c r="H538" s="41" t="n"/>
    </row>
    <row r="539" ht="15.75" customHeight="1" s="60">
      <c r="A539" s="41" t="n"/>
      <c r="B539" s="41" t="n"/>
      <c r="C539" s="41" t="n"/>
      <c r="D539" s="41" t="n"/>
      <c r="E539" s="41" t="n"/>
      <c r="F539" s="41" t="n"/>
      <c r="G539" s="41" t="n"/>
      <c r="H539" s="41" t="n"/>
    </row>
    <row r="540" ht="15.75" customHeight="1" s="60">
      <c r="A540" s="41" t="n"/>
      <c r="B540" s="41" t="n"/>
      <c r="C540" s="41" t="n"/>
      <c r="D540" s="41" t="n"/>
      <c r="E540" s="41" t="n"/>
      <c r="F540" s="41" t="n"/>
      <c r="G540" s="41" t="n"/>
      <c r="H540" s="41" t="n"/>
    </row>
    <row r="541" ht="15.75" customHeight="1" s="60">
      <c r="A541" s="41" t="n"/>
      <c r="B541" s="41" t="n"/>
      <c r="C541" s="41" t="n"/>
      <c r="D541" s="41" t="n"/>
      <c r="E541" s="41" t="n"/>
      <c r="F541" s="41" t="n"/>
      <c r="G541" s="41" t="n"/>
      <c r="H541" s="41" t="n"/>
    </row>
    <row r="542" ht="15.75" customHeight="1" s="60">
      <c r="A542" s="41" t="n"/>
      <c r="B542" s="41" t="n"/>
      <c r="C542" s="41" t="n"/>
      <c r="D542" s="41" t="n"/>
      <c r="E542" s="41" t="n"/>
      <c r="F542" s="41" t="n"/>
      <c r="G542" s="41" t="n"/>
      <c r="H542" s="41" t="n"/>
    </row>
    <row r="543" ht="15.75" customHeight="1" s="60">
      <c r="A543" s="41" t="n"/>
      <c r="B543" s="41" t="n"/>
      <c r="C543" s="41" t="n"/>
      <c r="D543" s="41" t="n"/>
      <c r="E543" s="41" t="n"/>
      <c r="F543" s="41" t="n"/>
      <c r="G543" s="41" t="n"/>
      <c r="H543" s="41" t="n"/>
    </row>
    <row r="544" ht="15.75" customHeight="1" s="60">
      <c r="A544" s="41" t="n"/>
      <c r="B544" s="41" t="n"/>
      <c r="C544" s="41" t="n"/>
      <c r="D544" s="41" t="n"/>
      <c r="E544" s="41" t="n"/>
      <c r="F544" s="41" t="n"/>
      <c r="G544" s="41" t="n"/>
      <c r="H544" s="41" t="n"/>
    </row>
    <row r="545" ht="15.75" customHeight="1" s="60">
      <c r="A545" s="41" t="n"/>
      <c r="B545" s="41" t="n"/>
      <c r="C545" s="41" t="n"/>
      <c r="D545" s="41" t="n"/>
      <c r="E545" s="41" t="n"/>
      <c r="F545" s="41" t="n"/>
      <c r="G545" s="41" t="n"/>
      <c r="H545" s="41" t="n"/>
    </row>
    <row r="546" ht="15.75" customHeight="1" s="60">
      <c r="A546" s="41" t="n"/>
      <c r="B546" s="41" t="n"/>
      <c r="C546" s="41" t="n"/>
      <c r="D546" s="41" t="n"/>
      <c r="E546" s="41" t="n"/>
      <c r="F546" s="41" t="n"/>
      <c r="G546" s="41" t="n"/>
      <c r="H546" s="41" t="n"/>
    </row>
    <row r="547" ht="15.75" customHeight="1" s="60">
      <c r="A547" s="41" t="n"/>
      <c r="B547" s="41" t="n"/>
      <c r="C547" s="41" t="n"/>
      <c r="D547" s="41" t="n"/>
      <c r="E547" s="41" t="n"/>
      <c r="F547" s="41" t="n"/>
      <c r="G547" s="41" t="n"/>
      <c r="H547" s="41" t="n"/>
    </row>
    <row r="548" ht="15.75" customHeight="1" s="60">
      <c r="A548" s="41" t="n"/>
      <c r="B548" s="41" t="n"/>
      <c r="C548" s="41" t="n"/>
      <c r="D548" s="41" t="n"/>
      <c r="E548" s="41" t="n"/>
      <c r="F548" s="41" t="n"/>
      <c r="G548" s="41" t="n"/>
      <c r="H548" s="41" t="n"/>
    </row>
    <row r="549" ht="15.75" customHeight="1" s="60">
      <c r="A549" s="41" t="n"/>
      <c r="B549" s="41" t="n"/>
      <c r="C549" s="41" t="n"/>
      <c r="D549" s="41" t="n"/>
      <c r="E549" s="41" t="n"/>
      <c r="F549" s="41" t="n"/>
      <c r="G549" s="41" t="n"/>
      <c r="H549" s="41" t="n"/>
    </row>
    <row r="550" ht="15.75" customHeight="1" s="60">
      <c r="A550" s="41" t="n"/>
      <c r="B550" s="41" t="n"/>
      <c r="C550" s="41" t="n"/>
      <c r="D550" s="41" t="n"/>
      <c r="E550" s="41" t="n"/>
      <c r="F550" s="41" t="n"/>
      <c r="G550" s="41" t="n"/>
      <c r="H550" s="41" t="n"/>
    </row>
    <row r="551" ht="15.75" customHeight="1" s="60">
      <c r="A551" s="41" t="n"/>
      <c r="B551" s="41" t="n"/>
      <c r="C551" s="41" t="n"/>
      <c r="D551" s="41" t="n"/>
      <c r="E551" s="41" t="n"/>
      <c r="F551" s="41" t="n"/>
      <c r="G551" s="41" t="n"/>
      <c r="H551" s="41" t="n"/>
    </row>
    <row r="552" ht="15.75" customHeight="1" s="60">
      <c r="A552" s="41" t="n"/>
      <c r="B552" s="41" t="n"/>
      <c r="C552" s="41" t="n"/>
      <c r="D552" s="41" t="n"/>
      <c r="E552" s="41" t="n"/>
      <c r="F552" s="41" t="n"/>
      <c r="G552" s="41" t="n"/>
      <c r="H552" s="41" t="n"/>
    </row>
    <row r="553" ht="15.75" customHeight="1" s="60">
      <c r="A553" s="41" t="n"/>
      <c r="B553" s="41" t="n"/>
      <c r="C553" s="41" t="n"/>
      <c r="D553" s="41" t="n"/>
      <c r="E553" s="41" t="n"/>
      <c r="F553" s="41" t="n"/>
      <c r="G553" s="41" t="n"/>
      <c r="H553" s="41" t="n"/>
    </row>
    <row r="554" ht="15.75" customHeight="1" s="60">
      <c r="A554" s="41" t="n"/>
      <c r="B554" s="41" t="n"/>
      <c r="C554" s="41" t="n"/>
      <c r="D554" s="41" t="n"/>
      <c r="E554" s="41" t="n"/>
      <c r="F554" s="41" t="n"/>
      <c r="G554" s="41" t="n"/>
      <c r="H554" s="41" t="n"/>
    </row>
    <row r="555" ht="15.75" customHeight="1" s="60">
      <c r="A555" s="41" t="n"/>
      <c r="B555" s="41" t="n"/>
      <c r="C555" s="41" t="n"/>
      <c r="D555" s="41" t="n"/>
      <c r="E555" s="41" t="n"/>
      <c r="F555" s="41" t="n"/>
      <c r="G555" s="41" t="n"/>
      <c r="H555" s="41" t="n"/>
    </row>
    <row r="556" ht="15.75" customHeight="1" s="60">
      <c r="A556" s="41" t="n"/>
      <c r="B556" s="41" t="n"/>
      <c r="C556" s="41" t="n"/>
      <c r="D556" s="41" t="n"/>
      <c r="E556" s="41" t="n"/>
      <c r="F556" s="41" t="n"/>
      <c r="G556" s="41" t="n"/>
      <c r="H556" s="41" t="n"/>
    </row>
    <row r="557" ht="15.75" customHeight="1" s="60">
      <c r="A557" s="41" t="n"/>
      <c r="B557" s="41" t="n"/>
      <c r="C557" s="41" t="n"/>
      <c r="D557" s="41" t="n"/>
      <c r="E557" s="41" t="n"/>
      <c r="F557" s="41" t="n"/>
      <c r="G557" s="41" t="n"/>
      <c r="H557" s="41" t="n"/>
    </row>
    <row r="558" ht="15.75" customHeight="1" s="60">
      <c r="A558" s="41" t="n"/>
      <c r="B558" s="41" t="n"/>
      <c r="C558" s="41" t="n"/>
      <c r="D558" s="41" t="n"/>
      <c r="E558" s="41" t="n"/>
      <c r="F558" s="41" t="n"/>
      <c r="G558" s="41" t="n"/>
      <c r="H558" s="41" t="n"/>
    </row>
    <row r="559" ht="15.75" customHeight="1" s="60">
      <c r="A559" s="41" t="n"/>
      <c r="B559" s="41" t="n"/>
      <c r="C559" s="41" t="n"/>
      <c r="D559" s="41" t="n"/>
      <c r="E559" s="41" t="n"/>
      <c r="F559" s="41" t="n"/>
      <c r="G559" s="41" t="n"/>
      <c r="H559" s="41" t="n"/>
    </row>
    <row r="560" ht="15.75" customHeight="1" s="60">
      <c r="A560" s="41" t="n"/>
      <c r="B560" s="41" t="n"/>
      <c r="C560" s="41" t="n"/>
      <c r="D560" s="41" t="n"/>
      <c r="E560" s="41" t="n"/>
      <c r="F560" s="41" t="n"/>
      <c r="G560" s="41" t="n"/>
      <c r="H560" s="41" t="n"/>
    </row>
    <row r="561" ht="15.75" customHeight="1" s="60">
      <c r="A561" s="41" t="n"/>
      <c r="B561" s="41" t="n"/>
      <c r="C561" s="41" t="n"/>
      <c r="D561" s="41" t="n"/>
      <c r="E561" s="41" t="n"/>
      <c r="F561" s="41" t="n"/>
      <c r="G561" s="41" t="n"/>
      <c r="H561" s="41" t="n"/>
    </row>
    <row r="562" ht="15.75" customHeight="1" s="60">
      <c r="A562" s="41" t="n"/>
      <c r="B562" s="41" t="n"/>
      <c r="C562" s="41" t="n"/>
      <c r="D562" s="41" t="n"/>
      <c r="E562" s="41" t="n"/>
      <c r="F562" s="41" t="n"/>
      <c r="G562" s="41" t="n"/>
      <c r="H562" s="41" t="n"/>
    </row>
    <row r="563" ht="15.75" customHeight="1" s="60">
      <c r="A563" s="41" t="n"/>
      <c r="B563" s="41" t="n"/>
      <c r="C563" s="41" t="n"/>
      <c r="D563" s="41" t="n"/>
      <c r="E563" s="41" t="n"/>
      <c r="F563" s="41" t="n"/>
      <c r="G563" s="41" t="n"/>
      <c r="H563" s="41" t="n"/>
    </row>
    <row r="564" ht="15.75" customHeight="1" s="60">
      <c r="A564" s="41" t="n"/>
      <c r="B564" s="41" t="n"/>
      <c r="C564" s="41" t="n"/>
      <c r="D564" s="41" t="n"/>
      <c r="E564" s="41" t="n"/>
      <c r="F564" s="41" t="n"/>
      <c r="G564" s="41" t="n"/>
      <c r="H564" s="41" t="n"/>
    </row>
    <row r="565" ht="15.75" customHeight="1" s="60">
      <c r="A565" s="41" t="n"/>
      <c r="B565" s="41" t="n"/>
      <c r="C565" s="41" t="n"/>
      <c r="D565" s="41" t="n"/>
      <c r="E565" s="41" t="n"/>
      <c r="F565" s="41" t="n"/>
      <c r="G565" s="41" t="n"/>
      <c r="H565" s="41" t="n"/>
    </row>
    <row r="566" ht="15.75" customHeight="1" s="60">
      <c r="A566" s="41" t="n"/>
      <c r="B566" s="41" t="n"/>
      <c r="C566" s="41" t="n"/>
      <c r="D566" s="41" t="n"/>
      <c r="E566" s="41" t="n"/>
      <c r="F566" s="41" t="n"/>
      <c r="G566" s="41" t="n"/>
      <c r="H566" s="41" t="n"/>
    </row>
    <row r="567" ht="15.75" customHeight="1" s="60">
      <c r="A567" s="41" t="n"/>
      <c r="B567" s="41" t="n"/>
      <c r="C567" s="41" t="n"/>
      <c r="D567" s="41" t="n"/>
      <c r="E567" s="41" t="n"/>
      <c r="F567" s="41" t="n"/>
      <c r="G567" s="41" t="n"/>
      <c r="H567" s="41" t="n"/>
    </row>
    <row r="568" ht="15.75" customHeight="1" s="60">
      <c r="A568" s="41" t="n"/>
      <c r="B568" s="41" t="n"/>
      <c r="C568" s="41" t="n"/>
      <c r="D568" s="41" t="n"/>
      <c r="E568" s="41" t="n"/>
      <c r="F568" s="41" t="n"/>
      <c r="G568" s="41" t="n"/>
      <c r="H568" s="41" t="n"/>
    </row>
    <row r="569" ht="15.75" customHeight="1" s="60">
      <c r="A569" s="41" t="n"/>
      <c r="B569" s="41" t="n"/>
      <c r="C569" s="41" t="n"/>
      <c r="D569" s="41" t="n"/>
      <c r="E569" s="41" t="n"/>
      <c r="F569" s="41" t="n"/>
      <c r="G569" s="41" t="n"/>
      <c r="H569" s="41" t="n"/>
    </row>
    <row r="570" ht="15.75" customHeight="1" s="60">
      <c r="A570" s="41" t="n"/>
      <c r="B570" s="41" t="n"/>
      <c r="C570" s="41" t="n"/>
      <c r="D570" s="41" t="n"/>
      <c r="E570" s="41" t="n"/>
      <c r="F570" s="41" t="n"/>
      <c r="G570" s="41" t="n"/>
      <c r="H570" s="41" t="n"/>
    </row>
    <row r="571" ht="15.75" customHeight="1" s="60">
      <c r="A571" s="41" t="n"/>
      <c r="B571" s="41" t="n"/>
      <c r="C571" s="41" t="n"/>
      <c r="D571" s="41" t="n"/>
      <c r="E571" s="41" t="n"/>
      <c r="F571" s="41" t="n"/>
      <c r="G571" s="41" t="n"/>
      <c r="H571" s="41" t="n"/>
    </row>
    <row r="572" ht="15.75" customHeight="1" s="60">
      <c r="A572" s="41" t="n"/>
      <c r="B572" s="41" t="n"/>
      <c r="C572" s="41" t="n"/>
      <c r="D572" s="41" t="n"/>
      <c r="E572" s="41" t="n"/>
      <c r="F572" s="41" t="n"/>
      <c r="G572" s="41" t="n"/>
      <c r="H572" s="41" t="n"/>
    </row>
    <row r="573" ht="15.75" customHeight="1" s="60">
      <c r="A573" s="41" t="n"/>
      <c r="B573" s="41" t="n"/>
      <c r="C573" s="41" t="n"/>
      <c r="D573" s="41" t="n"/>
      <c r="E573" s="41" t="n"/>
      <c r="F573" s="41" t="n"/>
      <c r="G573" s="41" t="n"/>
      <c r="H573" s="41" t="n"/>
    </row>
    <row r="574" ht="15.75" customHeight="1" s="60">
      <c r="A574" s="41" t="n"/>
      <c r="B574" s="41" t="n"/>
      <c r="C574" s="41" t="n"/>
      <c r="D574" s="41" t="n"/>
      <c r="E574" s="41" t="n"/>
      <c r="F574" s="41" t="n"/>
      <c r="G574" s="41" t="n"/>
      <c r="H574" s="41" t="n"/>
    </row>
    <row r="575" ht="15.75" customHeight="1" s="60">
      <c r="A575" s="41" t="n"/>
      <c r="B575" s="41" t="n"/>
      <c r="C575" s="41" t="n"/>
      <c r="D575" s="41" t="n"/>
      <c r="E575" s="41" t="n"/>
      <c r="F575" s="41" t="n"/>
      <c r="G575" s="41" t="n"/>
      <c r="H575" s="41" t="n"/>
    </row>
    <row r="576" ht="15.75" customHeight="1" s="60">
      <c r="A576" s="41" t="n"/>
      <c r="B576" s="41" t="n"/>
      <c r="C576" s="41" t="n"/>
      <c r="D576" s="41" t="n"/>
      <c r="E576" s="41" t="n"/>
      <c r="F576" s="41" t="n"/>
      <c r="G576" s="41" t="n"/>
      <c r="H576" s="41" t="n"/>
    </row>
    <row r="577" ht="15.75" customHeight="1" s="60">
      <c r="A577" s="41" t="n"/>
      <c r="B577" s="41" t="n"/>
      <c r="C577" s="41" t="n"/>
      <c r="D577" s="41" t="n"/>
      <c r="E577" s="41" t="n"/>
      <c r="F577" s="41" t="n"/>
      <c r="G577" s="41" t="n"/>
      <c r="H577" s="41" t="n"/>
    </row>
    <row r="578" ht="15.75" customHeight="1" s="60">
      <c r="A578" s="41" t="n"/>
      <c r="B578" s="41" t="n"/>
      <c r="C578" s="41" t="n"/>
      <c r="D578" s="41" t="n"/>
      <c r="E578" s="41" t="n"/>
      <c r="F578" s="41" t="n"/>
      <c r="G578" s="41" t="n"/>
      <c r="H578" s="41" t="n"/>
    </row>
    <row r="579" ht="15.75" customHeight="1" s="60">
      <c r="A579" s="41" t="n"/>
      <c r="B579" s="41" t="n"/>
      <c r="C579" s="41" t="n"/>
      <c r="D579" s="41" t="n"/>
      <c r="E579" s="41" t="n"/>
      <c r="F579" s="41" t="n"/>
      <c r="G579" s="41" t="n"/>
      <c r="H579" s="41" t="n"/>
    </row>
    <row r="580" ht="15.75" customHeight="1" s="60">
      <c r="A580" s="41" t="n"/>
      <c r="B580" s="41" t="n"/>
      <c r="C580" s="41" t="n"/>
      <c r="D580" s="41" t="n"/>
      <c r="E580" s="41" t="n"/>
      <c r="F580" s="41" t="n"/>
      <c r="G580" s="41" t="n"/>
      <c r="H580" s="41" t="n"/>
    </row>
    <row r="581" ht="15.75" customHeight="1" s="60">
      <c r="A581" s="41" t="n"/>
      <c r="B581" s="41" t="n"/>
      <c r="C581" s="41" t="n"/>
      <c r="D581" s="41" t="n"/>
      <c r="E581" s="41" t="n"/>
      <c r="F581" s="41" t="n"/>
      <c r="G581" s="41" t="n"/>
      <c r="H581" s="41" t="n"/>
    </row>
    <row r="582" ht="15.75" customHeight="1" s="60">
      <c r="A582" s="41" t="n"/>
      <c r="B582" s="41" t="n"/>
      <c r="C582" s="41" t="n"/>
      <c r="D582" s="41" t="n"/>
      <c r="E582" s="41" t="n"/>
      <c r="F582" s="41" t="n"/>
      <c r="G582" s="41" t="n"/>
      <c r="H582" s="41" t="n"/>
    </row>
    <row r="583" ht="15.75" customHeight="1" s="60">
      <c r="A583" s="41" t="n"/>
      <c r="B583" s="41" t="n"/>
      <c r="C583" s="41" t="n"/>
      <c r="D583" s="41" t="n"/>
      <c r="E583" s="41" t="n"/>
      <c r="F583" s="41" t="n"/>
      <c r="G583" s="41" t="n"/>
      <c r="H583" s="41" t="n"/>
    </row>
    <row r="584" ht="15.75" customHeight="1" s="60">
      <c r="A584" s="41" t="n"/>
      <c r="B584" s="41" t="n"/>
      <c r="C584" s="41" t="n"/>
      <c r="D584" s="41" t="n"/>
      <c r="E584" s="41" t="n"/>
      <c r="F584" s="41" t="n"/>
      <c r="G584" s="41" t="n"/>
      <c r="H584" s="41" t="n"/>
    </row>
    <row r="585" ht="15.75" customHeight="1" s="60">
      <c r="A585" s="41" t="n"/>
      <c r="B585" s="41" t="n"/>
      <c r="C585" s="41" t="n"/>
      <c r="D585" s="41" t="n"/>
      <c r="E585" s="41" t="n"/>
      <c r="F585" s="41" t="n"/>
      <c r="G585" s="41" t="n"/>
      <c r="H585" s="41" t="n"/>
    </row>
    <row r="586" ht="15.75" customHeight="1" s="60">
      <c r="A586" s="41" t="n"/>
      <c r="B586" s="41" t="n"/>
      <c r="C586" s="41" t="n"/>
      <c r="D586" s="41" t="n"/>
      <c r="E586" s="41" t="n"/>
      <c r="F586" s="41" t="n"/>
      <c r="G586" s="41" t="n"/>
      <c r="H586" s="41" t="n"/>
    </row>
    <row r="587" ht="15.75" customHeight="1" s="60">
      <c r="A587" s="41" t="n"/>
      <c r="B587" s="41" t="n"/>
      <c r="C587" s="41" t="n"/>
      <c r="D587" s="41" t="n"/>
      <c r="E587" s="41" t="n"/>
      <c r="F587" s="41" t="n"/>
      <c r="G587" s="41" t="n"/>
      <c r="H587" s="41" t="n"/>
    </row>
    <row r="588" ht="15.75" customHeight="1" s="60">
      <c r="A588" s="41" t="n"/>
      <c r="B588" s="41" t="n"/>
      <c r="C588" s="41" t="n"/>
      <c r="D588" s="41" t="n"/>
      <c r="E588" s="41" t="n"/>
      <c r="F588" s="41" t="n"/>
      <c r="G588" s="41" t="n"/>
      <c r="H588" s="41" t="n"/>
    </row>
    <row r="589" ht="15.75" customHeight="1" s="60">
      <c r="A589" s="41" t="n"/>
      <c r="B589" s="41" t="n"/>
      <c r="C589" s="41" t="n"/>
      <c r="D589" s="41" t="n"/>
      <c r="E589" s="41" t="n"/>
      <c r="F589" s="41" t="n"/>
      <c r="G589" s="41" t="n"/>
      <c r="H589" s="41" t="n"/>
    </row>
    <row r="590" ht="15.75" customHeight="1" s="60">
      <c r="A590" s="41" t="n"/>
      <c r="B590" s="41" t="n"/>
      <c r="C590" s="41" t="n"/>
      <c r="D590" s="41" t="n"/>
      <c r="E590" s="41" t="n"/>
      <c r="F590" s="41" t="n"/>
      <c r="G590" s="41" t="n"/>
      <c r="H590" s="41" t="n"/>
    </row>
    <row r="591" ht="15.75" customHeight="1" s="60">
      <c r="A591" s="41" t="n"/>
      <c r="B591" s="41" t="n"/>
      <c r="C591" s="41" t="n"/>
      <c r="D591" s="41" t="n"/>
      <c r="E591" s="41" t="n"/>
      <c r="F591" s="41" t="n"/>
      <c r="G591" s="41" t="n"/>
      <c r="H591" s="41" t="n"/>
    </row>
    <row r="592" ht="15.75" customHeight="1" s="60">
      <c r="A592" s="41" t="n"/>
      <c r="B592" s="41" t="n"/>
      <c r="C592" s="41" t="n"/>
      <c r="D592" s="41" t="n"/>
      <c r="E592" s="41" t="n"/>
      <c r="F592" s="41" t="n"/>
      <c r="G592" s="41" t="n"/>
      <c r="H592" s="41" t="n"/>
    </row>
    <row r="593" ht="15.75" customHeight="1" s="60">
      <c r="A593" s="41" t="n"/>
      <c r="B593" s="41" t="n"/>
      <c r="C593" s="41" t="n"/>
      <c r="D593" s="41" t="n"/>
      <c r="E593" s="41" t="n"/>
      <c r="F593" s="41" t="n"/>
      <c r="G593" s="41" t="n"/>
      <c r="H593" s="41" t="n"/>
    </row>
    <row r="594" ht="15.75" customHeight="1" s="60">
      <c r="A594" s="41" t="n"/>
      <c r="B594" s="41" t="n"/>
      <c r="C594" s="41" t="n"/>
      <c r="D594" s="41" t="n"/>
      <c r="E594" s="41" t="n"/>
      <c r="F594" s="41" t="n"/>
      <c r="G594" s="41" t="n"/>
      <c r="H594" s="41" t="n"/>
    </row>
    <row r="595" ht="15.75" customHeight="1" s="60">
      <c r="A595" s="41" t="n"/>
      <c r="B595" s="41" t="n"/>
      <c r="C595" s="41" t="n"/>
      <c r="D595" s="41" t="n"/>
      <c r="E595" s="41" t="n"/>
      <c r="F595" s="41" t="n"/>
      <c r="G595" s="41" t="n"/>
      <c r="H595" s="41" t="n"/>
    </row>
    <row r="596" ht="15.75" customHeight="1" s="60">
      <c r="A596" s="41" t="n"/>
      <c r="B596" s="41" t="n"/>
      <c r="C596" s="41" t="n"/>
      <c r="D596" s="41" t="n"/>
      <c r="E596" s="41" t="n"/>
      <c r="F596" s="41" t="n"/>
      <c r="G596" s="41" t="n"/>
      <c r="H596" s="41" t="n"/>
    </row>
    <row r="597" ht="15.75" customHeight="1" s="60">
      <c r="A597" s="41" t="n"/>
      <c r="B597" s="41" t="n"/>
      <c r="C597" s="41" t="n"/>
      <c r="D597" s="41" t="n"/>
      <c r="E597" s="41" t="n"/>
      <c r="F597" s="41" t="n"/>
      <c r="G597" s="41" t="n"/>
      <c r="H597" s="41" t="n"/>
    </row>
    <row r="598" ht="15.75" customHeight="1" s="60">
      <c r="A598" s="41" t="n"/>
      <c r="B598" s="41" t="n"/>
      <c r="C598" s="41" t="n"/>
      <c r="D598" s="41" t="n"/>
      <c r="E598" s="41" t="n"/>
      <c r="F598" s="41" t="n"/>
      <c r="G598" s="41" t="n"/>
      <c r="H598" s="41" t="n"/>
    </row>
    <row r="599" ht="15.75" customHeight="1" s="60">
      <c r="A599" s="41" t="n"/>
      <c r="B599" s="41" t="n"/>
      <c r="C599" s="41" t="n"/>
      <c r="D599" s="41" t="n"/>
      <c r="E599" s="41" t="n"/>
      <c r="F599" s="41" t="n"/>
      <c r="G599" s="41" t="n"/>
      <c r="H599" s="41" t="n"/>
    </row>
    <row r="600" ht="15.75" customHeight="1" s="60">
      <c r="A600" s="41" t="n"/>
      <c r="B600" s="41" t="n"/>
      <c r="C600" s="41" t="n"/>
      <c r="D600" s="41" t="n"/>
      <c r="E600" s="41" t="n"/>
      <c r="F600" s="41" t="n"/>
      <c r="G600" s="41" t="n"/>
      <c r="H600" s="41" t="n"/>
    </row>
    <row r="601" ht="15.75" customHeight="1" s="60">
      <c r="A601" s="41" t="n"/>
      <c r="B601" s="41" t="n"/>
      <c r="C601" s="41" t="n"/>
      <c r="D601" s="41" t="n"/>
      <c r="E601" s="41" t="n"/>
      <c r="F601" s="41" t="n"/>
      <c r="G601" s="41" t="n"/>
      <c r="H601" s="41" t="n"/>
    </row>
    <row r="602" ht="15.75" customHeight="1" s="60">
      <c r="A602" s="41" t="n"/>
      <c r="B602" s="41" t="n"/>
      <c r="C602" s="41" t="n"/>
      <c r="D602" s="41" t="n"/>
      <c r="E602" s="41" t="n"/>
      <c r="F602" s="41" t="n"/>
      <c r="G602" s="41" t="n"/>
      <c r="H602" s="41" t="n"/>
    </row>
    <row r="603" ht="15.75" customHeight="1" s="60">
      <c r="A603" s="41" t="n"/>
      <c r="B603" s="41" t="n"/>
      <c r="C603" s="41" t="n"/>
      <c r="D603" s="41" t="n"/>
      <c r="E603" s="41" t="n"/>
      <c r="F603" s="41" t="n"/>
      <c r="G603" s="41" t="n"/>
      <c r="H603" s="41" t="n"/>
    </row>
    <row r="604" ht="15.75" customHeight="1" s="60">
      <c r="A604" s="41" t="n"/>
      <c r="B604" s="41" t="n"/>
      <c r="C604" s="41" t="n"/>
      <c r="D604" s="41" t="n"/>
      <c r="E604" s="41" t="n"/>
      <c r="F604" s="41" t="n"/>
      <c r="G604" s="41" t="n"/>
      <c r="H604" s="41" t="n"/>
    </row>
    <row r="605" ht="15.75" customHeight="1" s="60">
      <c r="A605" s="41" t="n"/>
      <c r="B605" s="41" t="n"/>
      <c r="C605" s="41" t="n"/>
      <c r="D605" s="41" t="n"/>
      <c r="E605" s="41" t="n"/>
      <c r="F605" s="41" t="n"/>
      <c r="G605" s="41" t="n"/>
      <c r="H605" s="41" t="n"/>
    </row>
    <row r="606" ht="15.75" customHeight="1" s="60">
      <c r="A606" s="41" t="n"/>
      <c r="B606" s="41" t="n"/>
      <c r="C606" s="41" t="n"/>
      <c r="D606" s="41" t="n"/>
      <c r="E606" s="41" t="n"/>
      <c r="F606" s="41" t="n"/>
      <c r="G606" s="41" t="n"/>
      <c r="H606" s="41" t="n"/>
    </row>
    <row r="607" ht="15.75" customHeight="1" s="60">
      <c r="A607" s="41" t="n"/>
      <c r="B607" s="41" t="n"/>
      <c r="C607" s="41" t="n"/>
      <c r="D607" s="41" t="n"/>
      <c r="E607" s="41" t="n"/>
      <c r="F607" s="41" t="n"/>
      <c r="G607" s="41" t="n"/>
      <c r="H607" s="41" t="n"/>
    </row>
    <row r="608" ht="15.75" customHeight="1" s="60">
      <c r="A608" s="41" t="n"/>
      <c r="B608" s="41" t="n"/>
      <c r="C608" s="41" t="n"/>
      <c r="D608" s="41" t="n"/>
      <c r="E608" s="41" t="n"/>
      <c r="F608" s="41" t="n"/>
      <c r="G608" s="41" t="n"/>
      <c r="H608" s="41" t="n"/>
    </row>
    <row r="609" ht="15.75" customHeight="1" s="60">
      <c r="A609" s="41" t="n"/>
      <c r="B609" s="41" t="n"/>
      <c r="C609" s="41" t="n"/>
      <c r="D609" s="41" t="n"/>
      <c r="E609" s="41" t="n"/>
      <c r="F609" s="41" t="n"/>
      <c r="G609" s="41" t="n"/>
      <c r="H609" s="41" t="n"/>
    </row>
    <row r="610" ht="15.75" customHeight="1" s="60">
      <c r="A610" s="41" t="n"/>
      <c r="B610" s="41" t="n"/>
      <c r="C610" s="41" t="n"/>
      <c r="D610" s="41" t="n"/>
      <c r="E610" s="41" t="n"/>
      <c r="F610" s="41" t="n"/>
      <c r="G610" s="41" t="n"/>
      <c r="H610" s="41" t="n"/>
    </row>
    <row r="611" ht="15.75" customHeight="1" s="60">
      <c r="A611" s="41" t="n"/>
      <c r="B611" s="41" t="n"/>
      <c r="C611" s="41" t="n"/>
      <c r="D611" s="41" t="n"/>
      <c r="E611" s="41" t="n"/>
      <c r="F611" s="41" t="n"/>
      <c r="G611" s="41" t="n"/>
      <c r="H611" s="41" t="n"/>
    </row>
    <row r="612" ht="15.75" customHeight="1" s="60">
      <c r="A612" s="41" t="n"/>
      <c r="B612" s="41" t="n"/>
      <c r="C612" s="41" t="n"/>
      <c r="D612" s="41" t="n"/>
      <c r="E612" s="41" t="n"/>
      <c r="F612" s="41" t="n"/>
      <c r="G612" s="41" t="n"/>
      <c r="H612" s="41" t="n"/>
    </row>
    <row r="613" ht="15.75" customHeight="1" s="60">
      <c r="A613" s="41" t="n"/>
      <c r="B613" s="41" t="n"/>
      <c r="C613" s="41" t="n"/>
      <c r="D613" s="41" t="n"/>
      <c r="E613" s="41" t="n"/>
      <c r="F613" s="41" t="n"/>
      <c r="G613" s="41" t="n"/>
      <c r="H613" s="41" t="n"/>
    </row>
    <row r="614" ht="15.75" customHeight="1" s="60">
      <c r="A614" s="41" t="n"/>
      <c r="B614" s="41" t="n"/>
      <c r="C614" s="41" t="n"/>
      <c r="D614" s="41" t="n"/>
      <c r="E614" s="41" t="n"/>
      <c r="F614" s="41" t="n"/>
      <c r="G614" s="41" t="n"/>
      <c r="H614" s="41" t="n"/>
    </row>
    <row r="615" ht="15.75" customHeight="1" s="60">
      <c r="A615" s="41" t="n"/>
      <c r="B615" s="41" t="n"/>
      <c r="C615" s="41" t="n"/>
      <c r="D615" s="41" t="n"/>
      <c r="E615" s="41" t="n"/>
      <c r="F615" s="41" t="n"/>
      <c r="G615" s="41" t="n"/>
      <c r="H615" s="41" t="n"/>
    </row>
    <row r="616" ht="15.75" customHeight="1" s="60">
      <c r="A616" s="41" t="n"/>
      <c r="B616" s="41" t="n"/>
      <c r="C616" s="41" t="n"/>
      <c r="D616" s="41" t="n"/>
      <c r="E616" s="41" t="n"/>
      <c r="F616" s="41" t="n"/>
      <c r="G616" s="41" t="n"/>
      <c r="H616" s="41" t="n"/>
    </row>
    <row r="617" ht="15.75" customHeight="1" s="60">
      <c r="A617" s="41" t="n"/>
      <c r="B617" s="41" t="n"/>
      <c r="C617" s="41" t="n"/>
      <c r="D617" s="41" t="n"/>
      <c r="E617" s="41" t="n"/>
      <c r="F617" s="41" t="n"/>
      <c r="G617" s="41" t="n"/>
      <c r="H617" s="41" t="n"/>
    </row>
    <row r="618" ht="15.75" customHeight="1" s="60">
      <c r="A618" s="41" t="n"/>
      <c r="B618" s="41" t="n"/>
      <c r="C618" s="41" t="n"/>
      <c r="D618" s="41" t="n"/>
      <c r="E618" s="41" t="n"/>
      <c r="F618" s="41" t="n"/>
      <c r="G618" s="41" t="n"/>
      <c r="H618" s="41" t="n"/>
    </row>
    <row r="619" ht="15.75" customHeight="1" s="60">
      <c r="A619" s="41" t="n"/>
      <c r="B619" s="41" t="n"/>
      <c r="C619" s="41" t="n"/>
      <c r="D619" s="41" t="n"/>
      <c r="E619" s="41" t="n"/>
      <c r="F619" s="41" t="n"/>
      <c r="G619" s="41" t="n"/>
      <c r="H619" s="41" t="n"/>
    </row>
    <row r="620" ht="15.75" customHeight="1" s="60">
      <c r="A620" s="41" t="n"/>
      <c r="B620" s="41" t="n"/>
      <c r="C620" s="41" t="n"/>
      <c r="D620" s="41" t="n"/>
      <c r="E620" s="41" t="n"/>
      <c r="F620" s="41" t="n"/>
      <c r="G620" s="41" t="n"/>
      <c r="H620" s="41" t="n"/>
    </row>
    <row r="621" ht="15.75" customHeight="1" s="60">
      <c r="A621" s="41" t="n"/>
      <c r="B621" s="41" t="n"/>
      <c r="C621" s="41" t="n"/>
      <c r="D621" s="41" t="n"/>
      <c r="E621" s="41" t="n"/>
      <c r="F621" s="41" t="n"/>
      <c r="G621" s="41" t="n"/>
      <c r="H621" s="41" t="n"/>
    </row>
    <row r="622" ht="15.75" customHeight="1" s="60">
      <c r="A622" s="41" t="n"/>
      <c r="B622" s="41" t="n"/>
      <c r="C622" s="41" t="n"/>
      <c r="D622" s="41" t="n"/>
      <c r="E622" s="41" t="n"/>
      <c r="F622" s="41" t="n"/>
      <c r="G622" s="41" t="n"/>
      <c r="H622" s="41" t="n"/>
    </row>
    <row r="623" ht="15.75" customHeight="1" s="60">
      <c r="A623" s="41" t="n"/>
      <c r="B623" s="41" t="n"/>
      <c r="C623" s="41" t="n"/>
      <c r="D623" s="41" t="n"/>
      <c r="E623" s="41" t="n"/>
      <c r="F623" s="41" t="n"/>
      <c r="G623" s="41" t="n"/>
      <c r="H623" s="41" t="n"/>
    </row>
    <row r="624" ht="15.75" customHeight="1" s="60">
      <c r="A624" s="41" t="n"/>
      <c r="B624" s="41" t="n"/>
      <c r="C624" s="41" t="n"/>
      <c r="D624" s="41" t="n"/>
      <c r="E624" s="41" t="n"/>
      <c r="F624" s="41" t="n"/>
      <c r="G624" s="41" t="n"/>
      <c r="H624" s="41" t="n"/>
    </row>
    <row r="625" ht="15.75" customHeight="1" s="60">
      <c r="A625" s="41" t="n"/>
      <c r="B625" s="41" t="n"/>
      <c r="C625" s="41" t="n"/>
      <c r="D625" s="41" t="n"/>
      <c r="E625" s="41" t="n"/>
      <c r="F625" s="41" t="n"/>
      <c r="G625" s="41" t="n"/>
      <c r="H625" s="41" t="n"/>
    </row>
    <row r="626" ht="15.75" customHeight="1" s="60">
      <c r="A626" s="41" t="n"/>
      <c r="B626" s="41" t="n"/>
      <c r="C626" s="41" t="n"/>
      <c r="D626" s="41" t="n"/>
      <c r="E626" s="41" t="n"/>
      <c r="F626" s="41" t="n"/>
      <c r="G626" s="41" t="n"/>
      <c r="H626" s="41" t="n"/>
    </row>
    <row r="627" ht="15.75" customHeight="1" s="60">
      <c r="A627" s="41" t="n"/>
      <c r="B627" s="41" t="n"/>
      <c r="C627" s="41" t="n"/>
      <c r="D627" s="41" t="n"/>
      <c r="E627" s="41" t="n"/>
      <c r="F627" s="41" t="n"/>
      <c r="G627" s="41" t="n"/>
      <c r="H627" s="41" t="n"/>
    </row>
    <row r="628" ht="15.75" customHeight="1" s="60">
      <c r="A628" s="41" t="n"/>
      <c r="B628" s="41" t="n"/>
      <c r="C628" s="41" t="n"/>
      <c r="D628" s="41" t="n"/>
      <c r="E628" s="41" t="n"/>
      <c r="F628" s="41" t="n"/>
      <c r="G628" s="41" t="n"/>
      <c r="H628" s="41" t="n"/>
    </row>
    <row r="629" ht="15.75" customHeight="1" s="60">
      <c r="A629" s="41" t="n"/>
      <c r="B629" s="41" t="n"/>
      <c r="C629" s="41" t="n"/>
      <c r="D629" s="41" t="n"/>
      <c r="E629" s="41" t="n"/>
      <c r="F629" s="41" t="n"/>
      <c r="G629" s="41" t="n"/>
      <c r="H629" s="41" t="n"/>
    </row>
    <row r="630" ht="15.75" customHeight="1" s="60">
      <c r="A630" s="41" t="n"/>
      <c r="B630" s="41" t="n"/>
      <c r="C630" s="41" t="n"/>
      <c r="D630" s="41" t="n"/>
      <c r="E630" s="41" t="n"/>
      <c r="F630" s="41" t="n"/>
      <c r="G630" s="41" t="n"/>
      <c r="H630" s="41" t="n"/>
    </row>
    <row r="631" ht="15.75" customHeight="1" s="60">
      <c r="A631" s="41" t="n"/>
      <c r="B631" s="41" t="n"/>
      <c r="C631" s="41" t="n"/>
      <c r="D631" s="41" t="n"/>
      <c r="E631" s="41" t="n"/>
      <c r="F631" s="41" t="n"/>
      <c r="G631" s="41" t="n"/>
      <c r="H631" s="41" t="n"/>
    </row>
    <row r="632" ht="15.75" customHeight="1" s="60">
      <c r="A632" s="41" t="n"/>
      <c r="B632" s="41" t="n"/>
      <c r="C632" s="41" t="n"/>
      <c r="D632" s="41" t="n"/>
      <c r="E632" s="41" t="n"/>
      <c r="F632" s="41" t="n"/>
      <c r="G632" s="41" t="n"/>
      <c r="H632" s="41" t="n"/>
    </row>
    <row r="633" ht="15.75" customHeight="1" s="60">
      <c r="A633" s="41" t="n"/>
      <c r="B633" s="41" t="n"/>
      <c r="C633" s="41" t="n"/>
      <c r="D633" s="41" t="n"/>
      <c r="E633" s="41" t="n"/>
      <c r="F633" s="41" t="n"/>
      <c r="G633" s="41" t="n"/>
      <c r="H633" s="41" t="n"/>
    </row>
    <row r="634" ht="15.75" customHeight="1" s="60">
      <c r="A634" s="41" t="n"/>
      <c r="B634" s="41" t="n"/>
      <c r="C634" s="41" t="n"/>
      <c r="D634" s="41" t="n"/>
      <c r="E634" s="41" t="n"/>
      <c r="F634" s="41" t="n"/>
      <c r="G634" s="41" t="n"/>
      <c r="H634" s="41" t="n"/>
    </row>
    <row r="635" ht="15.75" customHeight="1" s="60">
      <c r="A635" s="41" t="n"/>
      <c r="B635" s="41" t="n"/>
      <c r="C635" s="41" t="n"/>
      <c r="D635" s="41" t="n"/>
      <c r="E635" s="41" t="n"/>
      <c r="F635" s="41" t="n"/>
      <c r="G635" s="41" t="n"/>
      <c r="H635" s="41" t="n"/>
    </row>
    <row r="636" ht="15.75" customHeight="1" s="60">
      <c r="A636" s="41" t="n"/>
      <c r="B636" s="41" t="n"/>
      <c r="C636" s="41" t="n"/>
      <c r="D636" s="41" t="n"/>
      <c r="E636" s="41" t="n"/>
      <c r="F636" s="41" t="n"/>
      <c r="G636" s="41" t="n"/>
      <c r="H636" s="41" t="n"/>
    </row>
    <row r="637" ht="15.75" customHeight="1" s="60">
      <c r="A637" s="41" t="n"/>
      <c r="B637" s="41" t="n"/>
      <c r="C637" s="41" t="n"/>
      <c r="D637" s="41" t="n"/>
      <c r="E637" s="41" t="n"/>
      <c r="F637" s="41" t="n"/>
      <c r="G637" s="41" t="n"/>
      <c r="H637" s="41" t="n"/>
    </row>
    <row r="638" ht="15.75" customHeight="1" s="60">
      <c r="A638" s="41" t="n"/>
      <c r="B638" s="41" t="n"/>
      <c r="C638" s="41" t="n"/>
      <c r="D638" s="41" t="n"/>
      <c r="E638" s="41" t="n"/>
      <c r="F638" s="41" t="n"/>
      <c r="G638" s="41" t="n"/>
      <c r="H638" s="41" t="n"/>
    </row>
    <row r="639" ht="15.75" customHeight="1" s="60">
      <c r="A639" s="41" t="n"/>
      <c r="B639" s="41" t="n"/>
      <c r="C639" s="41" t="n"/>
      <c r="D639" s="41" t="n"/>
      <c r="E639" s="41" t="n"/>
      <c r="F639" s="41" t="n"/>
      <c r="G639" s="41" t="n"/>
      <c r="H639" s="41" t="n"/>
    </row>
    <row r="640" ht="15.75" customHeight="1" s="60">
      <c r="A640" s="41" t="n"/>
      <c r="B640" s="41" t="n"/>
      <c r="C640" s="41" t="n"/>
      <c r="D640" s="41" t="n"/>
      <c r="E640" s="41" t="n"/>
      <c r="F640" s="41" t="n"/>
      <c r="G640" s="41" t="n"/>
      <c r="H640" s="41" t="n"/>
    </row>
    <row r="641" ht="15.75" customHeight="1" s="60">
      <c r="A641" s="41" t="n"/>
      <c r="B641" s="41" t="n"/>
      <c r="C641" s="41" t="n"/>
      <c r="D641" s="41" t="n"/>
      <c r="E641" s="41" t="n"/>
      <c r="F641" s="41" t="n"/>
      <c r="G641" s="41" t="n"/>
      <c r="H641" s="41" t="n"/>
    </row>
    <row r="642" ht="15.75" customHeight="1" s="60">
      <c r="A642" s="41" t="n"/>
      <c r="B642" s="41" t="n"/>
      <c r="C642" s="41" t="n"/>
      <c r="D642" s="41" t="n"/>
      <c r="E642" s="41" t="n"/>
      <c r="F642" s="41" t="n"/>
      <c r="G642" s="41" t="n"/>
      <c r="H642" s="41" t="n"/>
    </row>
    <row r="643" ht="15.75" customHeight="1" s="60">
      <c r="A643" s="41" t="n"/>
      <c r="B643" s="41" t="n"/>
      <c r="C643" s="41" t="n"/>
      <c r="D643" s="41" t="n"/>
      <c r="E643" s="41" t="n"/>
      <c r="F643" s="41" t="n"/>
      <c r="G643" s="41" t="n"/>
      <c r="H643" s="41" t="n"/>
    </row>
    <row r="644" ht="15.75" customHeight="1" s="60">
      <c r="A644" s="41" t="n"/>
      <c r="B644" s="41" t="n"/>
      <c r="C644" s="41" t="n"/>
      <c r="D644" s="41" t="n"/>
      <c r="E644" s="41" t="n"/>
      <c r="F644" s="41" t="n"/>
      <c r="G644" s="41" t="n"/>
      <c r="H644" s="41" t="n"/>
    </row>
    <row r="645" ht="15.75" customHeight="1" s="60">
      <c r="A645" s="41" t="n"/>
      <c r="B645" s="41" t="n"/>
      <c r="C645" s="41" t="n"/>
      <c r="D645" s="41" t="n"/>
      <c r="E645" s="41" t="n"/>
      <c r="F645" s="41" t="n"/>
      <c r="G645" s="41" t="n"/>
      <c r="H645" s="41" t="n"/>
    </row>
    <row r="646" ht="15.75" customHeight="1" s="60">
      <c r="A646" s="41" t="n"/>
      <c r="B646" s="41" t="n"/>
      <c r="C646" s="41" t="n"/>
      <c r="D646" s="41" t="n"/>
      <c r="E646" s="41" t="n"/>
      <c r="F646" s="41" t="n"/>
      <c r="G646" s="41" t="n"/>
      <c r="H646" s="41" t="n"/>
    </row>
    <row r="647" ht="15.75" customHeight="1" s="60">
      <c r="A647" s="41" t="n"/>
      <c r="B647" s="41" t="n"/>
      <c r="C647" s="41" t="n"/>
      <c r="D647" s="41" t="n"/>
      <c r="E647" s="41" t="n"/>
      <c r="F647" s="41" t="n"/>
      <c r="G647" s="41" t="n"/>
      <c r="H647" s="41" t="n"/>
    </row>
    <row r="648" ht="15.75" customHeight="1" s="60">
      <c r="A648" s="41" t="n"/>
      <c r="B648" s="41" t="n"/>
      <c r="C648" s="41" t="n"/>
      <c r="D648" s="41" t="n"/>
      <c r="E648" s="41" t="n"/>
      <c r="F648" s="41" t="n"/>
      <c r="G648" s="41" t="n"/>
      <c r="H648" s="41" t="n"/>
    </row>
    <row r="649" ht="15.75" customHeight="1" s="60">
      <c r="A649" s="41" t="n"/>
      <c r="B649" s="41" t="n"/>
      <c r="C649" s="41" t="n"/>
      <c r="D649" s="41" t="n"/>
      <c r="E649" s="41" t="n"/>
      <c r="F649" s="41" t="n"/>
      <c r="G649" s="41" t="n"/>
      <c r="H649" s="41" t="n"/>
    </row>
    <row r="650" ht="15.75" customHeight="1" s="60">
      <c r="A650" s="41" t="n"/>
      <c r="B650" s="41" t="n"/>
      <c r="C650" s="41" t="n"/>
      <c r="D650" s="41" t="n"/>
      <c r="E650" s="41" t="n"/>
      <c r="F650" s="41" t="n"/>
      <c r="G650" s="41" t="n"/>
      <c r="H650" s="41" t="n"/>
    </row>
    <row r="651" ht="15.75" customHeight="1" s="60">
      <c r="A651" s="41" t="n"/>
      <c r="B651" s="41" t="n"/>
      <c r="C651" s="41" t="n"/>
      <c r="D651" s="41" t="n"/>
      <c r="E651" s="41" t="n"/>
      <c r="F651" s="41" t="n"/>
      <c r="G651" s="41" t="n"/>
      <c r="H651" s="41" t="n"/>
    </row>
    <row r="652" ht="15.75" customHeight="1" s="60">
      <c r="A652" s="41" t="n"/>
      <c r="B652" s="41" t="n"/>
      <c r="C652" s="41" t="n"/>
      <c r="D652" s="41" t="n"/>
      <c r="E652" s="41" t="n"/>
      <c r="F652" s="41" t="n"/>
      <c r="G652" s="41" t="n"/>
      <c r="H652" s="41" t="n"/>
    </row>
    <row r="653" ht="15.75" customHeight="1" s="60">
      <c r="A653" s="41" t="n"/>
      <c r="B653" s="41" t="n"/>
      <c r="C653" s="41" t="n"/>
      <c r="D653" s="41" t="n"/>
      <c r="E653" s="41" t="n"/>
      <c r="F653" s="41" t="n"/>
      <c r="G653" s="41" t="n"/>
      <c r="H653" s="41" t="n"/>
    </row>
    <row r="654" ht="15.75" customHeight="1" s="60">
      <c r="A654" s="41" t="n"/>
      <c r="B654" s="41" t="n"/>
      <c r="C654" s="41" t="n"/>
      <c r="D654" s="41" t="n"/>
      <c r="E654" s="41" t="n"/>
      <c r="F654" s="41" t="n"/>
      <c r="G654" s="41" t="n"/>
      <c r="H654" s="41" t="n"/>
    </row>
    <row r="655" ht="15.75" customHeight="1" s="60">
      <c r="A655" s="41" t="n"/>
      <c r="B655" s="41" t="n"/>
      <c r="C655" s="41" t="n"/>
      <c r="D655" s="41" t="n"/>
      <c r="E655" s="41" t="n"/>
      <c r="F655" s="41" t="n"/>
      <c r="G655" s="41" t="n"/>
      <c r="H655" s="41" t="n"/>
    </row>
    <row r="656" ht="15.75" customHeight="1" s="60">
      <c r="A656" s="41" t="n"/>
      <c r="B656" s="41" t="n"/>
      <c r="C656" s="41" t="n"/>
      <c r="D656" s="41" t="n"/>
      <c r="E656" s="41" t="n"/>
      <c r="F656" s="41" t="n"/>
      <c r="G656" s="41" t="n"/>
      <c r="H656" s="41" t="n"/>
    </row>
    <row r="657" ht="15.75" customHeight="1" s="60">
      <c r="A657" s="41" t="n"/>
      <c r="B657" s="41" t="n"/>
      <c r="C657" s="41" t="n"/>
      <c r="D657" s="41" t="n"/>
      <c r="E657" s="41" t="n"/>
      <c r="F657" s="41" t="n"/>
      <c r="G657" s="41" t="n"/>
      <c r="H657" s="41" t="n"/>
    </row>
    <row r="658" ht="15.75" customHeight="1" s="60">
      <c r="A658" s="41" t="n"/>
      <c r="B658" s="41" t="n"/>
      <c r="C658" s="41" t="n"/>
      <c r="D658" s="41" t="n"/>
      <c r="E658" s="41" t="n"/>
      <c r="F658" s="41" t="n"/>
      <c r="G658" s="41" t="n"/>
      <c r="H658" s="41" t="n"/>
    </row>
    <row r="659" ht="15.75" customHeight="1" s="60">
      <c r="A659" s="41" t="n"/>
      <c r="B659" s="41" t="n"/>
      <c r="C659" s="41" t="n"/>
      <c r="D659" s="41" t="n"/>
      <c r="E659" s="41" t="n"/>
      <c r="F659" s="41" t="n"/>
      <c r="G659" s="41" t="n"/>
      <c r="H659" s="41" t="n"/>
    </row>
    <row r="660" ht="15.75" customHeight="1" s="60">
      <c r="A660" s="41" t="n"/>
      <c r="B660" s="41" t="n"/>
      <c r="C660" s="41" t="n"/>
      <c r="D660" s="41" t="n"/>
      <c r="E660" s="41" t="n"/>
      <c r="F660" s="41" t="n"/>
      <c r="G660" s="41" t="n"/>
      <c r="H660" s="41" t="n"/>
    </row>
    <row r="661" ht="15.75" customHeight="1" s="60">
      <c r="A661" s="41" t="n"/>
      <c r="B661" s="41" t="n"/>
      <c r="C661" s="41" t="n"/>
      <c r="D661" s="41" t="n"/>
      <c r="E661" s="41" t="n"/>
      <c r="F661" s="41" t="n"/>
      <c r="G661" s="41" t="n"/>
      <c r="H661" s="41" t="n"/>
    </row>
    <row r="662" ht="15.75" customHeight="1" s="60">
      <c r="A662" s="41" t="n"/>
      <c r="B662" s="41" t="n"/>
      <c r="C662" s="41" t="n"/>
      <c r="D662" s="41" t="n"/>
      <c r="E662" s="41" t="n"/>
      <c r="F662" s="41" t="n"/>
      <c r="G662" s="41" t="n"/>
      <c r="H662" s="41" t="n"/>
    </row>
    <row r="663" ht="15.75" customHeight="1" s="60">
      <c r="A663" s="41" t="n"/>
      <c r="B663" s="41" t="n"/>
      <c r="C663" s="41" t="n"/>
      <c r="D663" s="41" t="n"/>
      <c r="E663" s="41" t="n"/>
      <c r="F663" s="41" t="n"/>
      <c r="G663" s="41" t="n"/>
      <c r="H663" s="41" t="n"/>
    </row>
    <row r="664" ht="15.75" customHeight="1" s="60">
      <c r="A664" s="41" t="n"/>
      <c r="B664" s="41" t="n"/>
      <c r="C664" s="41" t="n"/>
      <c r="D664" s="41" t="n"/>
      <c r="E664" s="41" t="n"/>
      <c r="F664" s="41" t="n"/>
      <c r="G664" s="41" t="n"/>
      <c r="H664" s="41" t="n"/>
    </row>
    <row r="665" ht="15.75" customHeight="1" s="60">
      <c r="A665" s="41" t="n"/>
      <c r="B665" s="41" t="n"/>
      <c r="C665" s="41" t="n"/>
      <c r="D665" s="41" t="n"/>
      <c r="E665" s="41" t="n"/>
      <c r="F665" s="41" t="n"/>
      <c r="G665" s="41" t="n"/>
      <c r="H665" s="41" t="n"/>
    </row>
    <row r="666" ht="15.75" customHeight="1" s="60">
      <c r="A666" s="41" t="n"/>
      <c r="B666" s="41" t="n"/>
      <c r="C666" s="41" t="n"/>
      <c r="D666" s="41" t="n"/>
      <c r="E666" s="41" t="n"/>
      <c r="F666" s="41" t="n"/>
      <c r="G666" s="41" t="n"/>
      <c r="H666" s="41" t="n"/>
    </row>
    <row r="667" ht="15.75" customHeight="1" s="60">
      <c r="A667" s="41" t="n"/>
      <c r="B667" s="41" t="n"/>
      <c r="C667" s="41" t="n"/>
      <c r="D667" s="41" t="n"/>
      <c r="E667" s="41" t="n"/>
      <c r="F667" s="41" t="n"/>
      <c r="G667" s="41" t="n"/>
      <c r="H667" s="41" t="n"/>
    </row>
    <row r="668" ht="15.75" customHeight="1" s="60">
      <c r="A668" s="41" t="n"/>
      <c r="B668" s="41" t="n"/>
      <c r="C668" s="41" t="n"/>
      <c r="D668" s="41" t="n"/>
      <c r="E668" s="41" t="n"/>
      <c r="F668" s="41" t="n"/>
      <c r="G668" s="41" t="n"/>
      <c r="H668" s="41" t="n"/>
    </row>
    <row r="669" ht="15.75" customHeight="1" s="60">
      <c r="A669" s="41" t="n"/>
      <c r="B669" s="41" t="n"/>
      <c r="C669" s="41" t="n"/>
      <c r="D669" s="41" t="n"/>
      <c r="E669" s="41" t="n"/>
      <c r="F669" s="41" t="n"/>
      <c r="G669" s="41" t="n"/>
      <c r="H669" s="41" t="n"/>
    </row>
    <row r="670" ht="15.75" customHeight="1" s="60">
      <c r="A670" s="41" t="n"/>
      <c r="B670" s="41" t="n"/>
      <c r="C670" s="41" t="n"/>
      <c r="D670" s="41" t="n"/>
      <c r="E670" s="41" t="n"/>
      <c r="F670" s="41" t="n"/>
      <c r="G670" s="41" t="n"/>
      <c r="H670" s="41" t="n"/>
    </row>
    <row r="671" ht="15.75" customHeight="1" s="60">
      <c r="A671" s="41" t="n"/>
      <c r="B671" s="41" t="n"/>
      <c r="C671" s="41" t="n"/>
      <c r="D671" s="41" t="n"/>
      <c r="E671" s="41" t="n"/>
      <c r="F671" s="41" t="n"/>
      <c r="G671" s="41" t="n"/>
      <c r="H671" s="41" t="n"/>
    </row>
    <row r="672" ht="15.75" customHeight="1" s="60">
      <c r="A672" s="41" t="n"/>
      <c r="B672" s="41" t="n"/>
      <c r="C672" s="41" t="n"/>
      <c r="D672" s="41" t="n"/>
      <c r="E672" s="41" t="n"/>
      <c r="F672" s="41" t="n"/>
      <c r="G672" s="41" t="n"/>
      <c r="H672" s="41" t="n"/>
    </row>
    <row r="673" ht="15.75" customHeight="1" s="60">
      <c r="A673" s="41" t="n"/>
      <c r="B673" s="41" t="n"/>
      <c r="C673" s="41" t="n"/>
      <c r="D673" s="41" t="n"/>
      <c r="E673" s="41" t="n"/>
      <c r="F673" s="41" t="n"/>
      <c r="G673" s="41" t="n"/>
      <c r="H673" s="41" t="n"/>
    </row>
    <row r="674" ht="15.75" customHeight="1" s="60">
      <c r="A674" s="41" t="n"/>
      <c r="B674" s="41" t="n"/>
      <c r="C674" s="41" t="n"/>
      <c r="D674" s="41" t="n"/>
      <c r="E674" s="41" t="n"/>
      <c r="F674" s="41" t="n"/>
      <c r="G674" s="41" t="n"/>
      <c r="H674" s="41" t="n"/>
    </row>
    <row r="675" ht="15.75" customHeight="1" s="60">
      <c r="A675" s="41" t="n"/>
      <c r="B675" s="41" t="n"/>
      <c r="C675" s="41" t="n"/>
      <c r="D675" s="41" t="n"/>
      <c r="E675" s="41" t="n"/>
      <c r="F675" s="41" t="n"/>
      <c r="G675" s="41" t="n"/>
      <c r="H675" s="41" t="n"/>
    </row>
    <row r="676" ht="15.75" customHeight="1" s="60">
      <c r="A676" s="41" t="n"/>
      <c r="B676" s="41" t="n"/>
      <c r="C676" s="41" t="n"/>
      <c r="D676" s="41" t="n"/>
      <c r="E676" s="41" t="n"/>
      <c r="F676" s="41" t="n"/>
      <c r="G676" s="41" t="n"/>
      <c r="H676" s="41" t="n"/>
    </row>
    <row r="677" ht="15.75" customHeight="1" s="60">
      <c r="A677" s="41" t="n"/>
      <c r="B677" s="41" t="n"/>
      <c r="C677" s="41" t="n"/>
      <c r="D677" s="41" t="n"/>
      <c r="E677" s="41" t="n"/>
      <c r="F677" s="41" t="n"/>
      <c r="G677" s="41" t="n"/>
      <c r="H677" s="41" t="n"/>
    </row>
    <row r="678" ht="15.75" customHeight="1" s="60">
      <c r="A678" s="41" t="n"/>
      <c r="B678" s="41" t="n"/>
      <c r="C678" s="41" t="n"/>
      <c r="D678" s="41" t="n"/>
      <c r="E678" s="41" t="n"/>
      <c r="F678" s="41" t="n"/>
      <c r="G678" s="41" t="n"/>
      <c r="H678" s="41" t="n"/>
    </row>
    <row r="679" ht="15.75" customHeight="1" s="60">
      <c r="A679" s="41" t="n"/>
      <c r="B679" s="41" t="n"/>
      <c r="C679" s="41" t="n"/>
      <c r="D679" s="41" t="n"/>
      <c r="E679" s="41" t="n"/>
      <c r="F679" s="41" t="n"/>
      <c r="G679" s="41" t="n"/>
      <c r="H679" s="41" t="n"/>
    </row>
    <row r="680" ht="15.75" customHeight="1" s="60">
      <c r="A680" s="41" t="n"/>
      <c r="B680" s="41" t="n"/>
      <c r="C680" s="41" t="n"/>
      <c r="D680" s="41" t="n"/>
      <c r="E680" s="41" t="n"/>
      <c r="F680" s="41" t="n"/>
      <c r="G680" s="41" t="n"/>
      <c r="H680" s="41" t="n"/>
    </row>
    <row r="681" ht="15.75" customHeight="1" s="60">
      <c r="A681" s="41" t="n"/>
      <c r="B681" s="41" t="n"/>
      <c r="C681" s="41" t="n"/>
      <c r="D681" s="41" t="n"/>
      <c r="E681" s="41" t="n"/>
      <c r="F681" s="41" t="n"/>
      <c r="G681" s="41" t="n"/>
      <c r="H681" s="41" t="n"/>
    </row>
    <row r="682" ht="15.75" customHeight="1" s="60">
      <c r="A682" s="41" t="n"/>
      <c r="B682" s="41" t="n"/>
      <c r="C682" s="41" t="n"/>
      <c r="D682" s="41" t="n"/>
      <c r="E682" s="41" t="n"/>
      <c r="F682" s="41" t="n"/>
      <c r="G682" s="41" t="n"/>
      <c r="H682" s="41" t="n"/>
    </row>
    <row r="683" ht="15.75" customHeight="1" s="60">
      <c r="A683" s="41" t="n"/>
      <c r="B683" s="41" t="n"/>
      <c r="C683" s="41" t="n"/>
      <c r="D683" s="41" t="n"/>
      <c r="E683" s="41" t="n"/>
      <c r="F683" s="41" t="n"/>
      <c r="G683" s="41" t="n"/>
      <c r="H683" s="41" t="n"/>
    </row>
    <row r="684" ht="15.75" customHeight="1" s="60">
      <c r="A684" s="41" t="n"/>
      <c r="B684" s="41" t="n"/>
      <c r="C684" s="41" t="n"/>
      <c r="D684" s="41" t="n"/>
      <c r="E684" s="41" t="n"/>
      <c r="F684" s="41" t="n"/>
      <c r="G684" s="41" t="n"/>
      <c r="H684" s="41" t="n"/>
    </row>
    <row r="685" ht="15.75" customHeight="1" s="60">
      <c r="A685" s="41" t="n"/>
      <c r="B685" s="41" t="n"/>
      <c r="C685" s="41" t="n"/>
      <c r="D685" s="41" t="n"/>
      <c r="E685" s="41" t="n"/>
      <c r="F685" s="41" t="n"/>
      <c r="G685" s="41" t="n"/>
      <c r="H685" s="41" t="n"/>
    </row>
    <row r="686" ht="15.75" customHeight="1" s="60">
      <c r="A686" s="41" t="n"/>
      <c r="B686" s="41" t="n"/>
      <c r="C686" s="41" t="n"/>
      <c r="D686" s="41" t="n"/>
      <c r="E686" s="41" t="n"/>
      <c r="F686" s="41" t="n"/>
      <c r="G686" s="41" t="n"/>
      <c r="H686" s="41" t="n"/>
    </row>
    <row r="687" ht="15.75" customHeight="1" s="60">
      <c r="A687" s="41" t="n"/>
      <c r="B687" s="41" t="n"/>
      <c r="C687" s="41" t="n"/>
      <c r="D687" s="41" t="n"/>
      <c r="E687" s="41" t="n"/>
      <c r="F687" s="41" t="n"/>
      <c r="G687" s="41" t="n"/>
      <c r="H687" s="41" t="n"/>
    </row>
    <row r="688" ht="15.75" customHeight="1" s="60">
      <c r="A688" s="41" t="n"/>
      <c r="B688" s="41" t="n"/>
      <c r="C688" s="41" t="n"/>
      <c r="D688" s="41" t="n"/>
      <c r="E688" s="41" t="n"/>
      <c r="F688" s="41" t="n"/>
      <c r="G688" s="41" t="n"/>
      <c r="H688" s="41" t="n"/>
    </row>
    <row r="689" ht="15.75" customHeight="1" s="60">
      <c r="A689" s="41" t="n"/>
      <c r="B689" s="41" t="n"/>
      <c r="C689" s="41" t="n"/>
      <c r="D689" s="41" t="n"/>
      <c r="E689" s="41" t="n"/>
      <c r="F689" s="41" t="n"/>
      <c r="G689" s="41" t="n"/>
      <c r="H689" s="41" t="n"/>
    </row>
    <row r="690" ht="15.75" customHeight="1" s="60">
      <c r="A690" s="41" t="n"/>
      <c r="B690" s="41" t="n"/>
      <c r="C690" s="41" t="n"/>
      <c r="D690" s="41" t="n"/>
      <c r="E690" s="41" t="n"/>
      <c r="F690" s="41" t="n"/>
      <c r="G690" s="41" t="n"/>
      <c r="H690" s="41" t="n"/>
    </row>
    <row r="691" ht="15.75" customHeight="1" s="60">
      <c r="A691" s="41" t="n"/>
      <c r="B691" s="41" t="n"/>
      <c r="C691" s="41" t="n"/>
      <c r="D691" s="41" t="n"/>
      <c r="E691" s="41" t="n"/>
      <c r="F691" s="41" t="n"/>
      <c r="G691" s="41" t="n"/>
      <c r="H691" s="41" t="n"/>
    </row>
    <row r="692" ht="15.75" customHeight="1" s="60">
      <c r="A692" s="41" t="n"/>
      <c r="B692" s="41" t="n"/>
      <c r="C692" s="41" t="n"/>
      <c r="D692" s="41" t="n"/>
      <c r="E692" s="41" t="n"/>
      <c r="F692" s="41" t="n"/>
      <c r="G692" s="41" t="n"/>
      <c r="H692" s="41" t="n"/>
    </row>
    <row r="693" ht="15.75" customHeight="1" s="60">
      <c r="A693" s="41" t="n"/>
      <c r="B693" s="41" t="n"/>
      <c r="C693" s="41" t="n"/>
      <c r="D693" s="41" t="n"/>
      <c r="E693" s="41" t="n"/>
      <c r="F693" s="41" t="n"/>
      <c r="G693" s="41" t="n"/>
      <c r="H693" s="41" t="n"/>
    </row>
    <row r="694" ht="15.75" customHeight="1" s="60">
      <c r="A694" s="41" t="n"/>
      <c r="B694" s="41" t="n"/>
      <c r="C694" s="41" t="n"/>
      <c r="D694" s="41" t="n"/>
      <c r="E694" s="41" t="n"/>
      <c r="F694" s="41" t="n"/>
      <c r="G694" s="41" t="n"/>
      <c r="H694" s="41" t="n"/>
    </row>
    <row r="695" ht="15.75" customHeight="1" s="60">
      <c r="A695" s="41" t="n"/>
      <c r="B695" s="41" t="n"/>
      <c r="C695" s="41" t="n"/>
      <c r="D695" s="41" t="n"/>
      <c r="E695" s="41" t="n"/>
      <c r="F695" s="41" t="n"/>
      <c r="G695" s="41" t="n"/>
      <c r="H695" s="41" t="n"/>
    </row>
    <row r="696" ht="15.75" customHeight="1" s="60">
      <c r="A696" s="41" t="n"/>
      <c r="B696" s="41" t="n"/>
      <c r="C696" s="41" t="n"/>
      <c r="D696" s="41" t="n"/>
      <c r="E696" s="41" t="n"/>
      <c r="F696" s="41" t="n"/>
      <c r="G696" s="41" t="n"/>
      <c r="H696" s="41" t="n"/>
    </row>
    <row r="697" ht="15.75" customHeight="1" s="60">
      <c r="A697" s="41" t="n"/>
      <c r="B697" s="41" t="n"/>
      <c r="C697" s="41" t="n"/>
      <c r="D697" s="41" t="n"/>
      <c r="E697" s="41" t="n"/>
      <c r="F697" s="41" t="n"/>
      <c r="G697" s="41" t="n"/>
      <c r="H697" s="41" t="n"/>
    </row>
    <row r="698" ht="15.75" customHeight="1" s="60">
      <c r="A698" s="41" t="n"/>
      <c r="B698" s="41" t="n"/>
      <c r="C698" s="41" t="n"/>
      <c r="D698" s="41" t="n"/>
      <c r="E698" s="41" t="n"/>
      <c r="F698" s="41" t="n"/>
      <c r="G698" s="41" t="n"/>
      <c r="H698" s="41" t="n"/>
    </row>
    <row r="699" ht="15.75" customHeight="1" s="60">
      <c r="A699" s="41" t="n"/>
      <c r="B699" s="41" t="n"/>
      <c r="C699" s="41" t="n"/>
      <c r="D699" s="41" t="n"/>
      <c r="E699" s="41" t="n"/>
      <c r="F699" s="41" t="n"/>
      <c r="G699" s="41" t="n"/>
      <c r="H699" s="41" t="n"/>
    </row>
    <row r="700" ht="15.75" customHeight="1" s="60">
      <c r="A700" s="41" t="n"/>
      <c r="B700" s="41" t="n"/>
      <c r="C700" s="41" t="n"/>
      <c r="D700" s="41" t="n"/>
      <c r="E700" s="41" t="n"/>
      <c r="F700" s="41" t="n"/>
      <c r="G700" s="41" t="n"/>
      <c r="H700" s="41" t="n"/>
    </row>
    <row r="701" ht="15.75" customHeight="1" s="60">
      <c r="A701" s="41" t="n"/>
      <c r="B701" s="41" t="n"/>
      <c r="C701" s="41" t="n"/>
      <c r="D701" s="41" t="n"/>
      <c r="E701" s="41" t="n"/>
      <c r="F701" s="41" t="n"/>
      <c r="G701" s="41" t="n"/>
      <c r="H701" s="41" t="n"/>
    </row>
    <row r="702" ht="15.75" customHeight="1" s="60">
      <c r="A702" s="41" t="n"/>
      <c r="B702" s="41" t="n"/>
      <c r="C702" s="41" t="n"/>
      <c r="D702" s="41" t="n"/>
      <c r="E702" s="41" t="n"/>
      <c r="F702" s="41" t="n"/>
      <c r="G702" s="41" t="n"/>
      <c r="H702" s="41" t="n"/>
    </row>
    <row r="703" ht="15.75" customHeight="1" s="60">
      <c r="A703" s="41" t="n"/>
      <c r="B703" s="41" t="n"/>
      <c r="C703" s="41" t="n"/>
      <c r="D703" s="41" t="n"/>
      <c r="E703" s="41" t="n"/>
      <c r="F703" s="41" t="n"/>
      <c r="G703" s="41" t="n"/>
      <c r="H703" s="41" t="n"/>
    </row>
    <row r="704" ht="15.75" customHeight="1" s="60">
      <c r="A704" s="41" t="n"/>
      <c r="B704" s="41" t="n"/>
      <c r="C704" s="41" t="n"/>
      <c r="D704" s="41" t="n"/>
      <c r="E704" s="41" t="n"/>
      <c r="F704" s="41" t="n"/>
      <c r="G704" s="41" t="n"/>
      <c r="H704" s="41" t="n"/>
    </row>
    <row r="705" ht="15.75" customHeight="1" s="60">
      <c r="A705" s="41" t="n"/>
      <c r="B705" s="41" t="n"/>
      <c r="C705" s="41" t="n"/>
      <c r="D705" s="41" t="n"/>
      <c r="E705" s="41" t="n"/>
      <c r="F705" s="41" t="n"/>
      <c r="G705" s="41" t="n"/>
      <c r="H705" s="41" t="n"/>
    </row>
    <row r="706" ht="15.75" customHeight="1" s="60">
      <c r="A706" s="41" t="n"/>
      <c r="B706" s="41" t="n"/>
      <c r="C706" s="41" t="n"/>
      <c r="D706" s="41" t="n"/>
      <c r="E706" s="41" t="n"/>
      <c r="F706" s="41" t="n"/>
      <c r="G706" s="41" t="n"/>
      <c r="H706" s="41" t="n"/>
    </row>
    <row r="707" ht="15.75" customHeight="1" s="60">
      <c r="A707" s="41" t="n"/>
      <c r="B707" s="41" t="n"/>
      <c r="C707" s="41" t="n"/>
      <c r="D707" s="41" t="n"/>
      <c r="E707" s="41" t="n"/>
      <c r="F707" s="41" t="n"/>
      <c r="G707" s="41" t="n"/>
      <c r="H707" s="41" t="n"/>
    </row>
    <row r="708" ht="15.75" customHeight="1" s="60">
      <c r="A708" s="41" t="n"/>
      <c r="B708" s="41" t="n"/>
      <c r="C708" s="41" t="n"/>
      <c r="D708" s="41" t="n"/>
      <c r="E708" s="41" t="n"/>
      <c r="F708" s="41" t="n"/>
      <c r="G708" s="41" t="n"/>
      <c r="H708" s="41" t="n"/>
    </row>
    <row r="709" ht="15.75" customHeight="1" s="60">
      <c r="A709" s="41" t="n"/>
      <c r="B709" s="41" t="n"/>
      <c r="C709" s="41" t="n"/>
      <c r="D709" s="41" t="n"/>
      <c r="E709" s="41" t="n"/>
      <c r="F709" s="41" t="n"/>
      <c r="G709" s="41" t="n"/>
      <c r="H709" s="41" t="n"/>
    </row>
    <row r="710" ht="15.75" customHeight="1" s="60">
      <c r="A710" s="41" t="n"/>
      <c r="B710" s="41" t="n"/>
      <c r="C710" s="41" t="n"/>
      <c r="D710" s="41" t="n"/>
      <c r="E710" s="41" t="n"/>
      <c r="F710" s="41" t="n"/>
      <c r="G710" s="41" t="n"/>
      <c r="H710" s="41" t="n"/>
    </row>
    <row r="711" ht="15.75" customHeight="1" s="60">
      <c r="A711" s="41" t="n"/>
      <c r="B711" s="41" t="n"/>
      <c r="C711" s="41" t="n"/>
      <c r="D711" s="41" t="n"/>
      <c r="E711" s="41" t="n"/>
      <c r="F711" s="41" t="n"/>
      <c r="G711" s="41" t="n"/>
      <c r="H711" s="41" t="n"/>
    </row>
    <row r="712" ht="15.75" customHeight="1" s="60">
      <c r="A712" s="41" t="n"/>
      <c r="B712" s="41" t="n"/>
      <c r="C712" s="41" t="n"/>
      <c r="D712" s="41" t="n"/>
      <c r="E712" s="41" t="n"/>
      <c r="F712" s="41" t="n"/>
      <c r="G712" s="41" t="n"/>
      <c r="H712" s="41" t="n"/>
    </row>
    <row r="713" ht="15.75" customHeight="1" s="60">
      <c r="A713" s="41" t="n"/>
      <c r="B713" s="41" t="n"/>
      <c r="C713" s="41" t="n"/>
      <c r="D713" s="41" t="n"/>
      <c r="E713" s="41" t="n"/>
      <c r="F713" s="41" t="n"/>
      <c r="G713" s="41" t="n"/>
      <c r="H713" s="41" t="n"/>
    </row>
    <row r="714" ht="15.75" customHeight="1" s="60">
      <c r="A714" s="41" t="n"/>
      <c r="B714" s="41" t="n"/>
      <c r="C714" s="41" t="n"/>
      <c r="D714" s="41" t="n"/>
      <c r="E714" s="41" t="n"/>
      <c r="F714" s="41" t="n"/>
      <c r="G714" s="41" t="n"/>
      <c r="H714" s="41" t="n"/>
    </row>
    <row r="715" ht="15.75" customHeight="1" s="60">
      <c r="A715" s="41" t="n"/>
      <c r="B715" s="41" t="n"/>
      <c r="C715" s="41" t="n"/>
      <c r="D715" s="41" t="n"/>
      <c r="E715" s="41" t="n"/>
      <c r="F715" s="41" t="n"/>
      <c r="G715" s="41" t="n"/>
      <c r="H715" s="41" t="n"/>
    </row>
    <row r="716" ht="15.75" customHeight="1" s="60">
      <c r="A716" s="41" t="n"/>
      <c r="B716" s="41" t="n"/>
      <c r="C716" s="41" t="n"/>
      <c r="D716" s="41" t="n"/>
      <c r="E716" s="41" t="n"/>
      <c r="F716" s="41" t="n"/>
      <c r="G716" s="41" t="n"/>
      <c r="H716" s="41" t="n"/>
    </row>
    <row r="717" ht="15.75" customHeight="1" s="60">
      <c r="A717" s="41" t="n"/>
      <c r="B717" s="41" t="n"/>
      <c r="C717" s="41" t="n"/>
      <c r="D717" s="41" t="n"/>
      <c r="E717" s="41" t="n"/>
      <c r="F717" s="41" t="n"/>
      <c r="G717" s="41" t="n"/>
      <c r="H717" s="41" t="n"/>
    </row>
    <row r="718" ht="15.75" customHeight="1" s="60">
      <c r="A718" s="41" t="n"/>
      <c r="B718" s="41" t="n"/>
      <c r="C718" s="41" t="n"/>
      <c r="D718" s="41" t="n"/>
      <c r="E718" s="41" t="n"/>
      <c r="F718" s="41" t="n"/>
      <c r="G718" s="41" t="n"/>
      <c r="H718" s="41" t="n"/>
    </row>
    <row r="719" ht="15.75" customHeight="1" s="60">
      <c r="A719" s="41" t="n"/>
      <c r="B719" s="41" t="n"/>
      <c r="C719" s="41" t="n"/>
      <c r="D719" s="41" t="n"/>
      <c r="E719" s="41" t="n"/>
      <c r="F719" s="41" t="n"/>
      <c r="G719" s="41" t="n"/>
      <c r="H719" s="41" t="n"/>
    </row>
    <row r="720" ht="15.75" customHeight="1" s="60">
      <c r="A720" s="41" t="n"/>
      <c r="B720" s="41" t="n"/>
      <c r="C720" s="41" t="n"/>
      <c r="D720" s="41" t="n"/>
      <c r="E720" s="41" t="n"/>
      <c r="F720" s="41" t="n"/>
      <c r="G720" s="41" t="n"/>
      <c r="H720" s="41" t="n"/>
    </row>
    <row r="721" ht="15.75" customHeight="1" s="60">
      <c r="A721" s="41" t="n"/>
      <c r="B721" s="41" t="n"/>
      <c r="C721" s="41" t="n"/>
      <c r="D721" s="41" t="n"/>
      <c r="E721" s="41" t="n"/>
      <c r="F721" s="41" t="n"/>
      <c r="G721" s="41" t="n"/>
      <c r="H721" s="41" t="n"/>
    </row>
    <row r="722" ht="15.75" customHeight="1" s="60">
      <c r="A722" s="41" t="n"/>
      <c r="B722" s="41" t="n"/>
      <c r="C722" s="41" t="n"/>
      <c r="D722" s="41" t="n"/>
      <c r="E722" s="41" t="n"/>
      <c r="F722" s="41" t="n"/>
      <c r="G722" s="41" t="n"/>
      <c r="H722" s="41" t="n"/>
    </row>
    <row r="723" ht="15.75" customHeight="1" s="60">
      <c r="A723" s="41" t="n"/>
      <c r="B723" s="41" t="n"/>
      <c r="C723" s="41" t="n"/>
      <c r="D723" s="41" t="n"/>
      <c r="E723" s="41" t="n"/>
      <c r="F723" s="41" t="n"/>
      <c r="G723" s="41" t="n"/>
      <c r="H723" s="41" t="n"/>
    </row>
    <row r="724" ht="15.75" customHeight="1" s="60">
      <c r="A724" s="41" t="n"/>
      <c r="B724" s="41" t="n"/>
      <c r="C724" s="41" t="n"/>
      <c r="D724" s="41" t="n"/>
      <c r="E724" s="41" t="n"/>
      <c r="F724" s="41" t="n"/>
      <c r="G724" s="41" t="n"/>
      <c r="H724" s="41" t="n"/>
    </row>
    <row r="725" ht="15.75" customHeight="1" s="60">
      <c r="A725" s="41" t="n"/>
      <c r="B725" s="41" t="n"/>
      <c r="C725" s="41" t="n"/>
      <c r="D725" s="41" t="n"/>
      <c r="E725" s="41" t="n"/>
      <c r="F725" s="41" t="n"/>
      <c r="G725" s="41" t="n"/>
      <c r="H725" s="41" t="n"/>
    </row>
    <row r="726" ht="15.75" customHeight="1" s="60">
      <c r="A726" s="41" t="n"/>
      <c r="B726" s="41" t="n"/>
      <c r="C726" s="41" t="n"/>
      <c r="D726" s="41" t="n"/>
      <c r="E726" s="41" t="n"/>
      <c r="F726" s="41" t="n"/>
      <c r="G726" s="41" t="n"/>
      <c r="H726" s="41" t="n"/>
    </row>
    <row r="727" ht="15.75" customHeight="1" s="60">
      <c r="A727" s="41" t="n"/>
      <c r="B727" s="41" t="n"/>
      <c r="C727" s="41" t="n"/>
      <c r="D727" s="41" t="n"/>
      <c r="E727" s="41" t="n"/>
      <c r="F727" s="41" t="n"/>
      <c r="G727" s="41" t="n"/>
      <c r="H727" s="41" t="n"/>
    </row>
    <row r="728" ht="15.75" customHeight="1" s="60">
      <c r="A728" s="41" t="n"/>
      <c r="B728" s="41" t="n"/>
      <c r="C728" s="41" t="n"/>
      <c r="D728" s="41" t="n"/>
      <c r="E728" s="41" t="n"/>
      <c r="F728" s="41" t="n"/>
      <c r="G728" s="41" t="n"/>
      <c r="H728" s="41" t="n"/>
    </row>
    <row r="729" ht="15.75" customHeight="1" s="60">
      <c r="A729" s="41" t="n"/>
      <c r="B729" s="41" t="n"/>
      <c r="C729" s="41" t="n"/>
      <c r="D729" s="41" t="n"/>
      <c r="E729" s="41" t="n"/>
      <c r="F729" s="41" t="n"/>
      <c r="G729" s="41" t="n"/>
      <c r="H729" s="41" t="n"/>
    </row>
    <row r="730" ht="15.75" customHeight="1" s="60">
      <c r="A730" s="41" t="n"/>
      <c r="B730" s="41" t="n"/>
      <c r="C730" s="41" t="n"/>
      <c r="D730" s="41" t="n"/>
      <c r="E730" s="41" t="n"/>
      <c r="F730" s="41" t="n"/>
      <c r="G730" s="41" t="n"/>
      <c r="H730" s="41" t="n"/>
    </row>
    <row r="731" ht="15.75" customHeight="1" s="60">
      <c r="A731" s="41" t="n"/>
      <c r="B731" s="41" t="n"/>
      <c r="C731" s="41" t="n"/>
      <c r="D731" s="41" t="n"/>
      <c r="E731" s="41" t="n"/>
      <c r="F731" s="41" t="n"/>
      <c r="G731" s="41" t="n"/>
      <c r="H731" s="41" t="n"/>
    </row>
    <row r="732" ht="15.75" customHeight="1" s="60">
      <c r="A732" s="41" t="n"/>
      <c r="B732" s="41" t="n"/>
      <c r="C732" s="41" t="n"/>
      <c r="D732" s="41" t="n"/>
      <c r="E732" s="41" t="n"/>
      <c r="F732" s="41" t="n"/>
      <c r="G732" s="41" t="n"/>
      <c r="H732" s="41" t="n"/>
    </row>
    <row r="733" ht="15.75" customHeight="1" s="60">
      <c r="A733" s="41" t="n"/>
      <c r="B733" s="41" t="n"/>
      <c r="C733" s="41" t="n"/>
      <c r="D733" s="41" t="n"/>
      <c r="E733" s="41" t="n"/>
      <c r="F733" s="41" t="n"/>
      <c r="G733" s="41" t="n"/>
      <c r="H733" s="41" t="n"/>
    </row>
    <row r="734" ht="15.75" customHeight="1" s="60">
      <c r="A734" s="41" t="n"/>
      <c r="B734" s="41" t="n"/>
      <c r="C734" s="41" t="n"/>
      <c r="D734" s="41" t="n"/>
      <c r="E734" s="41" t="n"/>
      <c r="F734" s="41" t="n"/>
      <c r="G734" s="41" t="n"/>
      <c r="H734" s="41" t="n"/>
    </row>
    <row r="735" ht="15.75" customHeight="1" s="60">
      <c r="A735" s="41" t="n"/>
      <c r="B735" s="41" t="n"/>
      <c r="C735" s="41" t="n"/>
      <c r="D735" s="41" t="n"/>
      <c r="E735" s="41" t="n"/>
      <c r="F735" s="41" t="n"/>
      <c r="G735" s="41" t="n"/>
      <c r="H735" s="41" t="n"/>
    </row>
    <row r="736" ht="15.75" customHeight="1" s="60">
      <c r="A736" s="41" t="n"/>
      <c r="B736" s="41" t="n"/>
      <c r="C736" s="41" t="n"/>
      <c r="D736" s="41" t="n"/>
      <c r="E736" s="41" t="n"/>
      <c r="F736" s="41" t="n"/>
      <c r="G736" s="41" t="n"/>
      <c r="H736" s="41" t="n"/>
    </row>
    <row r="737" ht="15.75" customHeight="1" s="60">
      <c r="A737" s="41" t="n"/>
      <c r="B737" s="41" t="n"/>
      <c r="C737" s="41" t="n"/>
      <c r="D737" s="41" t="n"/>
      <c r="E737" s="41" t="n"/>
      <c r="F737" s="41" t="n"/>
      <c r="G737" s="41" t="n"/>
      <c r="H737" s="41" t="n"/>
    </row>
    <row r="738" ht="15.75" customHeight="1" s="60">
      <c r="A738" s="41" t="n"/>
      <c r="B738" s="41" t="n"/>
      <c r="C738" s="41" t="n"/>
      <c r="D738" s="41" t="n"/>
      <c r="E738" s="41" t="n"/>
      <c r="F738" s="41" t="n"/>
      <c r="G738" s="41" t="n"/>
      <c r="H738" s="41" t="n"/>
    </row>
    <row r="739" ht="15.75" customHeight="1" s="60">
      <c r="A739" s="41" t="n"/>
      <c r="B739" s="41" t="n"/>
      <c r="C739" s="41" t="n"/>
      <c r="D739" s="41" t="n"/>
      <c r="E739" s="41" t="n"/>
      <c r="F739" s="41" t="n"/>
      <c r="G739" s="41" t="n"/>
      <c r="H739" s="41" t="n"/>
    </row>
    <row r="740" ht="15.75" customHeight="1" s="60">
      <c r="A740" s="41" t="n"/>
      <c r="B740" s="41" t="n"/>
      <c r="C740" s="41" t="n"/>
      <c r="D740" s="41" t="n"/>
      <c r="E740" s="41" t="n"/>
      <c r="F740" s="41" t="n"/>
      <c r="G740" s="41" t="n"/>
      <c r="H740" s="41" t="n"/>
    </row>
    <row r="741" ht="15.75" customHeight="1" s="60">
      <c r="A741" s="41" t="n"/>
      <c r="B741" s="41" t="n"/>
      <c r="C741" s="41" t="n"/>
      <c r="D741" s="41" t="n"/>
      <c r="E741" s="41" t="n"/>
      <c r="F741" s="41" t="n"/>
      <c r="G741" s="41" t="n"/>
      <c r="H741" s="41" t="n"/>
    </row>
    <row r="742" ht="15.75" customHeight="1" s="60">
      <c r="A742" s="41" t="n"/>
      <c r="B742" s="41" t="n"/>
      <c r="C742" s="41" t="n"/>
      <c r="D742" s="41" t="n"/>
      <c r="E742" s="41" t="n"/>
      <c r="F742" s="41" t="n"/>
      <c r="G742" s="41" t="n"/>
      <c r="H742" s="41" t="n"/>
    </row>
    <row r="743" ht="15.75" customHeight="1" s="60">
      <c r="A743" s="41" t="n"/>
      <c r="B743" s="41" t="n"/>
      <c r="C743" s="41" t="n"/>
      <c r="D743" s="41" t="n"/>
      <c r="E743" s="41" t="n"/>
      <c r="F743" s="41" t="n"/>
      <c r="G743" s="41" t="n"/>
      <c r="H743" s="41" t="n"/>
    </row>
    <row r="744" ht="15.75" customHeight="1" s="60">
      <c r="A744" s="41" t="n"/>
      <c r="B744" s="41" t="n"/>
      <c r="C744" s="41" t="n"/>
      <c r="D744" s="41" t="n"/>
      <c r="E744" s="41" t="n"/>
      <c r="F744" s="41" t="n"/>
      <c r="G744" s="41" t="n"/>
      <c r="H744" s="41" t="n"/>
    </row>
    <row r="745" ht="15.75" customHeight="1" s="60">
      <c r="A745" s="41" t="n"/>
      <c r="B745" s="41" t="n"/>
      <c r="C745" s="41" t="n"/>
      <c r="D745" s="41" t="n"/>
      <c r="E745" s="41" t="n"/>
      <c r="F745" s="41" t="n"/>
      <c r="G745" s="41" t="n"/>
      <c r="H745" s="41" t="n"/>
    </row>
    <row r="746" ht="15.75" customHeight="1" s="60">
      <c r="A746" s="41" t="n"/>
      <c r="B746" s="41" t="n"/>
      <c r="C746" s="41" t="n"/>
      <c r="D746" s="41" t="n"/>
      <c r="E746" s="41" t="n"/>
      <c r="F746" s="41" t="n"/>
      <c r="G746" s="41" t="n"/>
      <c r="H746" s="41" t="n"/>
    </row>
    <row r="747" ht="15.75" customHeight="1" s="60">
      <c r="A747" s="41" t="n"/>
      <c r="B747" s="41" t="n"/>
      <c r="C747" s="41" t="n"/>
      <c r="D747" s="41" t="n"/>
      <c r="E747" s="41" t="n"/>
      <c r="F747" s="41" t="n"/>
      <c r="G747" s="41" t="n"/>
      <c r="H747" s="41" t="n"/>
    </row>
    <row r="748" ht="15.75" customHeight="1" s="60">
      <c r="A748" s="41" t="n"/>
      <c r="B748" s="41" t="n"/>
      <c r="C748" s="41" t="n"/>
      <c r="D748" s="41" t="n"/>
      <c r="E748" s="41" t="n"/>
      <c r="F748" s="41" t="n"/>
      <c r="G748" s="41" t="n"/>
      <c r="H748" s="41" t="n"/>
    </row>
    <row r="749" ht="15.75" customHeight="1" s="60">
      <c r="A749" s="41" t="n"/>
      <c r="B749" s="41" t="n"/>
      <c r="C749" s="41" t="n"/>
      <c r="D749" s="41" t="n"/>
      <c r="E749" s="41" t="n"/>
      <c r="F749" s="41" t="n"/>
      <c r="G749" s="41" t="n"/>
      <c r="H749" s="41" t="n"/>
    </row>
    <row r="750" ht="15.75" customHeight="1" s="60">
      <c r="A750" s="41" t="n"/>
      <c r="B750" s="41" t="n"/>
      <c r="C750" s="41" t="n"/>
      <c r="D750" s="41" t="n"/>
      <c r="E750" s="41" t="n"/>
      <c r="F750" s="41" t="n"/>
      <c r="G750" s="41" t="n"/>
      <c r="H750" s="41" t="n"/>
    </row>
    <row r="751" ht="15.75" customHeight="1" s="60">
      <c r="A751" s="41" t="n"/>
      <c r="B751" s="41" t="n"/>
      <c r="C751" s="41" t="n"/>
      <c r="D751" s="41" t="n"/>
      <c r="E751" s="41" t="n"/>
      <c r="F751" s="41" t="n"/>
      <c r="G751" s="41" t="n"/>
      <c r="H751" s="41" t="n"/>
    </row>
    <row r="752" ht="15.75" customHeight="1" s="60">
      <c r="A752" s="41" t="n"/>
      <c r="B752" s="41" t="n"/>
      <c r="C752" s="41" t="n"/>
      <c r="D752" s="41" t="n"/>
      <c r="E752" s="41" t="n"/>
      <c r="F752" s="41" t="n"/>
      <c r="G752" s="41" t="n"/>
      <c r="H752" s="41" t="n"/>
    </row>
    <row r="753" ht="15.75" customHeight="1" s="60">
      <c r="A753" s="41" t="n"/>
      <c r="B753" s="41" t="n"/>
      <c r="C753" s="41" t="n"/>
      <c r="D753" s="41" t="n"/>
      <c r="E753" s="41" t="n"/>
      <c r="F753" s="41" t="n"/>
      <c r="G753" s="41" t="n"/>
      <c r="H753" s="41" t="n"/>
    </row>
    <row r="754" ht="15.75" customHeight="1" s="60">
      <c r="A754" s="41" t="n"/>
      <c r="B754" s="41" t="n"/>
      <c r="C754" s="41" t="n"/>
      <c r="D754" s="41" t="n"/>
      <c r="E754" s="41" t="n"/>
      <c r="F754" s="41" t="n"/>
      <c r="G754" s="41" t="n"/>
      <c r="H754" s="41" t="n"/>
    </row>
    <row r="755" ht="15.75" customHeight="1" s="60">
      <c r="A755" s="41" t="n"/>
      <c r="B755" s="41" t="n"/>
      <c r="C755" s="41" t="n"/>
      <c r="D755" s="41" t="n"/>
      <c r="E755" s="41" t="n"/>
      <c r="F755" s="41" t="n"/>
      <c r="G755" s="41" t="n"/>
      <c r="H755" s="41" t="n"/>
    </row>
    <row r="756" ht="15.75" customHeight="1" s="60">
      <c r="A756" s="41" t="n"/>
      <c r="B756" s="41" t="n"/>
      <c r="C756" s="41" t="n"/>
      <c r="D756" s="41" t="n"/>
      <c r="E756" s="41" t="n"/>
      <c r="F756" s="41" t="n"/>
      <c r="G756" s="41" t="n"/>
      <c r="H756" s="41" t="n"/>
    </row>
    <row r="757" ht="15.75" customHeight="1" s="60">
      <c r="A757" s="41" t="n"/>
      <c r="B757" s="41" t="n"/>
      <c r="C757" s="41" t="n"/>
      <c r="D757" s="41" t="n"/>
      <c r="E757" s="41" t="n"/>
      <c r="F757" s="41" t="n"/>
      <c r="G757" s="41" t="n"/>
      <c r="H757" s="41" t="n"/>
    </row>
    <row r="758" ht="15.75" customHeight="1" s="60">
      <c r="A758" s="41" t="n"/>
      <c r="B758" s="41" t="n"/>
      <c r="C758" s="41" t="n"/>
      <c r="D758" s="41" t="n"/>
      <c r="E758" s="41" t="n"/>
      <c r="F758" s="41" t="n"/>
      <c r="G758" s="41" t="n"/>
      <c r="H758" s="41" t="n"/>
    </row>
    <row r="759" ht="15.75" customHeight="1" s="60">
      <c r="A759" s="41" t="n"/>
      <c r="B759" s="41" t="n"/>
      <c r="C759" s="41" t="n"/>
      <c r="D759" s="41" t="n"/>
      <c r="E759" s="41" t="n"/>
      <c r="F759" s="41" t="n"/>
      <c r="G759" s="41" t="n"/>
      <c r="H759" s="41" t="n"/>
    </row>
    <row r="760" ht="15.75" customHeight="1" s="60">
      <c r="A760" s="41" t="n"/>
      <c r="B760" s="41" t="n"/>
      <c r="C760" s="41" t="n"/>
      <c r="D760" s="41" t="n"/>
      <c r="E760" s="41" t="n"/>
      <c r="F760" s="41" t="n"/>
      <c r="G760" s="41" t="n"/>
      <c r="H760" s="41" t="n"/>
    </row>
    <row r="761" ht="15.75" customHeight="1" s="60">
      <c r="A761" s="41" t="n"/>
      <c r="B761" s="41" t="n"/>
      <c r="C761" s="41" t="n"/>
      <c r="D761" s="41" t="n"/>
      <c r="E761" s="41" t="n"/>
      <c r="F761" s="41" t="n"/>
      <c r="G761" s="41" t="n"/>
      <c r="H761" s="41" t="n"/>
    </row>
    <row r="762" ht="15.75" customHeight="1" s="60">
      <c r="A762" s="41" t="n"/>
      <c r="B762" s="41" t="n"/>
      <c r="C762" s="41" t="n"/>
      <c r="D762" s="41" t="n"/>
      <c r="E762" s="41" t="n"/>
      <c r="F762" s="41" t="n"/>
      <c r="G762" s="41" t="n"/>
      <c r="H762" s="41" t="n"/>
    </row>
    <row r="763" ht="15.75" customHeight="1" s="60">
      <c r="A763" s="41" t="n"/>
      <c r="B763" s="41" t="n"/>
      <c r="C763" s="41" t="n"/>
      <c r="D763" s="41" t="n"/>
      <c r="E763" s="41" t="n"/>
      <c r="F763" s="41" t="n"/>
      <c r="G763" s="41" t="n"/>
      <c r="H763" s="41" t="n"/>
    </row>
    <row r="764" ht="15.75" customHeight="1" s="60">
      <c r="A764" s="41" t="n"/>
      <c r="B764" s="41" t="n"/>
      <c r="C764" s="41" t="n"/>
      <c r="D764" s="41" t="n"/>
      <c r="E764" s="41" t="n"/>
      <c r="F764" s="41" t="n"/>
      <c r="G764" s="41" t="n"/>
      <c r="H764" s="41" t="n"/>
    </row>
    <row r="765" ht="15.75" customHeight="1" s="60">
      <c r="A765" s="41" t="n"/>
      <c r="B765" s="41" t="n"/>
      <c r="C765" s="41" t="n"/>
      <c r="D765" s="41" t="n"/>
      <c r="E765" s="41" t="n"/>
      <c r="F765" s="41" t="n"/>
      <c r="G765" s="41" t="n"/>
      <c r="H765" s="41" t="n"/>
    </row>
    <row r="766" ht="15.75" customHeight="1" s="60">
      <c r="A766" s="41" t="n"/>
      <c r="B766" s="41" t="n"/>
      <c r="C766" s="41" t="n"/>
      <c r="D766" s="41" t="n"/>
      <c r="E766" s="41" t="n"/>
      <c r="F766" s="41" t="n"/>
      <c r="G766" s="41" t="n"/>
      <c r="H766" s="41" t="n"/>
    </row>
    <row r="767" ht="15.75" customHeight="1" s="60">
      <c r="A767" s="41" t="n"/>
      <c r="B767" s="41" t="n"/>
      <c r="C767" s="41" t="n"/>
      <c r="D767" s="41" t="n"/>
      <c r="E767" s="41" t="n"/>
      <c r="F767" s="41" t="n"/>
      <c r="G767" s="41" t="n"/>
      <c r="H767" s="41" t="n"/>
    </row>
    <row r="768" ht="15.75" customHeight="1" s="60">
      <c r="A768" s="41" t="n"/>
      <c r="B768" s="41" t="n"/>
      <c r="C768" s="41" t="n"/>
      <c r="D768" s="41" t="n"/>
      <c r="E768" s="41" t="n"/>
      <c r="F768" s="41" t="n"/>
      <c r="G768" s="41" t="n"/>
      <c r="H768" s="41" t="n"/>
    </row>
    <row r="769" ht="15.75" customHeight="1" s="60">
      <c r="A769" s="41" t="n"/>
      <c r="B769" s="41" t="n"/>
      <c r="C769" s="41" t="n"/>
      <c r="D769" s="41" t="n"/>
      <c r="E769" s="41" t="n"/>
      <c r="F769" s="41" t="n"/>
      <c r="G769" s="41" t="n"/>
      <c r="H769" s="41" t="n"/>
    </row>
    <row r="770" ht="15.75" customHeight="1" s="60">
      <c r="A770" s="41" t="n"/>
      <c r="B770" s="41" t="n"/>
      <c r="C770" s="41" t="n"/>
      <c r="D770" s="41" t="n"/>
      <c r="E770" s="41" t="n"/>
      <c r="F770" s="41" t="n"/>
      <c r="G770" s="41" t="n"/>
      <c r="H770" s="41" t="n"/>
    </row>
    <row r="771" ht="15.75" customHeight="1" s="60">
      <c r="A771" s="41" t="n"/>
      <c r="B771" s="41" t="n"/>
      <c r="C771" s="41" t="n"/>
      <c r="D771" s="41" t="n"/>
      <c r="E771" s="41" t="n"/>
      <c r="F771" s="41" t="n"/>
      <c r="G771" s="41" t="n"/>
      <c r="H771" s="41" t="n"/>
    </row>
    <row r="772" ht="15.75" customHeight="1" s="60">
      <c r="A772" s="41" t="n"/>
      <c r="B772" s="41" t="n"/>
      <c r="C772" s="41" t="n"/>
      <c r="D772" s="41" t="n"/>
      <c r="E772" s="41" t="n"/>
      <c r="F772" s="41" t="n"/>
      <c r="G772" s="41" t="n"/>
      <c r="H772" s="41" t="n"/>
    </row>
    <row r="773" ht="15.75" customHeight="1" s="60">
      <c r="A773" s="41" t="n"/>
      <c r="B773" s="41" t="n"/>
      <c r="C773" s="41" t="n"/>
      <c r="D773" s="41" t="n"/>
      <c r="E773" s="41" t="n"/>
      <c r="F773" s="41" t="n"/>
      <c r="G773" s="41" t="n"/>
      <c r="H773" s="41" t="n"/>
    </row>
    <row r="774" ht="15.75" customHeight="1" s="60">
      <c r="A774" s="41" t="n"/>
      <c r="B774" s="41" t="n"/>
      <c r="C774" s="41" t="n"/>
      <c r="D774" s="41" t="n"/>
      <c r="E774" s="41" t="n"/>
      <c r="F774" s="41" t="n"/>
      <c r="G774" s="41" t="n"/>
      <c r="H774" s="41" t="n"/>
    </row>
    <row r="775" ht="15.75" customHeight="1" s="60">
      <c r="A775" s="41" t="n"/>
      <c r="B775" s="41" t="n"/>
      <c r="C775" s="41" t="n"/>
      <c r="D775" s="41" t="n"/>
      <c r="E775" s="41" t="n"/>
      <c r="F775" s="41" t="n"/>
      <c r="G775" s="41" t="n"/>
      <c r="H775" s="41" t="n"/>
    </row>
    <row r="776" ht="15.75" customHeight="1" s="60">
      <c r="A776" s="41" t="n"/>
      <c r="B776" s="41" t="n"/>
      <c r="C776" s="41" t="n"/>
      <c r="D776" s="41" t="n"/>
      <c r="E776" s="41" t="n"/>
      <c r="F776" s="41" t="n"/>
      <c r="G776" s="41" t="n"/>
      <c r="H776" s="41" t="n"/>
    </row>
    <row r="777" ht="15.75" customHeight="1" s="60">
      <c r="A777" s="41" t="n"/>
      <c r="B777" s="41" t="n"/>
      <c r="C777" s="41" t="n"/>
      <c r="D777" s="41" t="n"/>
      <c r="E777" s="41" t="n"/>
      <c r="F777" s="41" t="n"/>
      <c r="G777" s="41" t="n"/>
      <c r="H777" s="41" t="n"/>
    </row>
    <row r="778" ht="15.75" customHeight="1" s="60">
      <c r="A778" s="41" t="n"/>
      <c r="B778" s="41" t="n"/>
      <c r="C778" s="41" t="n"/>
      <c r="D778" s="41" t="n"/>
      <c r="E778" s="41" t="n"/>
      <c r="F778" s="41" t="n"/>
      <c r="G778" s="41" t="n"/>
      <c r="H778" s="41" t="n"/>
    </row>
    <row r="779" ht="15.75" customHeight="1" s="60">
      <c r="A779" s="41" t="n"/>
      <c r="B779" s="41" t="n"/>
      <c r="C779" s="41" t="n"/>
      <c r="D779" s="41" t="n"/>
      <c r="E779" s="41" t="n"/>
      <c r="F779" s="41" t="n"/>
      <c r="G779" s="41" t="n"/>
      <c r="H779" s="41" t="n"/>
    </row>
    <row r="780" ht="15.75" customHeight="1" s="60">
      <c r="A780" s="41" t="n"/>
      <c r="B780" s="41" t="n"/>
      <c r="C780" s="41" t="n"/>
      <c r="D780" s="41" t="n"/>
      <c r="E780" s="41" t="n"/>
      <c r="F780" s="41" t="n"/>
      <c r="G780" s="41" t="n"/>
      <c r="H780" s="41" t="n"/>
    </row>
    <row r="781" ht="15.75" customHeight="1" s="60">
      <c r="A781" s="41" t="n"/>
      <c r="B781" s="41" t="n"/>
      <c r="C781" s="41" t="n"/>
      <c r="D781" s="41" t="n"/>
      <c r="E781" s="41" t="n"/>
      <c r="F781" s="41" t="n"/>
      <c r="G781" s="41" t="n"/>
      <c r="H781" s="41" t="n"/>
    </row>
    <row r="782" ht="15.75" customHeight="1" s="60">
      <c r="A782" s="41" t="n"/>
      <c r="B782" s="41" t="n"/>
      <c r="C782" s="41" t="n"/>
      <c r="D782" s="41" t="n"/>
      <c r="E782" s="41" t="n"/>
      <c r="F782" s="41" t="n"/>
      <c r="G782" s="41" t="n"/>
      <c r="H782" s="41" t="n"/>
    </row>
    <row r="783" ht="15.75" customHeight="1" s="60">
      <c r="A783" s="41" t="n"/>
      <c r="B783" s="41" t="n"/>
      <c r="C783" s="41" t="n"/>
      <c r="D783" s="41" t="n"/>
      <c r="E783" s="41" t="n"/>
      <c r="F783" s="41" t="n"/>
      <c r="G783" s="41" t="n"/>
      <c r="H783" s="41" t="n"/>
    </row>
    <row r="784" ht="15.75" customHeight="1" s="60">
      <c r="A784" s="41" t="n"/>
      <c r="B784" s="41" t="n"/>
      <c r="C784" s="41" t="n"/>
      <c r="D784" s="41" t="n"/>
      <c r="E784" s="41" t="n"/>
      <c r="F784" s="41" t="n"/>
      <c r="G784" s="41" t="n"/>
      <c r="H784" s="41" t="n"/>
    </row>
    <row r="785" ht="15.75" customHeight="1" s="60">
      <c r="A785" s="41" t="n"/>
      <c r="B785" s="41" t="n"/>
      <c r="C785" s="41" t="n"/>
      <c r="D785" s="41" t="n"/>
      <c r="E785" s="41" t="n"/>
      <c r="F785" s="41" t="n"/>
      <c r="G785" s="41" t="n"/>
      <c r="H785" s="41" t="n"/>
    </row>
    <row r="786" ht="15.75" customHeight="1" s="60">
      <c r="A786" s="41" t="n"/>
      <c r="B786" s="41" t="n"/>
      <c r="C786" s="41" t="n"/>
      <c r="D786" s="41" t="n"/>
      <c r="E786" s="41" t="n"/>
      <c r="F786" s="41" t="n"/>
      <c r="G786" s="41" t="n"/>
      <c r="H786" s="41" t="n"/>
    </row>
    <row r="787" ht="15.75" customHeight="1" s="60">
      <c r="A787" s="41" t="n"/>
      <c r="B787" s="41" t="n"/>
      <c r="C787" s="41" t="n"/>
      <c r="D787" s="41" t="n"/>
      <c r="E787" s="41" t="n"/>
      <c r="F787" s="41" t="n"/>
      <c r="G787" s="41" t="n"/>
      <c r="H787" s="41" t="n"/>
    </row>
    <row r="788" ht="15.75" customHeight="1" s="60">
      <c r="A788" s="41" t="n"/>
      <c r="B788" s="41" t="n"/>
      <c r="C788" s="41" t="n"/>
      <c r="D788" s="41" t="n"/>
      <c r="E788" s="41" t="n"/>
      <c r="F788" s="41" t="n"/>
      <c r="G788" s="41" t="n"/>
      <c r="H788" s="41" t="n"/>
    </row>
    <row r="789" ht="15.75" customHeight="1" s="60">
      <c r="A789" s="41" t="n"/>
      <c r="B789" s="41" t="n"/>
      <c r="C789" s="41" t="n"/>
      <c r="D789" s="41" t="n"/>
      <c r="E789" s="41" t="n"/>
      <c r="F789" s="41" t="n"/>
      <c r="G789" s="41" t="n"/>
      <c r="H789" s="41" t="n"/>
    </row>
    <row r="790" ht="15.75" customHeight="1" s="60">
      <c r="A790" s="41" t="n"/>
      <c r="B790" s="41" t="n"/>
      <c r="C790" s="41" t="n"/>
      <c r="D790" s="41" t="n"/>
      <c r="E790" s="41" t="n"/>
      <c r="F790" s="41" t="n"/>
      <c r="G790" s="41" t="n"/>
      <c r="H790" s="41" t="n"/>
    </row>
    <row r="791" ht="15.75" customHeight="1" s="60">
      <c r="A791" s="41" t="n"/>
      <c r="B791" s="41" t="n"/>
      <c r="C791" s="41" t="n"/>
      <c r="D791" s="41" t="n"/>
      <c r="E791" s="41" t="n"/>
      <c r="F791" s="41" t="n"/>
      <c r="G791" s="41" t="n"/>
      <c r="H791" s="41" t="n"/>
    </row>
    <row r="792" ht="15.75" customHeight="1" s="60">
      <c r="A792" s="41" t="n"/>
      <c r="B792" s="41" t="n"/>
      <c r="C792" s="41" t="n"/>
      <c r="D792" s="41" t="n"/>
      <c r="E792" s="41" t="n"/>
      <c r="F792" s="41" t="n"/>
      <c r="G792" s="41" t="n"/>
      <c r="H792" s="41" t="n"/>
    </row>
    <row r="793" ht="15.75" customHeight="1" s="60">
      <c r="A793" s="41" t="n"/>
      <c r="B793" s="41" t="n"/>
      <c r="C793" s="41" t="n"/>
      <c r="D793" s="41" t="n"/>
      <c r="E793" s="41" t="n"/>
      <c r="F793" s="41" t="n"/>
      <c r="G793" s="41" t="n"/>
      <c r="H793" s="41" t="n"/>
    </row>
    <row r="794" ht="15.75" customHeight="1" s="60">
      <c r="A794" s="41" t="n"/>
      <c r="B794" s="41" t="n"/>
      <c r="C794" s="41" t="n"/>
      <c r="D794" s="41" t="n"/>
      <c r="E794" s="41" t="n"/>
      <c r="F794" s="41" t="n"/>
      <c r="G794" s="41" t="n"/>
      <c r="H794" s="41" t="n"/>
    </row>
    <row r="795" ht="15.75" customHeight="1" s="60">
      <c r="A795" s="41" t="n"/>
      <c r="B795" s="41" t="n"/>
      <c r="C795" s="41" t="n"/>
      <c r="D795" s="41" t="n"/>
      <c r="E795" s="41" t="n"/>
      <c r="F795" s="41" t="n"/>
      <c r="G795" s="41" t="n"/>
      <c r="H795" s="41" t="n"/>
    </row>
    <row r="796" ht="15.75" customHeight="1" s="60">
      <c r="A796" s="41" t="n"/>
      <c r="B796" s="41" t="n"/>
      <c r="C796" s="41" t="n"/>
      <c r="D796" s="41" t="n"/>
      <c r="E796" s="41" t="n"/>
      <c r="F796" s="41" t="n"/>
      <c r="G796" s="41" t="n"/>
      <c r="H796" s="41" t="n"/>
    </row>
    <row r="797" ht="15.75" customHeight="1" s="60">
      <c r="A797" s="41" t="n"/>
      <c r="B797" s="41" t="n"/>
      <c r="C797" s="41" t="n"/>
      <c r="D797" s="41" t="n"/>
      <c r="E797" s="41" t="n"/>
      <c r="F797" s="41" t="n"/>
      <c r="G797" s="41" t="n"/>
      <c r="H797" s="41" t="n"/>
    </row>
    <row r="798" ht="15.75" customHeight="1" s="60">
      <c r="A798" s="41" t="n"/>
      <c r="B798" s="41" t="n"/>
      <c r="C798" s="41" t="n"/>
      <c r="D798" s="41" t="n"/>
      <c r="E798" s="41" t="n"/>
      <c r="F798" s="41" t="n"/>
      <c r="G798" s="41" t="n"/>
      <c r="H798" s="41" t="n"/>
    </row>
    <row r="799" ht="15.75" customHeight="1" s="60">
      <c r="A799" s="41" t="n"/>
      <c r="B799" s="41" t="n"/>
      <c r="C799" s="41" t="n"/>
      <c r="D799" s="41" t="n"/>
      <c r="E799" s="41" t="n"/>
      <c r="F799" s="41" t="n"/>
      <c r="G799" s="41" t="n"/>
      <c r="H799" s="41" t="n"/>
    </row>
    <row r="800" ht="15.75" customHeight="1" s="60">
      <c r="A800" s="41" t="n"/>
      <c r="B800" s="41" t="n"/>
      <c r="C800" s="41" t="n"/>
      <c r="D800" s="41" t="n"/>
      <c r="E800" s="41" t="n"/>
      <c r="F800" s="41" t="n"/>
      <c r="G800" s="41" t="n"/>
      <c r="H800" s="41" t="n"/>
    </row>
    <row r="801" ht="15.75" customHeight="1" s="60">
      <c r="A801" s="41" t="n"/>
      <c r="B801" s="41" t="n"/>
      <c r="C801" s="41" t="n"/>
      <c r="D801" s="41" t="n"/>
      <c r="E801" s="41" t="n"/>
      <c r="F801" s="41" t="n"/>
      <c r="G801" s="41" t="n"/>
      <c r="H801" s="41" t="n"/>
    </row>
    <row r="802" ht="15.75" customHeight="1" s="60">
      <c r="A802" s="41" t="n"/>
      <c r="B802" s="41" t="n"/>
      <c r="C802" s="41" t="n"/>
      <c r="D802" s="41" t="n"/>
      <c r="E802" s="41" t="n"/>
      <c r="F802" s="41" t="n"/>
      <c r="G802" s="41" t="n"/>
      <c r="H802" s="41" t="n"/>
    </row>
    <row r="803" ht="15.75" customHeight="1" s="60">
      <c r="A803" s="41" t="n"/>
      <c r="B803" s="41" t="n"/>
      <c r="C803" s="41" t="n"/>
      <c r="D803" s="41" t="n"/>
      <c r="E803" s="41" t="n"/>
      <c r="F803" s="41" t="n"/>
      <c r="G803" s="41" t="n"/>
      <c r="H803" s="41" t="n"/>
    </row>
    <row r="804" ht="15.75" customHeight="1" s="60">
      <c r="A804" s="41" t="n"/>
      <c r="B804" s="41" t="n"/>
      <c r="C804" s="41" t="n"/>
      <c r="D804" s="41" t="n"/>
      <c r="E804" s="41" t="n"/>
      <c r="F804" s="41" t="n"/>
      <c r="G804" s="41" t="n"/>
      <c r="H804" s="41" t="n"/>
    </row>
    <row r="805" ht="15.75" customHeight="1" s="60">
      <c r="A805" s="41" t="n"/>
      <c r="B805" s="41" t="n"/>
      <c r="C805" s="41" t="n"/>
      <c r="D805" s="41" t="n"/>
      <c r="E805" s="41" t="n"/>
      <c r="F805" s="41" t="n"/>
      <c r="G805" s="41" t="n"/>
      <c r="H805" s="41" t="n"/>
    </row>
    <row r="806" ht="15.75" customHeight="1" s="60">
      <c r="A806" s="41" t="n"/>
      <c r="B806" s="41" t="n"/>
      <c r="C806" s="41" t="n"/>
      <c r="D806" s="41" t="n"/>
      <c r="E806" s="41" t="n"/>
      <c r="F806" s="41" t="n"/>
      <c r="G806" s="41" t="n"/>
      <c r="H806" s="41" t="n"/>
    </row>
    <row r="807" ht="15.75" customHeight="1" s="60">
      <c r="A807" s="41" t="n"/>
      <c r="B807" s="41" t="n"/>
      <c r="C807" s="41" t="n"/>
      <c r="D807" s="41" t="n"/>
      <c r="E807" s="41" t="n"/>
      <c r="F807" s="41" t="n"/>
      <c r="G807" s="41" t="n"/>
      <c r="H807" s="41" t="n"/>
    </row>
    <row r="808" ht="15.75" customHeight="1" s="60">
      <c r="A808" s="41" t="n"/>
      <c r="B808" s="41" t="n"/>
      <c r="C808" s="41" t="n"/>
      <c r="D808" s="41" t="n"/>
      <c r="E808" s="41" t="n"/>
      <c r="F808" s="41" t="n"/>
      <c r="G808" s="41" t="n"/>
      <c r="H808" s="41" t="n"/>
    </row>
    <row r="809" ht="15.75" customHeight="1" s="60">
      <c r="A809" s="41" t="n"/>
      <c r="B809" s="41" t="n"/>
      <c r="C809" s="41" t="n"/>
      <c r="D809" s="41" t="n"/>
      <c r="E809" s="41" t="n"/>
      <c r="F809" s="41" t="n"/>
      <c r="G809" s="41" t="n"/>
      <c r="H809" s="41" t="n"/>
    </row>
    <row r="810" ht="15.75" customHeight="1" s="60">
      <c r="A810" s="41" t="n"/>
      <c r="B810" s="41" t="n"/>
      <c r="C810" s="41" t="n"/>
      <c r="D810" s="41" t="n"/>
      <c r="E810" s="41" t="n"/>
      <c r="F810" s="41" t="n"/>
      <c r="G810" s="41" t="n"/>
      <c r="H810" s="41" t="n"/>
    </row>
    <row r="811" ht="15.75" customHeight="1" s="60">
      <c r="A811" s="41" t="n"/>
      <c r="B811" s="41" t="n"/>
      <c r="C811" s="41" t="n"/>
      <c r="D811" s="41" t="n"/>
      <c r="E811" s="41" t="n"/>
      <c r="F811" s="41" t="n"/>
      <c r="G811" s="41" t="n"/>
      <c r="H811" s="41" t="n"/>
    </row>
    <row r="812" ht="15.75" customHeight="1" s="60">
      <c r="A812" s="41" t="n"/>
      <c r="B812" s="41" t="n"/>
      <c r="C812" s="41" t="n"/>
      <c r="D812" s="41" t="n"/>
      <c r="E812" s="41" t="n"/>
      <c r="F812" s="41" t="n"/>
      <c r="G812" s="41" t="n"/>
      <c r="H812" s="41" t="n"/>
    </row>
    <row r="813" ht="15.75" customHeight="1" s="60">
      <c r="A813" s="41" t="n"/>
      <c r="B813" s="41" t="n"/>
      <c r="C813" s="41" t="n"/>
      <c r="D813" s="41" t="n"/>
      <c r="E813" s="41" t="n"/>
      <c r="F813" s="41" t="n"/>
      <c r="G813" s="41" t="n"/>
      <c r="H813" s="41" t="n"/>
    </row>
    <row r="814" ht="15.75" customHeight="1" s="60">
      <c r="A814" s="41" t="n"/>
      <c r="B814" s="41" t="n"/>
      <c r="C814" s="41" t="n"/>
      <c r="D814" s="41" t="n"/>
      <c r="E814" s="41" t="n"/>
      <c r="F814" s="41" t="n"/>
      <c r="G814" s="41" t="n"/>
      <c r="H814" s="41" t="n"/>
    </row>
    <row r="815" ht="15.75" customHeight="1" s="60">
      <c r="A815" s="41" t="n"/>
      <c r="B815" s="41" t="n"/>
      <c r="C815" s="41" t="n"/>
      <c r="D815" s="41" t="n"/>
      <c r="E815" s="41" t="n"/>
      <c r="F815" s="41" t="n"/>
      <c r="G815" s="41" t="n"/>
      <c r="H815" s="41" t="n"/>
    </row>
    <row r="816" ht="15.75" customHeight="1" s="60">
      <c r="A816" s="41" t="n"/>
      <c r="B816" s="41" t="n"/>
      <c r="C816" s="41" t="n"/>
      <c r="D816" s="41" t="n"/>
      <c r="E816" s="41" t="n"/>
      <c r="F816" s="41" t="n"/>
      <c r="G816" s="41" t="n"/>
      <c r="H816" s="41" t="n"/>
    </row>
    <row r="817" ht="15.75" customHeight="1" s="60">
      <c r="A817" s="41" t="n"/>
      <c r="B817" s="41" t="n"/>
      <c r="C817" s="41" t="n"/>
      <c r="D817" s="41" t="n"/>
      <c r="E817" s="41" t="n"/>
      <c r="F817" s="41" t="n"/>
      <c r="G817" s="41" t="n"/>
      <c r="H817" s="41" t="n"/>
    </row>
    <row r="818" ht="15.75" customHeight="1" s="60">
      <c r="A818" s="41" t="n"/>
      <c r="B818" s="41" t="n"/>
      <c r="C818" s="41" t="n"/>
      <c r="D818" s="41" t="n"/>
      <c r="E818" s="41" t="n"/>
      <c r="F818" s="41" t="n"/>
      <c r="G818" s="41" t="n"/>
      <c r="H818" s="41" t="n"/>
    </row>
    <row r="819" ht="15.75" customHeight="1" s="60">
      <c r="A819" s="41" t="n"/>
      <c r="B819" s="41" t="n"/>
      <c r="C819" s="41" t="n"/>
      <c r="D819" s="41" t="n"/>
      <c r="E819" s="41" t="n"/>
      <c r="F819" s="41" t="n"/>
      <c r="G819" s="41" t="n"/>
      <c r="H819" s="41" t="n"/>
    </row>
    <row r="820" ht="15.75" customHeight="1" s="60">
      <c r="A820" s="41" t="n"/>
      <c r="B820" s="41" t="n"/>
      <c r="C820" s="41" t="n"/>
      <c r="D820" s="41" t="n"/>
      <c r="E820" s="41" t="n"/>
      <c r="F820" s="41" t="n"/>
      <c r="G820" s="41" t="n"/>
      <c r="H820" s="41" t="n"/>
    </row>
    <row r="821" ht="15.75" customHeight="1" s="60">
      <c r="A821" s="41" t="n"/>
      <c r="B821" s="41" t="n"/>
      <c r="C821" s="41" t="n"/>
      <c r="D821" s="41" t="n"/>
      <c r="E821" s="41" t="n"/>
      <c r="F821" s="41" t="n"/>
      <c r="G821" s="41" t="n"/>
      <c r="H821" s="41" t="n"/>
    </row>
    <row r="822" ht="15.75" customHeight="1" s="60">
      <c r="A822" s="41" t="n"/>
      <c r="B822" s="41" t="n"/>
      <c r="C822" s="41" t="n"/>
      <c r="D822" s="41" t="n"/>
      <c r="E822" s="41" t="n"/>
      <c r="F822" s="41" t="n"/>
      <c r="G822" s="41" t="n"/>
      <c r="H822" s="41" t="n"/>
    </row>
    <row r="823" ht="15.75" customHeight="1" s="60">
      <c r="A823" s="41" t="n"/>
      <c r="B823" s="41" t="n"/>
      <c r="C823" s="41" t="n"/>
      <c r="D823" s="41" t="n"/>
      <c r="E823" s="41" t="n"/>
      <c r="F823" s="41" t="n"/>
      <c r="G823" s="41" t="n"/>
      <c r="H823" s="41" t="n"/>
    </row>
    <row r="824" ht="15.75" customHeight="1" s="60">
      <c r="A824" s="41" t="n"/>
      <c r="B824" s="41" t="n"/>
      <c r="C824" s="41" t="n"/>
      <c r="D824" s="41" t="n"/>
      <c r="E824" s="41" t="n"/>
      <c r="F824" s="41" t="n"/>
      <c r="G824" s="41" t="n"/>
      <c r="H824" s="41" t="n"/>
    </row>
    <row r="825" ht="15.75" customHeight="1" s="60">
      <c r="A825" s="41" t="n"/>
      <c r="B825" s="41" t="n"/>
      <c r="C825" s="41" t="n"/>
      <c r="D825" s="41" t="n"/>
      <c r="E825" s="41" t="n"/>
      <c r="F825" s="41" t="n"/>
      <c r="G825" s="41" t="n"/>
      <c r="H825" s="41" t="n"/>
    </row>
    <row r="826" ht="15.75" customHeight="1" s="60">
      <c r="A826" s="41" t="n"/>
      <c r="B826" s="41" t="n"/>
      <c r="C826" s="41" t="n"/>
      <c r="D826" s="41" t="n"/>
      <c r="E826" s="41" t="n"/>
      <c r="F826" s="41" t="n"/>
      <c r="G826" s="41" t="n"/>
      <c r="H826" s="41" t="n"/>
    </row>
    <row r="827" ht="15.75" customHeight="1" s="60">
      <c r="A827" s="41" t="n"/>
      <c r="B827" s="41" t="n"/>
      <c r="C827" s="41" t="n"/>
      <c r="D827" s="41" t="n"/>
      <c r="E827" s="41" t="n"/>
      <c r="F827" s="41" t="n"/>
      <c r="G827" s="41" t="n"/>
      <c r="H827" s="41" t="n"/>
    </row>
    <row r="828" ht="15.75" customHeight="1" s="60">
      <c r="A828" s="41" t="n"/>
      <c r="B828" s="41" t="n"/>
      <c r="C828" s="41" t="n"/>
      <c r="D828" s="41" t="n"/>
      <c r="E828" s="41" t="n"/>
      <c r="F828" s="41" t="n"/>
      <c r="G828" s="41" t="n"/>
      <c r="H828" s="41" t="n"/>
    </row>
    <row r="829" ht="15.75" customHeight="1" s="60">
      <c r="A829" s="41" t="n"/>
      <c r="B829" s="41" t="n"/>
      <c r="C829" s="41" t="n"/>
      <c r="D829" s="41" t="n"/>
      <c r="E829" s="41" t="n"/>
      <c r="F829" s="41" t="n"/>
      <c r="G829" s="41" t="n"/>
      <c r="H829" s="41" t="n"/>
    </row>
    <row r="830" ht="15.75" customHeight="1" s="60">
      <c r="A830" s="41" t="n"/>
      <c r="B830" s="41" t="n"/>
      <c r="C830" s="41" t="n"/>
      <c r="D830" s="41" t="n"/>
      <c r="E830" s="41" t="n"/>
      <c r="F830" s="41" t="n"/>
      <c r="G830" s="41" t="n"/>
      <c r="H830" s="41" t="n"/>
    </row>
    <row r="831" ht="15.75" customHeight="1" s="60">
      <c r="A831" s="41" t="n"/>
      <c r="B831" s="41" t="n"/>
      <c r="C831" s="41" t="n"/>
      <c r="D831" s="41" t="n"/>
      <c r="E831" s="41" t="n"/>
      <c r="F831" s="41" t="n"/>
      <c r="G831" s="41" t="n"/>
      <c r="H831" s="41" t="n"/>
    </row>
    <row r="832" ht="15.75" customHeight="1" s="60">
      <c r="A832" s="41" t="n"/>
      <c r="B832" s="41" t="n"/>
      <c r="C832" s="41" t="n"/>
      <c r="D832" s="41" t="n"/>
      <c r="E832" s="41" t="n"/>
      <c r="F832" s="41" t="n"/>
      <c r="G832" s="41" t="n"/>
      <c r="H832" s="41" t="n"/>
    </row>
    <row r="833" ht="15.75" customHeight="1" s="60">
      <c r="A833" s="41" t="n"/>
      <c r="B833" s="41" t="n"/>
      <c r="C833" s="41" t="n"/>
      <c r="D833" s="41" t="n"/>
      <c r="E833" s="41" t="n"/>
      <c r="F833" s="41" t="n"/>
      <c r="G833" s="41" t="n"/>
      <c r="H833" s="41" t="n"/>
    </row>
    <row r="834" ht="15.75" customHeight="1" s="60">
      <c r="A834" s="41" t="n"/>
      <c r="B834" s="41" t="n"/>
      <c r="C834" s="41" t="n"/>
      <c r="D834" s="41" t="n"/>
      <c r="E834" s="41" t="n"/>
      <c r="F834" s="41" t="n"/>
      <c r="G834" s="41" t="n"/>
      <c r="H834" s="41" t="n"/>
    </row>
    <row r="835" ht="15.75" customHeight="1" s="60">
      <c r="A835" s="41" t="n"/>
      <c r="B835" s="41" t="n"/>
      <c r="C835" s="41" t="n"/>
      <c r="D835" s="41" t="n"/>
      <c r="E835" s="41" t="n"/>
      <c r="F835" s="41" t="n"/>
      <c r="G835" s="41" t="n"/>
      <c r="H835" s="41" t="n"/>
    </row>
    <row r="836" ht="15.75" customHeight="1" s="60">
      <c r="A836" s="41" t="n"/>
      <c r="B836" s="41" t="n"/>
      <c r="C836" s="41" t="n"/>
      <c r="D836" s="41" t="n"/>
      <c r="E836" s="41" t="n"/>
      <c r="F836" s="41" t="n"/>
      <c r="G836" s="41" t="n"/>
      <c r="H836" s="41" t="n"/>
    </row>
    <row r="837" ht="15.75" customHeight="1" s="60">
      <c r="A837" s="41" t="n"/>
      <c r="B837" s="41" t="n"/>
      <c r="C837" s="41" t="n"/>
      <c r="D837" s="41" t="n"/>
      <c r="E837" s="41" t="n"/>
      <c r="F837" s="41" t="n"/>
      <c r="G837" s="41" t="n"/>
      <c r="H837" s="41" t="n"/>
    </row>
    <row r="838" ht="15.75" customHeight="1" s="60">
      <c r="A838" s="41" t="n"/>
      <c r="B838" s="41" t="n"/>
      <c r="C838" s="41" t="n"/>
      <c r="D838" s="41" t="n"/>
      <c r="E838" s="41" t="n"/>
      <c r="F838" s="41" t="n"/>
      <c r="G838" s="41" t="n"/>
      <c r="H838" s="41" t="n"/>
    </row>
    <row r="839" ht="15.75" customHeight="1" s="60">
      <c r="A839" s="41" t="n"/>
      <c r="B839" s="41" t="n"/>
      <c r="C839" s="41" t="n"/>
      <c r="D839" s="41" t="n"/>
      <c r="E839" s="41" t="n"/>
      <c r="F839" s="41" t="n"/>
      <c r="G839" s="41" t="n"/>
      <c r="H839" s="41" t="n"/>
    </row>
    <row r="840" ht="15.75" customHeight="1" s="60">
      <c r="A840" s="41" t="n"/>
      <c r="B840" s="41" t="n"/>
      <c r="C840" s="41" t="n"/>
      <c r="D840" s="41" t="n"/>
      <c r="E840" s="41" t="n"/>
      <c r="F840" s="41" t="n"/>
      <c r="G840" s="41" t="n"/>
      <c r="H840" s="41" t="n"/>
    </row>
    <row r="841" ht="15.75" customHeight="1" s="60">
      <c r="A841" s="41" t="n"/>
      <c r="B841" s="41" t="n"/>
      <c r="C841" s="41" t="n"/>
      <c r="D841" s="41" t="n"/>
      <c r="E841" s="41" t="n"/>
      <c r="F841" s="41" t="n"/>
      <c r="G841" s="41" t="n"/>
      <c r="H841" s="41" t="n"/>
    </row>
    <row r="842" ht="15.75" customHeight="1" s="60">
      <c r="A842" s="41" t="n"/>
      <c r="B842" s="41" t="n"/>
      <c r="C842" s="41" t="n"/>
      <c r="D842" s="41" t="n"/>
      <c r="E842" s="41" t="n"/>
      <c r="F842" s="41" t="n"/>
      <c r="G842" s="41" t="n"/>
      <c r="H842" s="41" t="n"/>
    </row>
    <row r="843" ht="15.75" customHeight="1" s="60">
      <c r="A843" s="41" t="n"/>
      <c r="B843" s="41" t="n"/>
      <c r="C843" s="41" t="n"/>
      <c r="D843" s="41" t="n"/>
      <c r="E843" s="41" t="n"/>
      <c r="F843" s="41" t="n"/>
      <c r="G843" s="41" t="n"/>
      <c r="H843" s="41" t="n"/>
    </row>
    <row r="844" ht="15.75" customHeight="1" s="60">
      <c r="A844" s="41" t="n"/>
      <c r="B844" s="41" t="n"/>
      <c r="C844" s="41" t="n"/>
      <c r="D844" s="41" t="n"/>
      <c r="E844" s="41" t="n"/>
      <c r="F844" s="41" t="n"/>
      <c r="G844" s="41" t="n"/>
      <c r="H844" s="41" t="n"/>
    </row>
    <row r="845" ht="15.75" customHeight="1" s="60">
      <c r="A845" s="41" t="n"/>
      <c r="B845" s="41" t="n"/>
      <c r="C845" s="41" t="n"/>
      <c r="D845" s="41" t="n"/>
      <c r="E845" s="41" t="n"/>
      <c r="F845" s="41" t="n"/>
      <c r="G845" s="41" t="n"/>
      <c r="H845" s="41" t="n"/>
    </row>
    <row r="846" ht="15.75" customHeight="1" s="60">
      <c r="A846" s="41" t="n"/>
      <c r="B846" s="41" t="n"/>
      <c r="C846" s="41" t="n"/>
      <c r="D846" s="41" t="n"/>
      <c r="E846" s="41" t="n"/>
      <c r="F846" s="41" t="n"/>
      <c r="G846" s="41" t="n"/>
      <c r="H846" s="41" t="n"/>
    </row>
    <row r="847" ht="15.75" customHeight="1" s="60">
      <c r="A847" s="41" t="n"/>
      <c r="B847" s="41" t="n"/>
      <c r="C847" s="41" t="n"/>
      <c r="D847" s="41" t="n"/>
      <c r="E847" s="41" t="n"/>
      <c r="F847" s="41" t="n"/>
      <c r="G847" s="41" t="n"/>
      <c r="H847" s="41" t="n"/>
    </row>
    <row r="848" ht="15.75" customHeight="1" s="60">
      <c r="A848" s="41" t="n"/>
      <c r="B848" s="41" t="n"/>
      <c r="C848" s="41" t="n"/>
      <c r="D848" s="41" t="n"/>
      <c r="E848" s="41" t="n"/>
      <c r="F848" s="41" t="n"/>
      <c r="G848" s="41" t="n"/>
      <c r="H848" s="41" t="n"/>
    </row>
    <row r="849" ht="15.75" customHeight="1" s="60">
      <c r="A849" s="41" t="n"/>
      <c r="B849" s="41" t="n"/>
      <c r="C849" s="41" t="n"/>
      <c r="D849" s="41" t="n"/>
      <c r="E849" s="41" t="n"/>
      <c r="F849" s="41" t="n"/>
      <c r="G849" s="41" t="n"/>
      <c r="H849" s="41" t="n"/>
    </row>
    <row r="850" ht="15.75" customHeight="1" s="60">
      <c r="A850" s="41" t="n"/>
      <c r="B850" s="41" t="n"/>
      <c r="C850" s="41" t="n"/>
      <c r="D850" s="41" t="n"/>
      <c r="E850" s="41" t="n"/>
      <c r="F850" s="41" t="n"/>
      <c r="G850" s="41" t="n"/>
      <c r="H850" s="41" t="n"/>
    </row>
    <row r="851" ht="15.75" customHeight="1" s="60">
      <c r="A851" s="41" t="n"/>
      <c r="B851" s="41" t="n"/>
      <c r="C851" s="41" t="n"/>
      <c r="D851" s="41" t="n"/>
      <c r="E851" s="41" t="n"/>
      <c r="F851" s="41" t="n"/>
      <c r="G851" s="41" t="n"/>
      <c r="H851" s="41" t="n"/>
    </row>
    <row r="852" ht="15.75" customHeight="1" s="60">
      <c r="A852" s="41" t="n"/>
      <c r="B852" s="41" t="n"/>
      <c r="C852" s="41" t="n"/>
      <c r="D852" s="41" t="n"/>
      <c r="E852" s="41" t="n"/>
      <c r="F852" s="41" t="n"/>
      <c r="G852" s="41" t="n"/>
      <c r="H852" s="41" t="n"/>
    </row>
    <row r="853" ht="15.75" customHeight="1" s="60">
      <c r="A853" s="41" t="n"/>
      <c r="B853" s="41" t="n"/>
      <c r="C853" s="41" t="n"/>
      <c r="D853" s="41" t="n"/>
      <c r="E853" s="41" t="n"/>
      <c r="F853" s="41" t="n"/>
      <c r="G853" s="41" t="n"/>
      <c r="H853" s="41" t="n"/>
    </row>
    <row r="854" ht="15.75" customHeight="1" s="60">
      <c r="A854" s="41" t="n"/>
      <c r="B854" s="41" t="n"/>
      <c r="C854" s="41" t="n"/>
      <c r="D854" s="41" t="n"/>
      <c r="E854" s="41" t="n"/>
      <c r="F854" s="41" t="n"/>
      <c r="G854" s="41" t="n"/>
      <c r="H854" s="41" t="n"/>
    </row>
    <row r="855" ht="15.75" customHeight="1" s="60">
      <c r="A855" s="41" t="n"/>
      <c r="B855" s="41" t="n"/>
      <c r="C855" s="41" t="n"/>
      <c r="D855" s="41" t="n"/>
      <c r="E855" s="41" t="n"/>
      <c r="F855" s="41" t="n"/>
      <c r="G855" s="41" t="n"/>
      <c r="H855" s="41" t="n"/>
    </row>
    <row r="856" ht="15.75" customHeight="1" s="60">
      <c r="A856" s="41" t="n"/>
      <c r="B856" s="41" t="n"/>
      <c r="C856" s="41" t="n"/>
      <c r="D856" s="41" t="n"/>
      <c r="E856" s="41" t="n"/>
      <c r="F856" s="41" t="n"/>
      <c r="G856" s="41" t="n"/>
      <c r="H856" s="41" t="n"/>
    </row>
    <row r="857" ht="15.75" customHeight="1" s="60">
      <c r="A857" s="41" t="n"/>
      <c r="B857" s="41" t="n"/>
      <c r="C857" s="41" t="n"/>
      <c r="D857" s="41" t="n"/>
      <c r="E857" s="41" t="n"/>
      <c r="F857" s="41" t="n"/>
      <c r="G857" s="41" t="n"/>
      <c r="H857" s="41" t="n"/>
    </row>
    <row r="858" ht="15.75" customHeight="1" s="60">
      <c r="A858" s="41" t="n"/>
      <c r="B858" s="41" t="n"/>
      <c r="C858" s="41" t="n"/>
      <c r="D858" s="41" t="n"/>
      <c r="E858" s="41" t="n"/>
      <c r="F858" s="41" t="n"/>
      <c r="G858" s="41" t="n"/>
      <c r="H858" s="41" t="n"/>
    </row>
    <row r="859" ht="15.75" customHeight="1" s="60">
      <c r="A859" s="41" t="n"/>
      <c r="B859" s="41" t="n"/>
      <c r="C859" s="41" t="n"/>
      <c r="D859" s="41" t="n"/>
      <c r="E859" s="41" t="n"/>
      <c r="F859" s="41" t="n"/>
      <c r="G859" s="41" t="n"/>
      <c r="H859" s="41" t="n"/>
    </row>
    <row r="860" ht="15.75" customHeight="1" s="60">
      <c r="A860" s="41" t="n"/>
      <c r="B860" s="41" t="n"/>
      <c r="C860" s="41" t="n"/>
      <c r="D860" s="41" t="n"/>
      <c r="E860" s="41" t="n"/>
      <c r="F860" s="41" t="n"/>
      <c r="G860" s="41" t="n"/>
      <c r="H860" s="41" t="n"/>
    </row>
    <row r="861" ht="15.75" customHeight="1" s="60">
      <c r="A861" s="41" t="n"/>
      <c r="B861" s="41" t="n"/>
      <c r="C861" s="41" t="n"/>
      <c r="D861" s="41" t="n"/>
      <c r="E861" s="41" t="n"/>
      <c r="F861" s="41" t="n"/>
      <c r="G861" s="41" t="n"/>
      <c r="H861" s="41" t="n"/>
    </row>
    <row r="862" ht="15.75" customHeight="1" s="60">
      <c r="A862" s="41" t="n"/>
      <c r="B862" s="41" t="n"/>
      <c r="C862" s="41" t="n"/>
      <c r="D862" s="41" t="n"/>
      <c r="E862" s="41" t="n"/>
      <c r="F862" s="41" t="n"/>
      <c r="G862" s="41" t="n"/>
      <c r="H862" s="41" t="n"/>
    </row>
    <row r="863" ht="15.75" customHeight="1" s="60">
      <c r="A863" s="41" t="n"/>
      <c r="B863" s="41" t="n"/>
      <c r="C863" s="41" t="n"/>
      <c r="D863" s="41" t="n"/>
      <c r="E863" s="41" t="n"/>
      <c r="F863" s="41" t="n"/>
      <c r="G863" s="41" t="n"/>
      <c r="H863" s="41" t="n"/>
    </row>
    <row r="864" ht="15.75" customHeight="1" s="60">
      <c r="A864" s="41" t="n"/>
      <c r="B864" s="41" t="n"/>
      <c r="C864" s="41" t="n"/>
      <c r="D864" s="41" t="n"/>
      <c r="E864" s="41" t="n"/>
      <c r="F864" s="41" t="n"/>
      <c r="G864" s="41" t="n"/>
      <c r="H864" s="41" t="n"/>
    </row>
    <row r="865" ht="15.75" customHeight="1" s="60">
      <c r="A865" s="41" t="n"/>
      <c r="B865" s="41" t="n"/>
      <c r="C865" s="41" t="n"/>
      <c r="D865" s="41" t="n"/>
      <c r="E865" s="41" t="n"/>
      <c r="F865" s="41" t="n"/>
      <c r="G865" s="41" t="n"/>
      <c r="H865" s="41" t="n"/>
    </row>
    <row r="866" ht="15.75" customHeight="1" s="60">
      <c r="A866" s="41" t="n"/>
      <c r="B866" s="41" t="n"/>
      <c r="C866" s="41" t="n"/>
      <c r="D866" s="41" t="n"/>
      <c r="E866" s="41" t="n"/>
      <c r="F866" s="41" t="n"/>
      <c r="G866" s="41" t="n"/>
      <c r="H866" s="41" t="n"/>
    </row>
    <row r="867" ht="15.75" customHeight="1" s="60">
      <c r="A867" s="41" t="n"/>
      <c r="B867" s="41" t="n"/>
      <c r="C867" s="41" t="n"/>
      <c r="D867" s="41" t="n"/>
      <c r="E867" s="41" t="n"/>
      <c r="F867" s="41" t="n"/>
      <c r="G867" s="41" t="n"/>
      <c r="H867" s="41" t="n"/>
    </row>
    <row r="868" ht="15.75" customHeight="1" s="60">
      <c r="A868" s="41" t="n"/>
      <c r="B868" s="41" t="n"/>
      <c r="C868" s="41" t="n"/>
      <c r="D868" s="41" t="n"/>
      <c r="E868" s="41" t="n"/>
      <c r="F868" s="41" t="n"/>
      <c r="G868" s="41" t="n"/>
      <c r="H868" s="41" t="n"/>
    </row>
    <row r="869" ht="15.75" customHeight="1" s="60">
      <c r="A869" s="41" t="n"/>
      <c r="B869" s="41" t="n"/>
      <c r="C869" s="41" t="n"/>
      <c r="D869" s="41" t="n"/>
      <c r="E869" s="41" t="n"/>
      <c r="F869" s="41" t="n"/>
      <c r="G869" s="41" t="n"/>
      <c r="H869" s="41" t="n"/>
    </row>
    <row r="870" ht="15.75" customHeight="1" s="60">
      <c r="A870" s="41" t="n"/>
      <c r="B870" s="41" t="n"/>
      <c r="C870" s="41" t="n"/>
      <c r="D870" s="41" t="n"/>
      <c r="E870" s="41" t="n"/>
      <c r="F870" s="41" t="n"/>
      <c r="G870" s="41" t="n"/>
      <c r="H870" s="41" t="n"/>
    </row>
    <row r="871" ht="15.75" customHeight="1" s="60">
      <c r="A871" s="41" t="n"/>
      <c r="B871" s="41" t="n"/>
      <c r="C871" s="41" t="n"/>
      <c r="D871" s="41" t="n"/>
      <c r="E871" s="41" t="n"/>
      <c r="F871" s="41" t="n"/>
      <c r="G871" s="41" t="n"/>
      <c r="H871" s="41" t="n"/>
    </row>
    <row r="872" ht="15.75" customHeight="1" s="60">
      <c r="A872" s="41" t="n"/>
      <c r="B872" s="41" t="n"/>
      <c r="C872" s="41" t="n"/>
      <c r="D872" s="41" t="n"/>
      <c r="E872" s="41" t="n"/>
      <c r="F872" s="41" t="n"/>
      <c r="G872" s="41" t="n"/>
      <c r="H872" s="41" t="n"/>
    </row>
    <row r="873" ht="15.75" customHeight="1" s="60">
      <c r="A873" s="41" t="n"/>
      <c r="B873" s="41" t="n"/>
      <c r="C873" s="41" t="n"/>
      <c r="D873" s="41" t="n"/>
      <c r="E873" s="41" t="n"/>
      <c r="F873" s="41" t="n"/>
      <c r="G873" s="41" t="n"/>
      <c r="H873" s="41" t="n"/>
    </row>
    <row r="874" ht="15.75" customHeight="1" s="60">
      <c r="A874" s="41" t="n"/>
      <c r="B874" s="41" t="n"/>
      <c r="C874" s="41" t="n"/>
      <c r="D874" s="41" t="n"/>
      <c r="E874" s="41" t="n"/>
      <c r="F874" s="41" t="n"/>
      <c r="G874" s="41" t="n"/>
      <c r="H874" s="41" t="n"/>
    </row>
    <row r="875" ht="15.75" customHeight="1" s="60">
      <c r="A875" s="41" t="n"/>
      <c r="B875" s="41" t="n"/>
      <c r="C875" s="41" t="n"/>
      <c r="D875" s="41" t="n"/>
      <c r="E875" s="41" t="n"/>
      <c r="F875" s="41" t="n"/>
      <c r="G875" s="41" t="n"/>
      <c r="H875" s="41" t="n"/>
    </row>
    <row r="876" ht="15.75" customHeight="1" s="60">
      <c r="A876" s="41" t="n"/>
      <c r="B876" s="41" t="n"/>
      <c r="C876" s="41" t="n"/>
      <c r="D876" s="41" t="n"/>
      <c r="E876" s="41" t="n"/>
      <c r="F876" s="41" t="n"/>
      <c r="G876" s="41" t="n"/>
      <c r="H876" s="41" t="n"/>
    </row>
    <row r="877" ht="15.75" customHeight="1" s="60">
      <c r="A877" s="41" t="n"/>
      <c r="B877" s="41" t="n"/>
      <c r="C877" s="41" t="n"/>
      <c r="D877" s="41" t="n"/>
      <c r="E877" s="41" t="n"/>
      <c r="F877" s="41" t="n"/>
      <c r="G877" s="41" t="n"/>
      <c r="H877" s="41" t="n"/>
    </row>
    <row r="878" ht="15.75" customHeight="1" s="60">
      <c r="A878" s="41" t="n"/>
      <c r="B878" s="41" t="n"/>
      <c r="C878" s="41" t="n"/>
      <c r="D878" s="41" t="n"/>
      <c r="E878" s="41" t="n"/>
      <c r="F878" s="41" t="n"/>
      <c r="G878" s="41" t="n"/>
      <c r="H878" s="41" t="n"/>
    </row>
    <row r="879" ht="15.75" customHeight="1" s="60">
      <c r="A879" s="41" t="n"/>
      <c r="B879" s="41" t="n"/>
      <c r="C879" s="41" t="n"/>
      <c r="D879" s="41" t="n"/>
      <c r="E879" s="41" t="n"/>
      <c r="F879" s="41" t="n"/>
      <c r="G879" s="41" t="n"/>
      <c r="H879" s="41" t="n"/>
    </row>
    <row r="880" ht="15.75" customHeight="1" s="60">
      <c r="A880" s="41" t="n"/>
      <c r="B880" s="41" t="n"/>
      <c r="C880" s="41" t="n"/>
      <c r="D880" s="41" t="n"/>
      <c r="E880" s="41" t="n"/>
      <c r="F880" s="41" t="n"/>
      <c r="G880" s="41" t="n"/>
      <c r="H880" s="41" t="n"/>
    </row>
    <row r="881" ht="15.75" customHeight="1" s="60">
      <c r="A881" s="41" t="n"/>
      <c r="B881" s="41" t="n"/>
      <c r="C881" s="41" t="n"/>
      <c r="D881" s="41" t="n"/>
      <c r="E881" s="41" t="n"/>
      <c r="F881" s="41" t="n"/>
      <c r="G881" s="41" t="n"/>
      <c r="H881" s="41" t="n"/>
    </row>
    <row r="882" ht="15.75" customHeight="1" s="60">
      <c r="A882" s="41" t="n"/>
      <c r="B882" s="41" t="n"/>
      <c r="C882" s="41" t="n"/>
      <c r="D882" s="41" t="n"/>
      <c r="E882" s="41" t="n"/>
      <c r="F882" s="41" t="n"/>
      <c r="G882" s="41" t="n"/>
      <c r="H882" s="41" t="n"/>
    </row>
    <row r="883" ht="15.75" customHeight="1" s="60">
      <c r="A883" s="41" t="n"/>
      <c r="B883" s="41" t="n"/>
      <c r="C883" s="41" t="n"/>
      <c r="D883" s="41" t="n"/>
      <c r="E883" s="41" t="n"/>
      <c r="F883" s="41" t="n"/>
      <c r="G883" s="41" t="n"/>
      <c r="H883" s="41" t="n"/>
    </row>
    <row r="884" ht="15.75" customHeight="1" s="60">
      <c r="A884" s="41" t="n"/>
      <c r="B884" s="41" t="n"/>
      <c r="C884" s="41" t="n"/>
      <c r="D884" s="41" t="n"/>
      <c r="E884" s="41" t="n"/>
      <c r="F884" s="41" t="n"/>
      <c r="G884" s="41" t="n"/>
      <c r="H884" s="41" t="n"/>
    </row>
    <row r="885" ht="15.75" customHeight="1" s="60">
      <c r="A885" s="41" t="n"/>
      <c r="B885" s="41" t="n"/>
      <c r="C885" s="41" t="n"/>
      <c r="D885" s="41" t="n"/>
      <c r="E885" s="41" t="n"/>
      <c r="F885" s="41" t="n"/>
      <c r="G885" s="41" t="n"/>
      <c r="H885" s="41" t="n"/>
    </row>
    <row r="886" ht="15.75" customHeight="1" s="60">
      <c r="A886" s="41" t="n"/>
      <c r="B886" s="41" t="n"/>
      <c r="C886" s="41" t="n"/>
      <c r="D886" s="41" t="n"/>
      <c r="E886" s="41" t="n"/>
      <c r="F886" s="41" t="n"/>
      <c r="G886" s="41" t="n"/>
      <c r="H886" s="41" t="n"/>
    </row>
    <row r="887" ht="15.75" customHeight="1" s="60">
      <c r="A887" s="41" t="n"/>
      <c r="B887" s="41" t="n"/>
      <c r="C887" s="41" t="n"/>
      <c r="D887" s="41" t="n"/>
      <c r="E887" s="41" t="n"/>
      <c r="F887" s="41" t="n"/>
      <c r="G887" s="41" t="n"/>
      <c r="H887" s="41" t="n"/>
    </row>
    <row r="888" ht="15.75" customHeight="1" s="60">
      <c r="A888" s="41" t="n"/>
      <c r="B888" s="41" t="n"/>
      <c r="C888" s="41" t="n"/>
      <c r="D888" s="41" t="n"/>
      <c r="E888" s="41" t="n"/>
      <c r="F888" s="41" t="n"/>
      <c r="G888" s="41" t="n"/>
      <c r="H888" s="41" t="n"/>
    </row>
    <row r="889" ht="15.75" customHeight="1" s="60">
      <c r="A889" s="41" t="n"/>
      <c r="B889" s="41" t="n"/>
      <c r="C889" s="41" t="n"/>
      <c r="D889" s="41" t="n"/>
      <c r="E889" s="41" t="n"/>
      <c r="F889" s="41" t="n"/>
      <c r="G889" s="41" t="n"/>
      <c r="H889" s="41" t="n"/>
    </row>
    <row r="890" ht="15.75" customHeight="1" s="60">
      <c r="A890" s="41" t="n"/>
      <c r="B890" s="41" t="n"/>
      <c r="C890" s="41" t="n"/>
      <c r="D890" s="41" t="n"/>
      <c r="E890" s="41" t="n"/>
      <c r="F890" s="41" t="n"/>
      <c r="G890" s="41" t="n"/>
      <c r="H890" s="41" t="n"/>
    </row>
    <row r="891" ht="15.75" customHeight="1" s="60">
      <c r="A891" s="41" t="n"/>
      <c r="B891" s="41" t="n"/>
      <c r="C891" s="41" t="n"/>
      <c r="D891" s="41" t="n"/>
      <c r="E891" s="41" t="n"/>
      <c r="F891" s="41" t="n"/>
      <c r="G891" s="41" t="n"/>
      <c r="H891" s="41" t="n"/>
    </row>
    <row r="892" ht="15.75" customHeight="1" s="60">
      <c r="A892" s="41" t="n"/>
      <c r="B892" s="41" t="n"/>
      <c r="C892" s="41" t="n"/>
      <c r="D892" s="41" t="n"/>
      <c r="E892" s="41" t="n"/>
      <c r="F892" s="41" t="n"/>
      <c r="G892" s="41" t="n"/>
      <c r="H892" s="41" t="n"/>
    </row>
    <row r="893" ht="15.75" customHeight="1" s="60">
      <c r="A893" s="41" t="n"/>
      <c r="B893" s="41" t="n"/>
      <c r="C893" s="41" t="n"/>
      <c r="D893" s="41" t="n"/>
      <c r="E893" s="41" t="n"/>
      <c r="F893" s="41" t="n"/>
      <c r="G893" s="41" t="n"/>
      <c r="H893" s="41" t="n"/>
    </row>
    <row r="894" ht="15.75" customHeight="1" s="60">
      <c r="A894" s="41" t="n"/>
      <c r="B894" s="41" t="n"/>
      <c r="C894" s="41" t="n"/>
      <c r="D894" s="41" t="n"/>
      <c r="E894" s="41" t="n"/>
      <c r="F894" s="41" t="n"/>
      <c r="G894" s="41" t="n"/>
      <c r="H894" s="41" t="n"/>
    </row>
    <row r="895" ht="15.75" customHeight="1" s="60">
      <c r="A895" s="41" t="n"/>
      <c r="B895" s="41" t="n"/>
      <c r="C895" s="41" t="n"/>
      <c r="D895" s="41" t="n"/>
      <c r="E895" s="41" t="n"/>
      <c r="F895" s="41" t="n"/>
      <c r="G895" s="41" t="n"/>
      <c r="H895" s="41" t="n"/>
    </row>
    <row r="896" ht="15.75" customHeight="1" s="60">
      <c r="A896" s="41" t="n"/>
      <c r="B896" s="41" t="n"/>
      <c r="C896" s="41" t="n"/>
      <c r="D896" s="41" t="n"/>
      <c r="E896" s="41" t="n"/>
      <c r="F896" s="41" t="n"/>
      <c r="G896" s="41" t="n"/>
      <c r="H896" s="41" t="n"/>
    </row>
    <row r="897" ht="15.75" customHeight="1" s="60">
      <c r="A897" s="41" t="n"/>
      <c r="B897" s="41" t="n"/>
      <c r="C897" s="41" t="n"/>
      <c r="D897" s="41" t="n"/>
      <c r="E897" s="41" t="n"/>
      <c r="F897" s="41" t="n"/>
      <c r="G897" s="41" t="n"/>
      <c r="H897" s="41" t="n"/>
    </row>
    <row r="898" ht="15.75" customHeight="1" s="60">
      <c r="A898" s="41" t="n"/>
      <c r="B898" s="41" t="n"/>
      <c r="C898" s="41" t="n"/>
      <c r="D898" s="41" t="n"/>
      <c r="E898" s="41" t="n"/>
      <c r="F898" s="41" t="n"/>
      <c r="G898" s="41" t="n"/>
      <c r="H898" s="41" t="n"/>
    </row>
    <row r="899" ht="15.75" customHeight="1" s="60">
      <c r="A899" s="41" t="n"/>
      <c r="B899" s="41" t="n"/>
      <c r="C899" s="41" t="n"/>
      <c r="D899" s="41" t="n"/>
      <c r="E899" s="41" t="n"/>
      <c r="F899" s="41" t="n"/>
      <c r="G899" s="41" t="n"/>
      <c r="H899" s="41" t="n"/>
    </row>
    <row r="900" ht="15.75" customHeight="1" s="60">
      <c r="A900" s="41" t="n"/>
      <c r="B900" s="41" t="n"/>
      <c r="C900" s="41" t="n"/>
      <c r="D900" s="41" t="n"/>
      <c r="E900" s="41" t="n"/>
      <c r="F900" s="41" t="n"/>
      <c r="G900" s="41" t="n"/>
      <c r="H900" s="41" t="n"/>
    </row>
    <row r="901" ht="15.75" customHeight="1" s="60">
      <c r="A901" s="41" t="n"/>
      <c r="B901" s="41" t="n"/>
      <c r="C901" s="41" t="n"/>
      <c r="D901" s="41" t="n"/>
      <c r="E901" s="41" t="n"/>
      <c r="F901" s="41" t="n"/>
      <c r="G901" s="41" t="n"/>
      <c r="H901" s="41" t="n"/>
    </row>
    <row r="902" ht="15.75" customHeight="1" s="60">
      <c r="A902" s="41" t="n"/>
      <c r="B902" s="41" t="n"/>
      <c r="C902" s="41" t="n"/>
      <c r="D902" s="41" t="n"/>
      <c r="E902" s="41" t="n"/>
      <c r="F902" s="41" t="n"/>
      <c r="G902" s="41" t="n"/>
      <c r="H902" s="41" t="n"/>
    </row>
    <row r="903" ht="15.75" customHeight="1" s="60">
      <c r="A903" s="41" t="n"/>
      <c r="B903" s="41" t="n"/>
      <c r="C903" s="41" t="n"/>
      <c r="D903" s="41" t="n"/>
      <c r="E903" s="41" t="n"/>
      <c r="F903" s="41" t="n"/>
      <c r="G903" s="41" t="n"/>
      <c r="H903" s="41" t="n"/>
    </row>
    <row r="904" ht="15.75" customHeight="1" s="60">
      <c r="A904" s="41" t="n"/>
      <c r="B904" s="41" t="n"/>
      <c r="C904" s="41" t="n"/>
      <c r="D904" s="41" t="n"/>
      <c r="E904" s="41" t="n"/>
      <c r="F904" s="41" t="n"/>
      <c r="G904" s="41" t="n"/>
      <c r="H904" s="41" t="n"/>
    </row>
    <row r="905" ht="15.75" customHeight="1" s="60">
      <c r="A905" s="41" t="n"/>
      <c r="B905" s="41" t="n"/>
      <c r="C905" s="41" t="n"/>
      <c r="D905" s="41" t="n"/>
      <c r="E905" s="41" t="n"/>
      <c r="F905" s="41" t="n"/>
      <c r="G905" s="41" t="n"/>
      <c r="H905" s="41" t="n"/>
    </row>
    <row r="906" ht="15.75" customHeight="1" s="60">
      <c r="A906" s="41" t="n"/>
      <c r="B906" s="41" t="n"/>
      <c r="C906" s="41" t="n"/>
      <c r="D906" s="41" t="n"/>
      <c r="E906" s="41" t="n"/>
      <c r="F906" s="41" t="n"/>
      <c r="G906" s="41" t="n"/>
      <c r="H906" s="41" t="n"/>
    </row>
    <row r="907" ht="15.75" customHeight="1" s="60">
      <c r="A907" s="41" t="n"/>
      <c r="B907" s="41" t="n"/>
      <c r="C907" s="41" t="n"/>
      <c r="D907" s="41" t="n"/>
      <c r="E907" s="41" t="n"/>
      <c r="F907" s="41" t="n"/>
      <c r="G907" s="41" t="n"/>
      <c r="H907" s="41" t="n"/>
    </row>
    <row r="908" ht="15.75" customHeight="1" s="60">
      <c r="A908" s="41" t="n"/>
      <c r="B908" s="41" t="n"/>
      <c r="C908" s="41" t="n"/>
      <c r="D908" s="41" t="n"/>
      <c r="E908" s="41" t="n"/>
      <c r="F908" s="41" t="n"/>
      <c r="G908" s="41" t="n"/>
      <c r="H908" s="41" t="n"/>
    </row>
    <row r="909" ht="15.75" customHeight="1" s="60">
      <c r="A909" s="41" t="n"/>
      <c r="B909" s="41" t="n"/>
      <c r="C909" s="41" t="n"/>
      <c r="D909" s="41" t="n"/>
      <c r="E909" s="41" t="n"/>
      <c r="F909" s="41" t="n"/>
      <c r="G909" s="41" t="n"/>
      <c r="H909" s="41" t="n"/>
    </row>
    <row r="910" ht="15.75" customHeight="1" s="60">
      <c r="A910" s="41" t="n"/>
      <c r="B910" s="41" t="n"/>
      <c r="C910" s="41" t="n"/>
      <c r="D910" s="41" t="n"/>
      <c r="E910" s="41" t="n"/>
      <c r="F910" s="41" t="n"/>
      <c r="G910" s="41" t="n"/>
      <c r="H910" s="41" t="n"/>
    </row>
    <row r="911" ht="15.75" customHeight="1" s="60">
      <c r="A911" s="41" t="n"/>
      <c r="B911" s="41" t="n"/>
      <c r="C911" s="41" t="n"/>
      <c r="D911" s="41" t="n"/>
      <c r="E911" s="41" t="n"/>
      <c r="F911" s="41" t="n"/>
      <c r="G911" s="41" t="n"/>
      <c r="H911" s="41" t="n"/>
    </row>
    <row r="912" ht="15.75" customHeight="1" s="60">
      <c r="A912" s="41" t="n"/>
      <c r="B912" s="41" t="n"/>
      <c r="C912" s="41" t="n"/>
      <c r="D912" s="41" t="n"/>
      <c r="E912" s="41" t="n"/>
      <c r="F912" s="41" t="n"/>
      <c r="G912" s="41" t="n"/>
      <c r="H912" s="41" t="n"/>
    </row>
    <row r="913" ht="15.75" customHeight="1" s="60">
      <c r="A913" s="41" t="n"/>
      <c r="B913" s="41" t="n"/>
      <c r="C913" s="41" t="n"/>
      <c r="D913" s="41" t="n"/>
      <c r="E913" s="41" t="n"/>
      <c r="F913" s="41" t="n"/>
      <c r="G913" s="41" t="n"/>
      <c r="H913" s="41" t="n"/>
    </row>
    <row r="914" ht="15.75" customHeight="1" s="60">
      <c r="A914" s="41" t="n"/>
      <c r="B914" s="41" t="n"/>
      <c r="C914" s="41" t="n"/>
      <c r="D914" s="41" t="n"/>
      <c r="E914" s="41" t="n"/>
      <c r="F914" s="41" t="n"/>
      <c r="G914" s="41" t="n"/>
      <c r="H914" s="41" t="n"/>
    </row>
    <row r="915" ht="15.75" customHeight="1" s="60">
      <c r="A915" s="41" t="n"/>
      <c r="B915" s="41" t="n"/>
      <c r="C915" s="41" t="n"/>
      <c r="D915" s="41" t="n"/>
      <c r="E915" s="41" t="n"/>
      <c r="F915" s="41" t="n"/>
      <c r="G915" s="41" t="n"/>
      <c r="H915" s="41" t="n"/>
    </row>
    <row r="916" ht="15.75" customHeight="1" s="60">
      <c r="A916" s="41" t="n"/>
      <c r="B916" s="41" t="n"/>
      <c r="C916" s="41" t="n"/>
      <c r="D916" s="41" t="n"/>
      <c r="E916" s="41" t="n"/>
      <c r="F916" s="41" t="n"/>
      <c r="G916" s="41" t="n"/>
      <c r="H916" s="41" t="n"/>
    </row>
    <row r="917" ht="15.75" customHeight="1" s="60">
      <c r="A917" s="41" t="n"/>
      <c r="B917" s="41" t="n"/>
      <c r="C917" s="41" t="n"/>
      <c r="D917" s="41" t="n"/>
      <c r="E917" s="41" t="n"/>
      <c r="F917" s="41" t="n"/>
      <c r="G917" s="41" t="n"/>
      <c r="H917" s="41" t="n"/>
    </row>
    <row r="918" ht="15.75" customHeight="1" s="60">
      <c r="A918" s="41" t="n"/>
      <c r="B918" s="41" t="n"/>
      <c r="C918" s="41" t="n"/>
      <c r="D918" s="41" t="n"/>
      <c r="E918" s="41" t="n"/>
      <c r="F918" s="41" t="n"/>
      <c r="G918" s="41" t="n"/>
      <c r="H918" s="41" t="n"/>
    </row>
    <row r="919" ht="15.75" customHeight="1" s="60">
      <c r="A919" s="41" t="n"/>
      <c r="B919" s="41" t="n"/>
      <c r="C919" s="41" t="n"/>
      <c r="D919" s="41" t="n"/>
      <c r="E919" s="41" t="n"/>
      <c r="F919" s="41" t="n"/>
      <c r="G919" s="41" t="n"/>
      <c r="H919" s="41" t="n"/>
    </row>
    <row r="920" ht="15.75" customHeight="1" s="60">
      <c r="A920" s="41" t="n"/>
      <c r="B920" s="41" t="n"/>
      <c r="C920" s="41" t="n"/>
      <c r="D920" s="41" t="n"/>
      <c r="E920" s="41" t="n"/>
      <c r="F920" s="41" t="n"/>
      <c r="G920" s="41" t="n"/>
      <c r="H920" s="41" t="n"/>
    </row>
    <row r="921" ht="15.75" customHeight="1" s="60">
      <c r="A921" s="41" t="n"/>
      <c r="B921" s="41" t="n"/>
      <c r="C921" s="41" t="n"/>
      <c r="D921" s="41" t="n"/>
      <c r="E921" s="41" t="n"/>
      <c r="F921" s="41" t="n"/>
      <c r="G921" s="41" t="n"/>
      <c r="H921" s="41" t="n"/>
    </row>
    <row r="922" ht="15.75" customHeight="1" s="60">
      <c r="A922" s="41" t="n"/>
      <c r="B922" s="41" t="n"/>
      <c r="C922" s="41" t="n"/>
      <c r="D922" s="41" t="n"/>
      <c r="E922" s="41" t="n"/>
      <c r="F922" s="41" t="n"/>
      <c r="G922" s="41" t="n"/>
      <c r="H922" s="41" t="n"/>
    </row>
    <row r="923" ht="15.75" customHeight="1" s="60">
      <c r="A923" s="41" t="n"/>
      <c r="B923" s="41" t="n"/>
      <c r="C923" s="41" t="n"/>
      <c r="D923" s="41" t="n"/>
      <c r="E923" s="41" t="n"/>
      <c r="F923" s="41" t="n"/>
      <c r="G923" s="41" t="n"/>
      <c r="H923" s="41" t="n"/>
    </row>
    <row r="924" ht="15.75" customHeight="1" s="60">
      <c r="A924" s="41" t="n"/>
      <c r="B924" s="41" t="n"/>
      <c r="C924" s="41" t="n"/>
      <c r="D924" s="41" t="n"/>
      <c r="E924" s="41" t="n"/>
      <c r="F924" s="41" t="n"/>
      <c r="G924" s="41" t="n"/>
      <c r="H924" s="41" t="n"/>
    </row>
    <row r="925" ht="15.75" customHeight="1" s="60">
      <c r="A925" s="41" t="n"/>
      <c r="B925" s="41" t="n"/>
      <c r="C925" s="41" t="n"/>
      <c r="D925" s="41" t="n"/>
      <c r="E925" s="41" t="n"/>
      <c r="F925" s="41" t="n"/>
      <c r="G925" s="41" t="n"/>
      <c r="H925" s="41" t="n"/>
    </row>
    <row r="926" ht="15.75" customHeight="1" s="60">
      <c r="A926" s="41" t="n"/>
      <c r="B926" s="41" t="n"/>
      <c r="C926" s="41" t="n"/>
      <c r="D926" s="41" t="n"/>
      <c r="E926" s="41" t="n"/>
      <c r="F926" s="41" t="n"/>
      <c r="G926" s="41" t="n"/>
      <c r="H926" s="41" t="n"/>
    </row>
    <row r="927" ht="15.75" customHeight="1" s="60">
      <c r="A927" s="41" t="n"/>
      <c r="B927" s="41" t="n"/>
      <c r="C927" s="41" t="n"/>
      <c r="D927" s="41" t="n"/>
      <c r="E927" s="41" t="n"/>
      <c r="F927" s="41" t="n"/>
      <c r="G927" s="41" t="n"/>
      <c r="H927" s="41" t="n"/>
    </row>
    <row r="928" ht="15.75" customHeight="1" s="60">
      <c r="A928" s="41" t="n"/>
      <c r="B928" s="41" t="n"/>
      <c r="C928" s="41" t="n"/>
      <c r="D928" s="41" t="n"/>
      <c r="E928" s="41" t="n"/>
      <c r="F928" s="41" t="n"/>
      <c r="G928" s="41" t="n"/>
      <c r="H928" s="41" t="n"/>
    </row>
    <row r="929" ht="15.75" customHeight="1" s="60">
      <c r="A929" s="41" t="n"/>
      <c r="B929" s="41" t="n"/>
      <c r="C929" s="41" t="n"/>
      <c r="D929" s="41" t="n"/>
      <c r="E929" s="41" t="n"/>
      <c r="F929" s="41" t="n"/>
      <c r="G929" s="41" t="n"/>
      <c r="H929" s="41" t="n"/>
    </row>
    <row r="930" ht="15.75" customHeight="1" s="60">
      <c r="A930" s="41" t="n"/>
      <c r="B930" s="41" t="n"/>
      <c r="C930" s="41" t="n"/>
      <c r="D930" s="41" t="n"/>
      <c r="E930" s="41" t="n"/>
      <c r="F930" s="41" t="n"/>
      <c r="G930" s="41" t="n"/>
      <c r="H930" s="41" t="n"/>
    </row>
    <row r="931" ht="15.75" customHeight="1" s="60">
      <c r="A931" s="41" t="n"/>
      <c r="B931" s="41" t="n"/>
      <c r="C931" s="41" t="n"/>
      <c r="D931" s="41" t="n"/>
      <c r="E931" s="41" t="n"/>
      <c r="F931" s="41" t="n"/>
      <c r="G931" s="41" t="n"/>
      <c r="H931" s="41" t="n"/>
    </row>
    <row r="932" ht="15.75" customHeight="1" s="60">
      <c r="A932" s="41" t="n"/>
      <c r="B932" s="41" t="n"/>
      <c r="C932" s="41" t="n"/>
      <c r="D932" s="41" t="n"/>
      <c r="E932" s="41" t="n"/>
      <c r="F932" s="41" t="n"/>
      <c r="G932" s="41" t="n"/>
      <c r="H932" s="41" t="n"/>
    </row>
    <row r="933" ht="15.75" customHeight="1" s="60">
      <c r="A933" s="41" t="n"/>
      <c r="B933" s="41" t="n"/>
      <c r="C933" s="41" t="n"/>
      <c r="D933" s="41" t="n"/>
      <c r="E933" s="41" t="n"/>
      <c r="F933" s="41" t="n"/>
      <c r="G933" s="41" t="n"/>
      <c r="H933" s="41" t="n"/>
    </row>
    <row r="934" ht="15.75" customHeight="1" s="60">
      <c r="A934" s="41" t="n"/>
      <c r="B934" s="41" t="n"/>
      <c r="C934" s="41" t="n"/>
      <c r="D934" s="41" t="n"/>
      <c r="E934" s="41" t="n"/>
      <c r="F934" s="41" t="n"/>
      <c r="G934" s="41" t="n"/>
      <c r="H934" s="41" t="n"/>
    </row>
    <row r="935" ht="15.75" customHeight="1" s="60">
      <c r="A935" s="41" t="n"/>
      <c r="B935" s="41" t="n"/>
      <c r="C935" s="41" t="n"/>
      <c r="D935" s="41" t="n"/>
      <c r="E935" s="41" t="n"/>
      <c r="F935" s="41" t="n"/>
      <c r="G935" s="41" t="n"/>
      <c r="H935" s="41" t="n"/>
    </row>
    <row r="936" ht="15.75" customHeight="1" s="60">
      <c r="A936" s="41" t="n"/>
      <c r="B936" s="41" t="n"/>
      <c r="C936" s="41" t="n"/>
      <c r="D936" s="41" t="n"/>
      <c r="E936" s="41" t="n"/>
      <c r="F936" s="41" t="n"/>
      <c r="G936" s="41" t="n"/>
      <c r="H936" s="41" t="n"/>
    </row>
    <row r="937" ht="15.75" customHeight="1" s="60">
      <c r="A937" s="41" t="n"/>
      <c r="B937" s="41" t="n"/>
      <c r="C937" s="41" t="n"/>
      <c r="D937" s="41" t="n"/>
      <c r="E937" s="41" t="n"/>
      <c r="F937" s="41" t="n"/>
      <c r="G937" s="41" t="n"/>
      <c r="H937" s="41" t="n"/>
    </row>
    <row r="938" ht="15.75" customHeight="1" s="60">
      <c r="A938" s="41" t="n"/>
      <c r="B938" s="41" t="n"/>
      <c r="C938" s="41" t="n"/>
      <c r="D938" s="41" t="n"/>
      <c r="E938" s="41" t="n"/>
      <c r="F938" s="41" t="n"/>
      <c r="G938" s="41" t="n"/>
      <c r="H938" s="41" t="n"/>
    </row>
    <row r="939" ht="15.75" customHeight="1" s="60">
      <c r="A939" s="41" t="n"/>
      <c r="B939" s="41" t="n"/>
      <c r="C939" s="41" t="n"/>
      <c r="D939" s="41" t="n"/>
      <c r="E939" s="41" t="n"/>
      <c r="F939" s="41" t="n"/>
      <c r="G939" s="41" t="n"/>
      <c r="H939" s="41" t="n"/>
    </row>
    <row r="940" ht="15.75" customHeight="1" s="60">
      <c r="A940" s="41" t="n"/>
      <c r="B940" s="41" t="n"/>
      <c r="C940" s="41" t="n"/>
      <c r="D940" s="41" t="n"/>
      <c r="E940" s="41" t="n"/>
      <c r="F940" s="41" t="n"/>
      <c r="G940" s="41" t="n"/>
      <c r="H940" s="41" t="n"/>
    </row>
    <row r="941" ht="15.75" customHeight="1" s="60">
      <c r="A941" s="41" t="n"/>
      <c r="B941" s="41" t="n"/>
      <c r="C941" s="41" t="n"/>
      <c r="D941" s="41" t="n"/>
      <c r="E941" s="41" t="n"/>
      <c r="F941" s="41" t="n"/>
      <c r="G941" s="41" t="n"/>
      <c r="H941" s="41" t="n"/>
    </row>
    <row r="942" ht="15.75" customHeight="1" s="60">
      <c r="A942" s="41" t="n"/>
      <c r="B942" s="41" t="n"/>
      <c r="C942" s="41" t="n"/>
      <c r="D942" s="41" t="n"/>
      <c r="E942" s="41" t="n"/>
      <c r="F942" s="41" t="n"/>
      <c r="G942" s="41" t="n"/>
      <c r="H942" s="41" t="n"/>
    </row>
    <row r="943" ht="15.75" customHeight="1" s="60">
      <c r="A943" s="41" t="n"/>
      <c r="B943" s="41" t="n"/>
      <c r="C943" s="41" t="n"/>
      <c r="D943" s="41" t="n"/>
      <c r="E943" s="41" t="n"/>
      <c r="F943" s="41" t="n"/>
      <c r="G943" s="41" t="n"/>
      <c r="H943" s="41" t="n"/>
    </row>
    <row r="944" ht="15.75" customHeight="1" s="60">
      <c r="A944" s="41" t="n"/>
      <c r="B944" s="41" t="n"/>
      <c r="C944" s="41" t="n"/>
      <c r="D944" s="41" t="n"/>
      <c r="E944" s="41" t="n"/>
      <c r="F944" s="41" t="n"/>
      <c r="G944" s="41" t="n"/>
      <c r="H944" s="41" t="n"/>
    </row>
    <row r="945" ht="15.75" customHeight="1" s="60">
      <c r="A945" s="41" t="n"/>
      <c r="B945" s="41" t="n"/>
      <c r="C945" s="41" t="n"/>
      <c r="D945" s="41" t="n"/>
      <c r="E945" s="41" t="n"/>
      <c r="F945" s="41" t="n"/>
      <c r="G945" s="41" t="n"/>
      <c r="H945" s="41" t="n"/>
    </row>
    <row r="946" ht="15.75" customHeight="1" s="60">
      <c r="A946" s="41" t="n"/>
      <c r="B946" s="41" t="n"/>
      <c r="C946" s="41" t="n"/>
      <c r="D946" s="41" t="n"/>
      <c r="E946" s="41" t="n"/>
      <c r="F946" s="41" t="n"/>
      <c r="G946" s="41" t="n"/>
      <c r="H946" s="41" t="n"/>
    </row>
    <row r="947" ht="15.75" customHeight="1" s="60">
      <c r="A947" s="41" t="n"/>
      <c r="B947" s="41" t="n"/>
      <c r="C947" s="41" t="n"/>
      <c r="D947" s="41" t="n"/>
      <c r="E947" s="41" t="n"/>
      <c r="F947" s="41" t="n"/>
      <c r="G947" s="41" t="n"/>
      <c r="H947" s="41" t="n"/>
    </row>
    <row r="948" ht="15.75" customHeight="1" s="60">
      <c r="A948" s="41" t="n"/>
      <c r="B948" s="41" t="n"/>
      <c r="C948" s="41" t="n"/>
      <c r="D948" s="41" t="n"/>
      <c r="E948" s="41" t="n"/>
      <c r="F948" s="41" t="n"/>
      <c r="G948" s="41" t="n"/>
      <c r="H948" s="41" t="n"/>
    </row>
    <row r="949" ht="15.75" customHeight="1" s="60">
      <c r="A949" s="41" t="n"/>
      <c r="B949" s="41" t="n"/>
      <c r="C949" s="41" t="n"/>
      <c r="D949" s="41" t="n"/>
      <c r="E949" s="41" t="n"/>
      <c r="F949" s="41" t="n"/>
      <c r="G949" s="41" t="n"/>
      <c r="H949" s="41" t="n"/>
    </row>
    <row r="950" ht="15.75" customHeight="1" s="60">
      <c r="A950" s="41" t="n"/>
      <c r="B950" s="41" t="n"/>
      <c r="C950" s="41" t="n"/>
      <c r="D950" s="41" t="n"/>
      <c r="E950" s="41" t="n"/>
      <c r="F950" s="41" t="n"/>
      <c r="G950" s="41" t="n"/>
      <c r="H950" s="41" t="n"/>
    </row>
    <row r="951" ht="15.75" customHeight="1" s="60">
      <c r="A951" s="41" t="n"/>
      <c r="B951" s="41" t="n"/>
      <c r="C951" s="41" t="n"/>
      <c r="D951" s="41" t="n"/>
      <c r="E951" s="41" t="n"/>
      <c r="F951" s="41" t="n"/>
      <c r="G951" s="41" t="n"/>
      <c r="H951" s="41" t="n"/>
    </row>
    <row r="952" ht="15.75" customHeight="1" s="60">
      <c r="A952" s="41" t="n"/>
      <c r="B952" s="41" t="n"/>
      <c r="C952" s="41" t="n"/>
      <c r="D952" s="41" t="n"/>
      <c r="E952" s="41" t="n"/>
      <c r="F952" s="41" t="n"/>
      <c r="G952" s="41" t="n"/>
      <c r="H952" s="41" t="n"/>
    </row>
    <row r="953" ht="15.75" customHeight="1" s="60">
      <c r="A953" s="41" t="n"/>
      <c r="B953" s="41" t="n"/>
      <c r="C953" s="41" t="n"/>
      <c r="D953" s="41" t="n"/>
      <c r="E953" s="41" t="n"/>
      <c r="F953" s="41" t="n"/>
      <c r="G953" s="41" t="n"/>
      <c r="H953" s="41" t="n"/>
    </row>
    <row r="954" ht="15.75" customHeight="1" s="60">
      <c r="A954" s="41" t="n"/>
      <c r="B954" s="41" t="n"/>
      <c r="C954" s="41" t="n"/>
      <c r="D954" s="41" t="n"/>
      <c r="E954" s="41" t="n"/>
      <c r="F954" s="41" t="n"/>
      <c r="G954" s="41" t="n"/>
      <c r="H954" s="41" t="n"/>
    </row>
    <row r="955" ht="15.75" customHeight="1" s="60">
      <c r="A955" s="41" t="n"/>
      <c r="B955" s="41" t="n"/>
      <c r="C955" s="41" t="n"/>
      <c r="D955" s="41" t="n"/>
      <c r="E955" s="41" t="n"/>
      <c r="F955" s="41" t="n"/>
      <c r="G955" s="41" t="n"/>
      <c r="H955" s="41" t="n"/>
    </row>
    <row r="956" ht="15.75" customHeight="1" s="60">
      <c r="A956" s="41" t="n"/>
      <c r="B956" s="41" t="n"/>
      <c r="C956" s="41" t="n"/>
      <c r="D956" s="41" t="n"/>
      <c r="E956" s="41" t="n"/>
      <c r="F956" s="41" t="n"/>
      <c r="G956" s="41" t="n"/>
      <c r="H956" s="41" t="n"/>
    </row>
    <row r="957" ht="15.75" customHeight="1" s="60">
      <c r="A957" s="41" t="n"/>
      <c r="B957" s="41" t="n"/>
      <c r="C957" s="41" t="n"/>
      <c r="D957" s="41" t="n"/>
      <c r="E957" s="41" t="n"/>
      <c r="F957" s="41" t="n"/>
      <c r="G957" s="41" t="n"/>
      <c r="H957" s="41" t="n"/>
    </row>
    <row r="958" ht="15.75" customHeight="1" s="60">
      <c r="A958" s="41" t="n"/>
      <c r="B958" s="41" t="n"/>
      <c r="C958" s="41" t="n"/>
      <c r="D958" s="41" t="n"/>
      <c r="E958" s="41" t="n"/>
      <c r="F958" s="41" t="n"/>
      <c r="G958" s="41" t="n"/>
      <c r="H958" s="41" t="n"/>
    </row>
    <row r="959" ht="15.75" customHeight="1" s="60">
      <c r="A959" s="41" t="n"/>
      <c r="B959" s="41" t="n"/>
      <c r="C959" s="41" t="n"/>
      <c r="D959" s="41" t="n"/>
      <c r="E959" s="41" t="n"/>
      <c r="F959" s="41" t="n"/>
      <c r="G959" s="41" t="n"/>
      <c r="H959" s="41" t="n"/>
    </row>
    <row r="960" ht="15.75" customHeight="1" s="60">
      <c r="A960" s="41" t="n"/>
      <c r="B960" s="41" t="n"/>
      <c r="C960" s="41" t="n"/>
      <c r="D960" s="41" t="n"/>
      <c r="E960" s="41" t="n"/>
      <c r="F960" s="41" t="n"/>
      <c r="G960" s="41" t="n"/>
      <c r="H960" s="41" t="n"/>
    </row>
    <row r="961" ht="15.75" customHeight="1" s="60">
      <c r="A961" s="41" t="n"/>
      <c r="B961" s="41" t="n"/>
      <c r="C961" s="41" t="n"/>
      <c r="D961" s="41" t="n"/>
      <c r="E961" s="41" t="n"/>
      <c r="F961" s="41" t="n"/>
      <c r="G961" s="41" t="n"/>
      <c r="H961" s="41" t="n"/>
    </row>
    <row r="962" ht="15.75" customHeight="1" s="60">
      <c r="A962" s="41" t="n"/>
      <c r="B962" s="41" t="n"/>
      <c r="C962" s="41" t="n"/>
      <c r="D962" s="41" t="n"/>
      <c r="E962" s="41" t="n"/>
      <c r="F962" s="41" t="n"/>
      <c r="G962" s="41" t="n"/>
      <c r="H962" s="41" t="n"/>
    </row>
    <row r="963" ht="15.75" customHeight="1" s="60">
      <c r="A963" s="41" t="n"/>
      <c r="B963" s="41" t="n"/>
      <c r="C963" s="41" t="n"/>
      <c r="D963" s="41" t="n"/>
      <c r="E963" s="41" t="n"/>
      <c r="F963" s="41" t="n"/>
      <c r="G963" s="41" t="n"/>
      <c r="H963" s="41" t="n"/>
    </row>
    <row r="964" ht="15.75" customHeight="1" s="60">
      <c r="A964" s="41" t="n"/>
      <c r="B964" s="41" t="n"/>
      <c r="C964" s="41" t="n"/>
      <c r="D964" s="41" t="n"/>
      <c r="E964" s="41" t="n"/>
      <c r="F964" s="41" t="n"/>
      <c r="G964" s="41" t="n"/>
      <c r="H964" s="41" t="n"/>
    </row>
    <row r="965" ht="15.75" customHeight="1" s="60">
      <c r="A965" s="41" t="n"/>
      <c r="B965" s="41" t="n"/>
      <c r="C965" s="41" t="n"/>
      <c r="D965" s="41" t="n"/>
      <c r="E965" s="41" t="n"/>
      <c r="F965" s="41" t="n"/>
      <c r="G965" s="41" t="n"/>
      <c r="H965" s="41" t="n"/>
    </row>
    <row r="966" ht="15.75" customHeight="1" s="60">
      <c r="A966" s="41" t="n"/>
      <c r="B966" s="41" t="n"/>
      <c r="C966" s="41" t="n"/>
      <c r="D966" s="41" t="n"/>
      <c r="E966" s="41" t="n"/>
      <c r="F966" s="41" t="n"/>
      <c r="G966" s="41" t="n"/>
      <c r="H966" s="41" t="n"/>
    </row>
    <row r="967" ht="15.75" customHeight="1" s="60">
      <c r="A967" s="41" t="n"/>
      <c r="B967" s="41" t="n"/>
      <c r="C967" s="41" t="n"/>
      <c r="D967" s="41" t="n"/>
      <c r="E967" s="41" t="n"/>
      <c r="F967" s="41" t="n"/>
      <c r="G967" s="41" t="n"/>
      <c r="H967" s="41" t="n"/>
    </row>
    <row r="968" ht="15.75" customHeight="1" s="60">
      <c r="A968" s="41" t="n"/>
      <c r="B968" s="41" t="n"/>
      <c r="C968" s="41" t="n"/>
      <c r="D968" s="41" t="n"/>
      <c r="E968" s="41" t="n"/>
      <c r="F968" s="41" t="n"/>
      <c r="G968" s="41" t="n"/>
      <c r="H968" s="41" t="n"/>
    </row>
    <row r="969" ht="15.75" customHeight="1" s="60">
      <c r="A969" s="41" t="n"/>
      <c r="B969" s="41" t="n"/>
      <c r="C969" s="41" t="n"/>
      <c r="D969" s="41" t="n"/>
      <c r="E969" s="41" t="n"/>
      <c r="F969" s="41" t="n"/>
      <c r="G969" s="41" t="n"/>
      <c r="H969" s="41" t="n"/>
    </row>
    <row r="970" ht="15.75" customHeight="1" s="60">
      <c r="A970" s="41" t="n"/>
      <c r="B970" s="41" t="n"/>
      <c r="C970" s="41" t="n"/>
      <c r="D970" s="41" t="n"/>
      <c r="E970" s="41" t="n"/>
      <c r="F970" s="41" t="n"/>
      <c r="G970" s="41" t="n"/>
      <c r="H970" s="41" t="n"/>
    </row>
    <row r="971" ht="15.75" customHeight="1" s="60">
      <c r="A971" s="41" t="n"/>
      <c r="B971" s="41" t="n"/>
      <c r="C971" s="41" t="n"/>
      <c r="D971" s="41" t="n"/>
      <c r="E971" s="41" t="n"/>
      <c r="F971" s="41" t="n"/>
      <c r="G971" s="41" t="n"/>
      <c r="H971" s="41" t="n"/>
    </row>
    <row r="972" ht="15.75" customHeight="1" s="60">
      <c r="A972" s="41" t="n"/>
      <c r="B972" s="41" t="n"/>
      <c r="C972" s="41" t="n"/>
      <c r="D972" s="41" t="n"/>
      <c r="E972" s="41" t="n"/>
      <c r="F972" s="41" t="n"/>
      <c r="G972" s="41" t="n"/>
      <c r="H972" s="41" t="n"/>
    </row>
    <row r="973" ht="15.75" customHeight="1" s="60">
      <c r="A973" s="41" t="n"/>
      <c r="B973" s="41" t="n"/>
      <c r="C973" s="41" t="n"/>
      <c r="D973" s="41" t="n"/>
      <c r="E973" s="41" t="n"/>
      <c r="F973" s="41" t="n"/>
      <c r="G973" s="41" t="n"/>
      <c r="H973" s="41" t="n"/>
    </row>
    <row r="974" ht="15.75" customHeight="1" s="60">
      <c r="A974" s="41" t="n"/>
      <c r="B974" s="41" t="n"/>
      <c r="C974" s="41" t="n"/>
      <c r="D974" s="41" t="n"/>
      <c r="E974" s="41" t="n"/>
      <c r="F974" s="41" t="n"/>
      <c r="G974" s="41" t="n"/>
      <c r="H974" s="41" t="n"/>
    </row>
    <row r="975" ht="15.75" customHeight="1" s="60">
      <c r="A975" s="41" t="n"/>
      <c r="B975" s="41" t="n"/>
      <c r="C975" s="41" t="n"/>
      <c r="D975" s="41" t="n"/>
      <c r="E975" s="41" t="n"/>
      <c r="F975" s="41" t="n"/>
      <c r="G975" s="41" t="n"/>
      <c r="H975" s="41" t="n"/>
    </row>
    <row r="976" ht="15.75" customHeight="1" s="60">
      <c r="A976" s="41" t="n"/>
      <c r="B976" s="41" t="n"/>
      <c r="C976" s="41" t="n"/>
      <c r="D976" s="41" t="n"/>
      <c r="E976" s="41" t="n"/>
      <c r="F976" s="41" t="n"/>
      <c r="G976" s="41" t="n"/>
      <c r="H976" s="41" t="n"/>
    </row>
    <row r="977" ht="15.75" customHeight="1" s="60">
      <c r="A977" s="41" t="n"/>
      <c r="B977" s="41" t="n"/>
      <c r="C977" s="41" t="n"/>
      <c r="D977" s="41" t="n"/>
      <c r="E977" s="41" t="n"/>
      <c r="F977" s="41" t="n"/>
      <c r="G977" s="41" t="n"/>
      <c r="H977" s="41" t="n"/>
    </row>
    <row r="978" ht="15.75" customHeight="1" s="60">
      <c r="A978" s="41" t="n"/>
      <c r="B978" s="41" t="n"/>
      <c r="C978" s="41" t="n"/>
      <c r="D978" s="41" t="n"/>
      <c r="E978" s="41" t="n"/>
      <c r="F978" s="41" t="n"/>
      <c r="G978" s="41" t="n"/>
      <c r="H978" s="41" t="n"/>
    </row>
    <row r="979" ht="15.75" customHeight="1" s="60">
      <c r="A979" s="41" t="n"/>
      <c r="B979" s="41" t="n"/>
      <c r="C979" s="41" t="n"/>
      <c r="D979" s="41" t="n"/>
      <c r="E979" s="41" t="n"/>
      <c r="F979" s="41" t="n"/>
      <c r="G979" s="41" t="n"/>
      <c r="H979" s="41" t="n"/>
    </row>
    <row r="980" ht="15.75" customHeight="1" s="60">
      <c r="A980" s="41" t="n"/>
      <c r="B980" s="41" t="n"/>
      <c r="C980" s="41" t="n"/>
      <c r="D980" s="41" t="n"/>
      <c r="E980" s="41" t="n"/>
      <c r="F980" s="41" t="n"/>
      <c r="G980" s="41" t="n"/>
      <c r="H980" s="41" t="n"/>
    </row>
    <row r="981" ht="15.75" customHeight="1" s="60">
      <c r="A981" s="41" t="n"/>
      <c r="B981" s="41" t="n"/>
      <c r="C981" s="41" t="n"/>
      <c r="D981" s="41" t="n"/>
      <c r="E981" s="41" t="n"/>
      <c r="F981" s="41" t="n"/>
      <c r="G981" s="41" t="n"/>
      <c r="H981" s="41" t="n"/>
    </row>
    <row r="982" ht="15.75" customHeight="1" s="60">
      <c r="A982" s="41" t="n"/>
      <c r="B982" s="41" t="n"/>
      <c r="C982" s="41" t="n"/>
      <c r="D982" s="41" t="n"/>
      <c r="E982" s="41" t="n"/>
      <c r="F982" s="41" t="n"/>
      <c r="G982" s="41" t="n"/>
      <c r="H982" s="41" t="n"/>
    </row>
    <row r="983" ht="15.75" customHeight="1" s="60">
      <c r="A983" s="41" t="n"/>
      <c r="B983" s="41" t="n"/>
      <c r="C983" s="41" t="n"/>
      <c r="D983" s="41" t="n"/>
      <c r="E983" s="41" t="n"/>
      <c r="F983" s="41" t="n"/>
      <c r="G983" s="41" t="n"/>
      <c r="H983" s="41" t="n"/>
    </row>
    <row r="984" ht="15.75" customHeight="1" s="60">
      <c r="A984" s="41" t="n"/>
      <c r="B984" s="41" t="n"/>
      <c r="C984" s="41" t="n"/>
      <c r="D984" s="41" t="n"/>
      <c r="E984" s="41" t="n"/>
      <c r="F984" s="41" t="n"/>
      <c r="G984" s="41" t="n"/>
      <c r="H984" s="41" t="n"/>
    </row>
    <row r="985" ht="15.75" customHeight="1" s="60">
      <c r="A985" s="41" t="n"/>
      <c r="B985" s="41" t="n"/>
      <c r="C985" s="41" t="n"/>
      <c r="D985" s="41" t="n"/>
      <c r="E985" s="41" t="n"/>
      <c r="F985" s="41" t="n"/>
      <c r="G985" s="41" t="n"/>
      <c r="H985" s="41" t="n"/>
    </row>
    <row r="986" ht="15.75" customHeight="1" s="60">
      <c r="A986" s="41" t="n"/>
      <c r="B986" s="41" t="n"/>
      <c r="C986" s="41" t="n"/>
      <c r="D986" s="41" t="n"/>
      <c r="E986" s="41" t="n"/>
      <c r="F986" s="41" t="n"/>
      <c r="G986" s="41" t="n"/>
      <c r="H986" s="41" t="n"/>
    </row>
    <row r="987" ht="15.75" customHeight="1" s="60">
      <c r="A987" s="41" t="n"/>
      <c r="B987" s="41" t="n"/>
      <c r="C987" s="41" t="n"/>
      <c r="D987" s="41" t="n"/>
      <c r="E987" s="41" t="n"/>
      <c r="F987" s="41" t="n"/>
      <c r="G987" s="41" t="n"/>
      <c r="H987" s="41" t="n"/>
    </row>
    <row r="988" ht="15.75" customHeight="1" s="60">
      <c r="A988" s="41" t="n"/>
      <c r="B988" s="41" t="n"/>
      <c r="C988" s="41" t="n"/>
      <c r="D988" s="41" t="n"/>
      <c r="E988" s="41" t="n"/>
      <c r="F988" s="41" t="n"/>
      <c r="G988" s="41" t="n"/>
      <c r="H988" s="41" t="n"/>
    </row>
    <row r="989" ht="15.75" customHeight="1" s="60">
      <c r="A989" s="41" t="n"/>
      <c r="B989" s="41" t="n"/>
      <c r="C989" s="41" t="n"/>
      <c r="D989" s="41" t="n"/>
      <c r="E989" s="41" t="n"/>
      <c r="F989" s="41" t="n"/>
      <c r="G989" s="41" t="n"/>
      <c r="H989" s="41" t="n"/>
    </row>
    <row r="990" ht="15.75" customHeight="1" s="60">
      <c r="A990" s="41" t="n"/>
      <c r="B990" s="41" t="n"/>
      <c r="C990" s="41" t="n"/>
      <c r="D990" s="41" t="n"/>
      <c r="E990" s="41" t="n"/>
      <c r="F990" s="41" t="n"/>
      <c r="G990" s="41" t="n"/>
      <c r="H990" s="41" t="n"/>
    </row>
    <row r="991" ht="15.75" customHeight="1" s="60">
      <c r="A991" s="41" t="n"/>
      <c r="B991" s="41" t="n"/>
      <c r="C991" s="41" t="n"/>
      <c r="D991" s="41" t="n"/>
      <c r="E991" s="41" t="n"/>
      <c r="F991" s="41" t="n"/>
      <c r="G991" s="41" t="n"/>
      <c r="H991" s="41" t="n"/>
    </row>
    <row r="992" ht="15.75" customHeight="1" s="60">
      <c r="A992" s="41" t="n"/>
      <c r="B992" s="41" t="n"/>
      <c r="C992" s="41" t="n"/>
      <c r="D992" s="41" t="n"/>
      <c r="E992" s="41" t="n"/>
      <c r="F992" s="41" t="n"/>
      <c r="G992" s="41" t="n"/>
      <c r="H992" s="41" t="n"/>
    </row>
    <row r="993" ht="15.75" customHeight="1" s="60">
      <c r="A993" s="41" t="n"/>
      <c r="B993" s="41" t="n"/>
      <c r="C993" s="41" t="n"/>
      <c r="D993" s="41" t="n"/>
      <c r="E993" s="41" t="n"/>
      <c r="F993" s="41" t="n"/>
      <c r="G993" s="41" t="n"/>
      <c r="H993" s="41" t="n"/>
    </row>
    <row r="994" ht="15.75" customHeight="1" s="60">
      <c r="A994" s="41" t="n"/>
      <c r="B994" s="41" t="n"/>
      <c r="C994" s="41" t="n"/>
      <c r="D994" s="41" t="n"/>
      <c r="E994" s="41" t="n"/>
      <c r="F994" s="41" t="n"/>
      <c r="G994" s="41" t="n"/>
      <c r="H994" s="41" t="n"/>
    </row>
    <row r="995" ht="15.75" customHeight="1" s="60">
      <c r="A995" s="41" t="n"/>
      <c r="B995" s="41" t="n"/>
      <c r="C995" s="41" t="n"/>
      <c r="D995" s="41" t="n"/>
      <c r="E995" s="41" t="n"/>
      <c r="F995" s="41" t="n"/>
      <c r="G995" s="41" t="n"/>
      <c r="H995" s="41" t="n"/>
    </row>
    <row r="996" ht="15.75" customHeight="1" s="60">
      <c r="A996" s="41" t="n"/>
      <c r="B996" s="41" t="n"/>
      <c r="C996" s="41" t="n"/>
      <c r="D996" s="41" t="n"/>
      <c r="E996" s="41" t="n"/>
      <c r="F996" s="41" t="n"/>
      <c r="G996" s="41" t="n"/>
      <c r="H996" s="41" t="n"/>
    </row>
    <row r="997" ht="15.75" customHeight="1" s="60">
      <c r="A997" s="41" t="n"/>
      <c r="B997" s="41" t="n"/>
      <c r="C997" s="41" t="n"/>
      <c r="D997" s="41" t="n"/>
      <c r="E997" s="41" t="n"/>
      <c r="F997" s="41" t="n"/>
      <c r="G997" s="41" t="n"/>
      <c r="H997" s="41" t="n"/>
    </row>
    <row r="998" ht="15.75" customHeight="1" s="60">
      <c r="A998" s="41" t="n"/>
      <c r="B998" s="41" t="n"/>
      <c r="C998" s="41" t="n"/>
      <c r="D998" s="41" t="n"/>
      <c r="E998" s="41" t="n"/>
      <c r="F998" s="41" t="n"/>
      <c r="G998" s="41" t="n"/>
      <c r="H998" s="41" t="n"/>
    </row>
    <row r="999" ht="15.75" customHeight="1" s="60">
      <c r="A999" s="41" t="n"/>
      <c r="B999" s="41" t="n"/>
      <c r="C999" s="41" t="n"/>
      <c r="D999" s="41" t="n"/>
      <c r="E999" s="41" t="n"/>
      <c r="F999" s="41" t="n"/>
      <c r="G999" s="41" t="n"/>
      <c r="H999" s="41" t="n"/>
    </row>
    <row r="1000" ht="15.75" customHeight="1" s="60">
      <c r="A1000" s="41" t="n"/>
      <c r="B1000" s="41" t="n"/>
      <c r="C1000" s="41" t="n"/>
      <c r="D1000" s="41" t="n"/>
      <c r="E1000" s="41" t="n"/>
      <c r="F1000" s="41" t="n"/>
      <c r="G1000" s="41" t="n"/>
      <c r="H1000" s="41" t="n"/>
    </row>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42" customWidth="1" style="60" min="1" max="1"/>
    <col width="18" customWidth="1" style="60" min="2" max="2"/>
    <col width="8.710000000000001" customWidth="1" style="60" min="3" max="26"/>
  </cols>
  <sheetData>
    <row r="1" ht="17.25" customHeight="1" s="60">
      <c r="A1" s="1" t="inlineStr">
        <is>
          <t>AKAUN UNTUNG RUGI (INCOME STATEMENT)</t>
        </is>
      </c>
      <c r="B1" s="16" t="n"/>
    </row>
    <row r="2" ht="15" customHeight="1" s="60">
      <c r="A2" s="5" t="inlineStr">
        <is>
          <t>Bagi tempoh 1 Januari 2026 hingga 31 Januari 2026 (data contoh). Cukai, Zakat, Honorarium dan KWA kini di APK, bukan di sini.</t>
        </is>
      </c>
      <c r="B2" s="16" t="n"/>
    </row>
    <row r="3" ht="15" customHeight="1" s="60">
      <c r="A3" s="16" t="n"/>
      <c r="B3" s="16" t="n"/>
    </row>
    <row r="4" ht="15" customHeight="1" s="60">
      <c r="A4" s="45" t="inlineStr">
        <is>
          <t>HASIL</t>
        </is>
      </c>
      <c r="B4" s="16" t="n"/>
    </row>
    <row r="5" ht="15" customHeight="1" s="60">
      <c r="A5" s="38" t="inlineStr">
        <is>
          <t>Fi Masuk</t>
        </is>
      </c>
      <c r="B5" s="40">
        <f>SUMIF(Imbangan_Duga!$A$5:$A$150,4010,Imbangan_Duga!$H$5:$H$150)</f>
        <v/>
      </c>
    </row>
    <row r="6" ht="15" customHeight="1" s="60">
      <c r="A6" s="38" t="inlineStr">
        <is>
          <t>Faedah Bank</t>
        </is>
      </c>
      <c r="B6" s="40">
        <f>SUMIF(Imbangan_Duga!$A$5:$A$150,4020,Imbangan_Duga!$H$5:$H$150)</f>
        <v/>
      </c>
    </row>
    <row r="7" ht="15" customHeight="1" s="60">
      <c r="A7" s="38" t="inlineStr">
        <is>
          <t>Hibah Bank</t>
        </is>
      </c>
      <c r="B7" s="40">
        <f>SUMIF(Imbangan_Duga!$A$5:$A$150,4030,Imbangan_Duga!$H$5:$H$150)</f>
        <v/>
      </c>
    </row>
    <row r="8" ht="15" customHeight="1" s="60">
      <c r="A8" s="38" t="inlineStr">
        <is>
          <t>Jualan Runcit</t>
        </is>
      </c>
      <c r="B8" s="40">
        <f>SUMIF(Imbangan_Duga!$A$5:$A$150,4040,Imbangan_Duga!$H$5:$H$150)</f>
        <v/>
      </c>
    </row>
    <row r="9" ht="15" customHeight="1" s="60">
      <c r="A9" s="38" t="inlineStr">
        <is>
          <t>Pendapatan Perkhidmatan</t>
        </is>
      </c>
      <c r="B9" s="40">
        <f>SUMIF(Imbangan_Duga!$A$5:$A$150,4050,Imbangan_Duga!$H$5:$H$150)</f>
        <v/>
      </c>
    </row>
    <row r="10" ht="15" customHeight="1" s="60">
      <c r="A10" s="38" t="inlineStr">
        <is>
          <t>Pendapatan Latihan &amp; Kursus</t>
        </is>
      </c>
      <c r="B10" s="40">
        <f>SUMIF(Imbangan_Duga!$A$5:$A$150,4060,Imbangan_Duga!$H$5:$H$150)</f>
        <v/>
      </c>
    </row>
    <row r="11" ht="15" customHeight="1" s="60">
      <c r="A11" s="38" t="inlineStr">
        <is>
          <t>Jualan Makanan &amp; Minuman</t>
        </is>
      </c>
      <c r="B11" s="40">
        <f>SUMIF(Imbangan_Duga!$A$5:$A$150,4070,Imbangan_Duga!$H$5:$H$150)</f>
        <v/>
      </c>
    </row>
    <row r="12" ht="15" customHeight="1" s="60">
      <c r="A12" s="38" t="inlineStr">
        <is>
          <t>Jualan Ayam &amp; Produk Sembelihan</t>
        </is>
      </c>
      <c r="B12" s="40">
        <f>SUMIF(Imbangan_Duga!$A$5:$A$150,4080,Imbangan_Duga!$H$5:$H$150)</f>
        <v/>
      </c>
    </row>
    <row r="13" ht="15" customHeight="1" s="60">
      <c r="A13" s="46" t="inlineStr">
        <is>
          <t>JUMLAH HASIL</t>
        </is>
      </c>
      <c r="B13" s="47">
        <f>SUMIF(Imbangan_Duga!$C$5:$C$150,"Hasil",Imbangan_Duga!$H$5:$H$150)</f>
        <v/>
      </c>
    </row>
    <row r="14" ht="15" customHeight="1" s="60">
      <c r="A14" s="16" t="n"/>
      <c r="B14" s="48" t="n"/>
    </row>
    <row r="15" ht="15" customHeight="1" s="60">
      <c r="A15" s="45" t="inlineStr">
        <is>
          <t>PERBELANJAAN OPERASI</t>
        </is>
      </c>
      <c r="B15" s="48" t="n"/>
    </row>
    <row r="16" ht="15" customHeight="1" s="60">
      <c r="A16" s="38" t="inlineStr">
        <is>
          <t>Perbelanjaan Pejabat</t>
        </is>
      </c>
      <c r="B16" s="40">
        <f>SUMIF(Imbangan_Duga!$A$5:$A$150,5010,Imbangan_Duga!$H$5:$H$150)</f>
        <v/>
      </c>
    </row>
    <row r="17" ht="15" customHeight="1" s="60">
      <c r="A17" s="38" t="inlineStr">
        <is>
          <t>Perbelanjaan Lembaga</t>
        </is>
      </c>
      <c r="B17" s="40">
        <f>SUMIF(Imbangan_Duga!$A$5:$A$150,5020,Imbangan_Duga!$H$5:$H$150)</f>
        <v/>
      </c>
    </row>
    <row r="18" ht="15" customHeight="1" s="60">
      <c r="A18" s="38" t="inlineStr">
        <is>
          <t>Gaji dan Elaun</t>
        </is>
      </c>
      <c r="B18" s="40">
        <f>SUMIF(Imbangan_Duga!$A$5:$A$150,5030,Imbangan_Duga!$H$5:$H$150)</f>
        <v/>
      </c>
    </row>
    <row r="19" ht="15" customHeight="1" s="60">
      <c r="A19" s="38" t="inlineStr">
        <is>
          <t>Alatulis dan Percetakan</t>
        </is>
      </c>
      <c r="B19" s="40">
        <f>SUMIF(Imbangan_Duga!$A$5:$A$150,5040,Imbangan_Duga!$H$5:$H$150)</f>
        <v/>
      </c>
    </row>
    <row r="20" ht="15" customHeight="1" s="60">
      <c r="A20" s="38" t="inlineStr">
        <is>
          <t>Fi Juruaudit</t>
        </is>
      </c>
      <c r="B20" s="40">
        <f>SUMIF(Imbangan_Duga!$A$5:$A$150,5050,Imbangan_Duga!$H$5:$H$150)</f>
        <v/>
      </c>
    </row>
    <row r="21" ht="15" customHeight="1" s="60">
      <c r="A21" s="38" t="inlineStr">
        <is>
          <t>Fi Perakaunan</t>
        </is>
      </c>
      <c r="B21" s="40">
        <f>SUMIF(Imbangan_Duga!$A$5:$A$150,5060,Imbangan_Duga!$H$5:$H$150)</f>
        <v/>
      </c>
    </row>
    <row r="22" ht="15" customHeight="1" s="60">
      <c r="A22" s="38" t="inlineStr">
        <is>
          <t>Caj Bank</t>
        </is>
      </c>
      <c r="B22" s="40">
        <f>SUMIF(Imbangan_Duga!$A$5:$A$150,5070,Imbangan_Duga!$H$5:$H$150)</f>
        <v/>
      </c>
    </row>
    <row r="23" ht="15" customHeight="1" s="60">
      <c r="A23" s="38" t="inlineStr">
        <is>
          <t>Mesyuarat Agung Tahunan</t>
        </is>
      </c>
      <c r="B23" s="40">
        <f>SUMIF(Imbangan_Duga!$A$5:$A$150,5080,Imbangan_Duga!$H$5:$H$150)</f>
        <v/>
      </c>
    </row>
    <row r="24" ht="15" customHeight="1" s="60">
      <c r="A24" s="38" t="inlineStr">
        <is>
          <t>Mesyuarat Agung Khas</t>
        </is>
      </c>
      <c r="B24" s="40">
        <f>SUMIF(Imbangan_Duga!$A$5:$A$150,5090,Imbangan_Duga!$H$5:$H$150)</f>
        <v/>
      </c>
    </row>
    <row r="25" ht="15" customHeight="1" s="60">
      <c r="A25" s="38" t="inlineStr">
        <is>
          <t>Internet dan Telefon</t>
        </is>
      </c>
      <c r="B25" s="40">
        <f>SUMIF(Imbangan_Duga!$A$5:$A$150,5150,Imbangan_Duga!$H$5:$H$150)</f>
        <v/>
      </c>
    </row>
    <row r="26" ht="15" customHeight="1" s="60">
      <c r="A26" s="38" t="inlineStr">
        <is>
          <t>Susut Nilai Aset</t>
        </is>
      </c>
      <c r="B26" s="40">
        <f>SUMIF(Imbangan_Duga!$A$5:$A$150,5160,Imbangan_Duga!$H$5:$H$150)</f>
        <v/>
      </c>
    </row>
    <row r="27" ht="15" customHeight="1" s="60">
      <c r="A27" s="38" t="inlineStr">
        <is>
          <t>Belian Runcit</t>
        </is>
      </c>
      <c r="B27" s="40">
        <f>SUMIF(Imbangan_Duga!$A$5:$A$150,5180,Imbangan_Duga!$H$5:$H$150)</f>
        <v/>
      </c>
    </row>
    <row r="28" ht="15" customHeight="1" s="60">
      <c r="A28" s="38" t="inlineStr">
        <is>
          <t>Kos Latihan &amp; Kursus</t>
        </is>
      </c>
      <c r="B28" s="40">
        <f>SUMIF(Imbangan_Duga!$A$5:$A$150,5190,Imbangan_Duga!$H$5:$H$150)</f>
        <v/>
      </c>
    </row>
    <row r="29" ht="15" customHeight="1" s="60">
      <c r="A29" s="38" t="inlineStr">
        <is>
          <t>Kos Bahan Mentah F&amp;B</t>
        </is>
      </c>
      <c r="B29" s="40">
        <f>SUMIF(Imbangan_Duga!$A$5:$A$150,5200,Imbangan_Duga!$H$5:$H$150)</f>
        <v/>
      </c>
    </row>
    <row r="30" ht="15" customHeight="1" s="60">
      <c r="A30" s="38" t="inlineStr">
        <is>
          <t>Belian Ayam Hidup</t>
        </is>
      </c>
      <c r="B30" s="40">
        <f>SUMIF(Imbangan_Duga!$A$5:$A$150,5210,Imbangan_Duga!$H$5:$H$150)</f>
        <v/>
      </c>
    </row>
    <row r="31" ht="15" customHeight="1" s="60">
      <c r="A31" s="38" t="inlineStr">
        <is>
          <t>Kos Sembelihan &amp; Pemprosesan</t>
        </is>
      </c>
      <c r="B31" s="40">
        <f>SUMIF(Imbangan_Duga!$A$5:$A$150,5220,Imbangan_Duga!$H$5:$H$150)</f>
        <v/>
      </c>
    </row>
    <row r="32" ht="15" customHeight="1" s="60">
      <c r="A32" s="38" t="inlineStr">
        <is>
          <t>Fi Pensijilan Halal</t>
        </is>
      </c>
      <c r="B32" s="40">
        <f>SUMIF(Imbangan_Duga!$A$5:$A$150,5230,Imbangan_Duga!$H$5:$H$150)</f>
        <v/>
      </c>
    </row>
    <row r="33" ht="15" customHeight="1" s="60">
      <c r="A33" s="38" t="inlineStr">
        <is>
          <t>Pelbagai Perbelanjaan</t>
        </is>
      </c>
      <c r="B33" s="40">
        <f>SUMIF(Imbangan_Duga!$A$5:$A$150,5170,Imbangan_Duga!$H$5:$H$150)</f>
        <v/>
      </c>
    </row>
    <row r="34" ht="15" customHeight="1" s="60">
      <c r="A34" s="46" t="inlineStr">
        <is>
          <t>JUMLAH PERBELANJAAN OPERASI</t>
        </is>
      </c>
      <c r="B34" s="47">
        <f>SUMIF(Imbangan_Duga!$C$5:$C$150,"Perbelanjaan",Imbangan_Duga!$H$5:$H$150)</f>
        <v/>
      </c>
    </row>
    <row r="35" ht="15" customHeight="1" s="60">
      <c r="A35" s="16" t="n"/>
      <c r="B35" s="48" t="n"/>
    </row>
    <row r="36" ht="15" customHeight="1" s="60">
      <c r="A36" s="32" t="inlineStr">
        <is>
          <t>LEBIHAN BERSIH (SURPLUS) - SEBELUM PEMBAHAGIAN</t>
        </is>
      </c>
      <c r="B36" s="47">
        <f>B13-B34</f>
        <v/>
      </c>
    </row>
    <row r="37" ht="15" customHeight="1" s="60">
      <c r="A37" s="16" t="n"/>
      <c r="B37" s="48" t="n"/>
    </row>
    <row r="38" ht="15" customHeight="1" s="60">
      <c r="A38" s="16" t="n"/>
      <c r="B38" s="48" t="n"/>
    </row>
    <row r="39" ht="15" customHeight="1" s="60">
      <c r="A39" s="16" t="n"/>
      <c r="B39" s="48" t="n"/>
    </row>
    <row r="40" ht="15" customHeight="1" s="60">
      <c r="A40" s="16" t="n"/>
      <c r="B40" s="16" t="n"/>
    </row>
    <row r="41" ht="15" customHeight="1" s="60">
      <c r="A41" s="16" t="n"/>
      <c r="B41" s="48" t="n"/>
    </row>
    <row r="42" ht="15" customHeight="1" s="60">
      <c r="A42" s="16" t="n"/>
      <c r="B42" s="16" t="n"/>
    </row>
    <row r="43" ht="15" customHeight="1" s="60">
      <c r="A43" s="16" t="n"/>
      <c r="B43" s="16" t="n"/>
    </row>
    <row r="44" ht="15" customHeight="1" s="60">
      <c r="A44" s="16" t="n"/>
      <c r="B44" s="16" t="n"/>
    </row>
    <row r="45" ht="15" customHeight="1" s="60">
      <c r="A45" s="16" t="n"/>
      <c r="B45" s="16" t="n"/>
    </row>
    <row r="46" ht="15" customHeight="1" s="60">
      <c r="A46" s="16" t="n"/>
      <c r="B46" s="16" t="n"/>
    </row>
    <row r="47" ht="15" customHeight="1" s="60">
      <c r="A47" s="16" t="n"/>
      <c r="B47" s="16" t="n"/>
    </row>
    <row r="48" ht="15" customHeight="1" s="60">
      <c r="A48" s="16" t="n"/>
      <c r="B48" s="16" t="n"/>
    </row>
    <row r="49" ht="15" customHeight="1" s="60">
      <c r="A49" s="16" t="n"/>
      <c r="B49" s="16" t="n"/>
    </row>
    <row r="50" ht="15" customHeight="1" s="60">
      <c r="A50" s="16" t="n"/>
      <c r="B50" s="16" t="n"/>
    </row>
    <row r="51" ht="15" customHeight="1" s="60">
      <c r="A51" s="16" t="n"/>
      <c r="B51" s="16" t="n"/>
    </row>
    <row r="52" ht="15" customHeight="1" s="60">
      <c r="A52" s="16" t="n"/>
      <c r="B52" s="16" t="n"/>
    </row>
    <row r="53" ht="15" customHeight="1" s="60">
      <c r="A53" s="16" t="n"/>
      <c r="B53" s="16" t="n"/>
    </row>
    <row r="54" ht="15" customHeight="1" s="60">
      <c r="A54" s="16" t="n"/>
      <c r="B54" s="16" t="n"/>
    </row>
    <row r="55" ht="15" customHeight="1" s="60">
      <c r="A55" s="16" t="n"/>
      <c r="B55" s="16" t="n"/>
    </row>
    <row r="56" ht="15" customHeight="1" s="60">
      <c r="A56" s="16" t="n"/>
      <c r="B56" s="16" t="n"/>
    </row>
    <row r="57" ht="15" customHeight="1" s="60">
      <c r="A57" s="16" t="n"/>
      <c r="B57" s="16" t="n"/>
    </row>
    <row r="58" ht="15" customHeight="1" s="60">
      <c r="A58" s="16" t="n"/>
      <c r="B58" s="16" t="n"/>
    </row>
    <row r="59" ht="15" customHeight="1" s="60">
      <c r="A59" s="16" t="n"/>
      <c r="B59" s="16" t="n"/>
    </row>
    <row r="60" ht="15" customHeight="1" s="60">
      <c r="A60" s="16" t="n"/>
      <c r="B60" s="16" t="n"/>
    </row>
    <row r="61" ht="15" customHeight="1" s="60">
      <c r="A61" s="16" t="n"/>
      <c r="B61" s="16" t="n"/>
    </row>
    <row r="62" ht="15" customHeight="1" s="60">
      <c r="A62" s="16" t="n"/>
      <c r="B62" s="16" t="n"/>
    </row>
    <row r="63" ht="15" customHeight="1" s="60">
      <c r="A63" s="16" t="n"/>
      <c r="B63" s="16" t="n"/>
    </row>
    <row r="64" ht="15" customHeight="1" s="60">
      <c r="A64" s="16" t="n"/>
      <c r="B64" s="16" t="n"/>
    </row>
    <row r="65" ht="15" customHeight="1" s="60">
      <c r="A65" s="16" t="n"/>
      <c r="B65" s="16" t="n"/>
    </row>
    <row r="66" ht="15" customHeight="1" s="60">
      <c r="A66" s="16" t="n"/>
      <c r="B66" s="16" t="n"/>
    </row>
    <row r="67" ht="15" customHeight="1" s="60">
      <c r="A67" s="16" t="n"/>
      <c r="B67" s="16" t="n"/>
    </row>
    <row r="68" ht="15" customHeight="1" s="60">
      <c r="A68" s="16" t="n"/>
      <c r="B68" s="16" t="n"/>
    </row>
    <row r="69" ht="15" customHeight="1" s="60">
      <c r="A69" s="16" t="n"/>
      <c r="B69" s="16" t="n"/>
    </row>
    <row r="70" ht="15" customHeight="1" s="60">
      <c r="A70" s="16" t="n"/>
      <c r="B70" s="16" t="n"/>
    </row>
    <row r="71" ht="15.75" customHeight="1" s="60">
      <c r="A71" s="41" t="n"/>
      <c r="B71" s="41" t="n"/>
    </row>
    <row r="72" ht="15.75" customHeight="1" s="60">
      <c r="A72" s="41" t="n"/>
      <c r="B72" s="41" t="n"/>
    </row>
    <row r="73" ht="15.75" customHeight="1" s="60">
      <c r="A73" s="41" t="n"/>
      <c r="B73" s="41" t="n"/>
    </row>
    <row r="74" ht="15.75" customHeight="1" s="60">
      <c r="A74" s="41" t="n"/>
      <c r="B74" s="41" t="n"/>
    </row>
    <row r="75" ht="15.75" customHeight="1" s="60">
      <c r="A75" s="41" t="n"/>
      <c r="B75" s="41" t="n"/>
    </row>
    <row r="76" ht="15.75" customHeight="1" s="60">
      <c r="A76" s="41" t="n"/>
      <c r="B76" s="41" t="n"/>
    </row>
    <row r="77" ht="15.75" customHeight="1" s="60">
      <c r="A77" s="41" t="n"/>
      <c r="B77" s="41" t="n"/>
    </row>
    <row r="78" ht="15.75" customHeight="1" s="60">
      <c r="A78" s="41" t="n"/>
      <c r="B78" s="41" t="n"/>
    </row>
    <row r="79" ht="15.75" customHeight="1" s="60">
      <c r="A79" s="41" t="n"/>
      <c r="B79" s="41" t="n"/>
    </row>
    <row r="80" ht="15.75" customHeight="1" s="60">
      <c r="A80" s="41" t="n"/>
      <c r="B80" s="41" t="n"/>
    </row>
    <row r="81" ht="15.75" customHeight="1" s="60">
      <c r="A81" s="41" t="n"/>
      <c r="B81" s="41" t="n"/>
    </row>
    <row r="82" ht="15.75" customHeight="1" s="60">
      <c r="A82" s="41" t="n"/>
      <c r="B82" s="41" t="n"/>
    </row>
    <row r="83" ht="15.75" customHeight="1" s="60">
      <c r="A83" s="41" t="n"/>
      <c r="B83" s="41" t="n"/>
    </row>
    <row r="84" ht="15.75" customHeight="1" s="60">
      <c r="A84" s="41" t="n"/>
      <c r="B84" s="41" t="n"/>
    </row>
    <row r="85" ht="15.75" customHeight="1" s="60">
      <c r="A85" s="41" t="n"/>
      <c r="B85" s="41" t="n"/>
    </row>
    <row r="86" ht="15.75" customHeight="1" s="60">
      <c r="A86" s="41" t="n"/>
      <c r="B86" s="41" t="n"/>
    </row>
    <row r="87" ht="15.75" customHeight="1" s="60">
      <c r="A87" s="41" t="n"/>
      <c r="B87" s="41" t="n"/>
    </row>
    <row r="88" ht="15.75" customHeight="1" s="60">
      <c r="A88" s="41" t="n"/>
      <c r="B88" s="41" t="n"/>
    </row>
    <row r="89" ht="15.75" customHeight="1" s="60">
      <c r="A89" s="41" t="n"/>
      <c r="B89" s="41" t="n"/>
    </row>
    <row r="90" ht="15.75" customHeight="1" s="60">
      <c r="A90" s="41" t="n"/>
      <c r="B90" s="41" t="n"/>
    </row>
    <row r="91" ht="15.75" customHeight="1" s="60">
      <c r="A91" s="41" t="n"/>
      <c r="B91" s="41" t="n"/>
    </row>
    <row r="92" ht="15.75" customHeight="1" s="60">
      <c r="A92" s="41" t="n"/>
      <c r="B92" s="41" t="n"/>
    </row>
    <row r="93" ht="15.75" customHeight="1" s="60">
      <c r="A93" s="41" t="n"/>
      <c r="B93" s="41" t="n"/>
    </row>
    <row r="94" ht="15.75" customHeight="1" s="60">
      <c r="A94" s="41" t="n"/>
      <c r="B94" s="41" t="n"/>
    </row>
    <row r="95" ht="15.75" customHeight="1" s="60">
      <c r="A95" s="41" t="n"/>
      <c r="B95" s="41" t="n"/>
    </row>
    <row r="96" ht="15.75" customHeight="1" s="60">
      <c r="A96" s="41" t="n"/>
      <c r="B96" s="41" t="n"/>
    </row>
    <row r="97" ht="15.75" customHeight="1" s="60">
      <c r="A97" s="41" t="n"/>
      <c r="B97" s="41" t="n"/>
    </row>
    <row r="98" ht="15.75" customHeight="1" s="60">
      <c r="A98" s="41" t="n"/>
      <c r="B98" s="41" t="n"/>
    </row>
    <row r="99" ht="15.75" customHeight="1" s="60">
      <c r="A99" s="41" t="n"/>
      <c r="B99" s="41" t="n"/>
    </row>
    <row r="100" ht="15.75" customHeight="1" s="60">
      <c r="A100" s="41" t="n"/>
      <c r="B100" s="41" t="n"/>
    </row>
    <row r="101" ht="15.75" customHeight="1" s="60">
      <c r="A101" s="41" t="n"/>
      <c r="B101" s="41" t="n"/>
    </row>
    <row r="102" ht="15.75" customHeight="1" s="60">
      <c r="A102" s="41" t="n"/>
      <c r="B102" s="41" t="n"/>
    </row>
    <row r="103" ht="15.75" customHeight="1" s="60">
      <c r="A103" s="41" t="n"/>
      <c r="B103" s="41" t="n"/>
    </row>
    <row r="104" ht="15.75" customHeight="1" s="60">
      <c r="A104" s="41" t="n"/>
      <c r="B104" s="41" t="n"/>
    </row>
    <row r="105" ht="15.75" customHeight="1" s="60">
      <c r="A105" s="41" t="n"/>
      <c r="B105" s="41" t="n"/>
    </row>
    <row r="106" ht="15.75" customHeight="1" s="60">
      <c r="A106" s="41" t="n"/>
      <c r="B106" s="41" t="n"/>
    </row>
    <row r="107" ht="15.75" customHeight="1" s="60">
      <c r="A107" s="41" t="n"/>
      <c r="B107" s="41" t="n"/>
    </row>
    <row r="108" ht="15.75" customHeight="1" s="60">
      <c r="A108" s="41" t="n"/>
      <c r="B108" s="41" t="n"/>
    </row>
    <row r="109" ht="15.75" customHeight="1" s="60">
      <c r="A109" s="41" t="n"/>
      <c r="B109" s="41" t="n"/>
    </row>
    <row r="110" ht="15.75" customHeight="1" s="60">
      <c r="A110" s="41" t="n"/>
      <c r="B110" s="41" t="n"/>
    </row>
    <row r="111" ht="15.75" customHeight="1" s="60">
      <c r="A111" s="41" t="n"/>
      <c r="B111" s="41" t="n"/>
    </row>
    <row r="112" ht="15.75" customHeight="1" s="60">
      <c r="A112" s="41" t="n"/>
      <c r="B112" s="41" t="n"/>
    </row>
    <row r="113" ht="15.75" customHeight="1" s="60">
      <c r="A113" s="41" t="n"/>
      <c r="B113" s="41" t="n"/>
    </row>
    <row r="114" ht="15.75" customHeight="1" s="60">
      <c r="A114" s="41" t="n"/>
      <c r="B114" s="41" t="n"/>
    </row>
    <row r="115" ht="15.75" customHeight="1" s="60">
      <c r="A115" s="41" t="n"/>
      <c r="B115" s="41" t="n"/>
    </row>
    <row r="116" ht="15.75" customHeight="1" s="60">
      <c r="A116" s="41" t="n"/>
      <c r="B116" s="41" t="n"/>
    </row>
    <row r="117" ht="15.75" customHeight="1" s="60">
      <c r="A117" s="41" t="n"/>
      <c r="B117" s="41" t="n"/>
    </row>
    <row r="118" ht="15.75" customHeight="1" s="60">
      <c r="A118" s="41" t="n"/>
      <c r="B118" s="41" t="n"/>
    </row>
    <row r="119" ht="15.75" customHeight="1" s="60">
      <c r="A119" s="41" t="n"/>
      <c r="B119" s="41" t="n"/>
    </row>
    <row r="120" ht="15.75" customHeight="1" s="60">
      <c r="A120" s="41" t="n"/>
      <c r="B120" s="41" t="n"/>
    </row>
    <row r="121" ht="15.75" customHeight="1" s="60">
      <c r="A121" s="41" t="n"/>
      <c r="B121" s="41" t="n"/>
    </row>
    <row r="122" ht="15.75" customHeight="1" s="60">
      <c r="A122" s="41" t="n"/>
      <c r="B122" s="41" t="n"/>
    </row>
    <row r="123" ht="15.75" customHeight="1" s="60">
      <c r="A123" s="41" t="n"/>
      <c r="B123" s="41" t="n"/>
    </row>
    <row r="124" ht="15.75" customHeight="1" s="60">
      <c r="A124" s="41" t="n"/>
      <c r="B124" s="41" t="n"/>
    </row>
    <row r="125" ht="15.75" customHeight="1" s="60">
      <c r="A125" s="41" t="n"/>
      <c r="B125" s="41" t="n"/>
    </row>
    <row r="126" ht="15.75" customHeight="1" s="60">
      <c r="A126" s="41" t="n"/>
      <c r="B126" s="41" t="n"/>
    </row>
    <row r="127" ht="15.75" customHeight="1" s="60">
      <c r="A127" s="41" t="n"/>
      <c r="B127" s="41" t="n"/>
    </row>
    <row r="128" ht="15.75" customHeight="1" s="60">
      <c r="A128" s="41" t="n"/>
      <c r="B128" s="41" t="n"/>
    </row>
    <row r="129" ht="15.75" customHeight="1" s="60">
      <c r="A129" s="41" t="n"/>
      <c r="B129" s="41" t="n"/>
    </row>
    <row r="130" ht="15.75" customHeight="1" s="60">
      <c r="A130" s="41" t="n"/>
      <c r="B130" s="41" t="n"/>
    </row>
    <row r="131" ht="15.75" customHeight="1" s="60">
      <c r="A131" s="41" t="n"/>
      <c r="B131" s="41" t="n"/>
    </row>
    <row r="132" ht="15.75" customHeight="1" s="60">
      <c r="A132" s="41" t="n"/>
      <c r="B132" s="41" t="n"/>
    </row>
    <row r="133" ht="15.75" customHeight="1" s="60">
      <c r="A133" s="41" t="n"/>
      <c r="B133" s="41" t="n"/>
    </row>
    <row r="134" ht="15.75" customHeight="1" s="60">
      <c r="A134" s="41" t="n"/>
      <c r="B134" s="41" t="n"/>
    </row>
    <row r="135" ht="15.75" customHeight="1" s="60">
      <c r="A135" s="41" t="n"/>
      <c r="B135" s="41" t="n"/>
    </row>
    <row r="136" ht="15.75" customHeight="1" s="60">
      <c r="A136" s="41" t="n"/>
      <c r="B136" s="41" t="n"/>
    </row>
    <row r="137" ht="15.75" customHeight="1" s="60">
      <c r="A137" s="41" t="n"/>
      <c r="B137" s="41" t="n"/>
    </row>
    <row r="138" ht="15.75" customHeight="1" s="60">
      <c r="A138" s="41" t="n"/>
      <c r="B138" s="41" t="n"/>
    </row>
    <row r="139" ht="15.75" customHeight="1" s="60">
      <c r="A139" s="41" t="n"/>
      <c r="B139" s="41" t="n"/>
    </row>
    <row r="140" ht="15.75" customHeight="1" s="60">
      <c r="A140" s="41" t="n"/>
      <c r="B140" s="41" t="n"/>
    </row>
    <row r="141" ht="15.75" customHeight="1" s="60">
      <c r="A141" s="41" t="n"/>
      <c r="B141" s="41" t="n"/>
    </row>
    <row r="142" ht="15.75" customHeight="1" s="60">
      <c r="A142" s="41" t="n"/>
      <c r="B142" s="41" t="n"/>
    </row>
    <row r="143" ht="15.75" customHeight="1" s="60">
      <c r="A143" s="41" t="n"/>
      <c r="B143" s="41" t="n"/>
    </row>
    <row r="144" ht="15.75" customHeight="1" s="60">
      <c r="A144" s="41" t="n"/>
      <c r="B144" s="41" t="n"/>
    </row>
    <row r="145" ht="15.75" customHeight="1" s="60">
      <c r="A145" s="41" t="n"/>
      <c r="B145" s="41" t="n"/>
    </row>
    <row r="146" ht="15.75" customHeight="1" s="60">
      <c r="A146" s="41" t="n"/>
      <c r="B146" s="41" t="n"/>
    </row>
    <row r="147" ht="15.75" customHeight="1" s="60">
      <c r="A147" s="41" t="n"/>
      <c r="B147" s="41" t="n"/>
    </row>
    <row r="148" ht="15.75" customHeight="1" s="60">
      <c r="A148" s="41" t="n"/>
      <c r="B148" s="41" t="n"/>
    </row>
    <row r="149" ht="15.75" customHeight="1" s="60">
      <c r="A149" s="41" t="n"/>
      <c r="B149" s="41" t="n"/>
    </row>
    <row r="150" ht="15.75" customHeight="1" s="60">
      <c r="A150" s="41" t="n"/>
      <c r="B150" s="41" t="n"/>
    </row>
    <row r="151" ht="15.75" customHeight="1" s="60">
      <c r="A151" s="41" t="n"/>
      <c r="B151" s="41" t="n"/>
    </row>
    <row r="152" ht="15.75" customHeight="1" s="60">
      <c r="A152" s="41" t="n"/>
      <c r="B152" s="41" t="n"/>
    </row>
    <row r="153" ht="15.75" customHeight="1" s="60">
      <c r="A153" s="41" t="n"/>
      <c r="B153" s="41" t="n"/>
    </row>
    <row r="154" ht="15.75" customHeight="1" s="60">
      <c r="A154" s="41" t="n"/>
      <c r="B154" s="41" t="n"/>
    </row>
    <row r="155" ht="15.75" customHeight="1" s="60">
      <c r="A155" s="41" t="n"/>
      <c r="B155" s="41" t="n"/>
    </row>
    <row r="156" ht="15.75" customHeight="1" s="60">
      <c r="A156" s="41" t="n"/>
      <c r="B156" s="41" t="n"/>
    </row>
    <row r="157" ht="15.75" customHeight="1" s="60">
      <c r="A157" s="41" t="n"/>
      <c r="B157" s="41" t="n"/>
    </row>
    <row r="158" ht="15.75" customHeight="1" s="60">
      <c r="A158" s="41" t="n"/>
      <c r="B158" s="41" t="n"/>
    </row>
    <row r="159" ht="15.75" customHeight="1" s="60">
      <c r="A159" s="41" t="n"/>
      <c r="B159" s="41" t="n"/>
    </row>
    <row r="160" ht="15.75" customHeight="1" s="60">
      <c r="A160" s="41" t="n"/>
      <c r="B160" s="41" t="n"/>
    </row>
    <row r="161" ht="15.75" customHeight="1" s="60">
      <c r="A161" s="41" t="n"/>
      <c r="B161" s="41" t="n"/>
    </row>
    <row r="162" ht="15.75" customHeight="1" s="60">
      <c r="A162" s="41" t="n"/>
      <c r="B162" s="41" t="n"/>
    </row>
    <row r="163" ht="15.75" customHeight="1" s="60">
      <c r="A163" s="41" t="n"/>
      <c r="B163" s="41" t="n"/>
    </row>
    <row r="164" ht="15.75" customHeight="1" s="60">
      <c r="A164" s="41" t="n"/>
      <c r="B164" s="41" t="n"/>
    </row>
    <row r="165" ht="15.75" customHeight="1" s="60">
      <c r="A165" s="41" t="n"/>
      <c r="B165" s="41" t="n"/>
    </row>
    <row r="166" ht="15.75" customHeight="1" s="60">
      <c r="A166" s="41" t="n"/>
      <c r="B166" s="41" t="n"/>
    </row>
    <row r="167" ht="15.75" customHeight="1" s="60">
      <c r="A167" s="41" t="n"/>
      <c r="B167" s="41" t="n"/>
    </row>
    <row r="168" ht="15.75" customHeight="1" s="60">
      <c r="A168" s="41" t="n"/>
      <c r="B168" s="41" t="n"/>
    </row>
    <row r="169" ht="15.75" customHeight="1" s="60">
      <c r="A169" s="41" t="n"/>
      <c r="B169" s="41" t="n"/>
    </row>
    <row r="170" ht="15.75" customHeight="1" s="60">
      <c r="A170" s="41" t="n"/>
      <c r="B170" s="41" t="n"/>
    </row>
    <row r="171" ht="15.75" customHeight="1" s="60">
      <c r="A171" s="41" t="n"/>
      <c r="B171" s="41" t="n"/>
    </row>
    <row r="172" ht="15.75" customHeight="1" s="60">
      <c r="A172" s="41" t="n"/>
      <c r="B172" s="41" t="n"/>
    </row>
    <row r="173" ht="15.75" customHeight="1" s="60">
      <c r="A173" s="41" t="n"/>
      <c r="B173" s="41" t="n"/>
    </row>
    <row r="174" ht="15.75" customHeight="1" s="60">
      <c r="A174" s="41" t="n"/>
      <c r="B174" s="41" t="n"/>
    </row>
    <row r="175" ht="15.75" customHeight="1" s="60">
      <c r="A175" s="41" t="n"/>
      <c r="B175" s="41" t="n"/>
    </row>
    <row r="176" ht="15.75" customHeight="1" s="60">
      <c r="A176" s="41" t="n"/>
      <c r="B176" s="41" t="n"/>
    </row>
    <row r="177" ht="15.75" customHeight="1" s="60">
      <c r="A177" s="41" t="n"/>
      <c r="B177" s="41" t="n"/>
    </row>
    <row r="178" ht="15.75" customHeight="1" s="60">
      <c r="A178" s="41" t="n"/>
      <c r="B178" s="41" t="n"/>
    </row>
    <row r="179" ht="15.75" customHeight="1" s="60">
      <c r="A179" s="41" t="n"/>
      <c r="B179" s="41" t="n"/>
    </row>
    <row r="180" ht="15.75" customHeight="1" s="60">
      <c r="A180" s="41" t="n"/>
      <c r="B180" s="41" t="n"/>
    </row>
    <row r="181" ht="15.75" customHeight="1" s="60">
      <c r="A181" s="41" t="n"/>
      <c r="B181" s="41" t="n"/>
    </row>
    <row r="182" ht="15.75" customHeight="1" s="60">
      <c r="A182" s="41" t="n"/>
      <c r="B182" s="41" t="n"/>
    </row>
    <row r="183" ht="15.75" customHeight="1" s="60">
      <c r="A183" s="41" t="n"/>
      <c r="B183" s="41" t="n"/>
    </row>
    <row r="184" ht="15.75" customHeight="1" s="60">
      <c r="A184" s="41" t="n"/>
      <c r="B184" s="41" t="n"/>
    </row>
    <row r="185" ht="15.75" customHeight="1" s="60">
      <c r="A185" s="41" t="n"/>
      <c r="B185" s="41" t="n"/>
    </row>
    <row r="186" ht="15.75" customHeight="1" s="60">
      <c r="A186" s="41" t="n"/>
      <c r="B186" s="41" t="n"/>
    </row>
    <row r="187" ht="15.75" customHeight="1" s="60">
      <c r="A187" s="41" t="n"/>
      <c r="B187" s="41" t="n"/>
    </row>
    <row r="188" ht="15.75" customHeight="1" s="60">
      <c r="A188" s="41" t="n"/>
      <c r="B188" s="41" t="n"/>
    </row>
    <row r="189" ht="15.75" customHeight="1" s="60">
      <c r="A189" s="41" t="n"/>
      <c r="B189" s="41" t="n"/>
    </row>
    <row r="190" ht="15.75" customHeight="1" s="60">
      <c r="A190" s="41" t="n"/>
      <c r="B190" s="41" t="n"/>
    </row>
    <row r="191" ht="15.75" customHeight="1" s="60">
      <c r="A191" s="41" t="n"/>
      <c r="B191" s="41" t="n"/>
    </row>
    <row r="192" ht="15.75" customHeight="1" s="60">
      <c r="A192" s="41" t="n"/>
      <c r="B192" s="41" t="n"/>
    </row>
    <row r="193" ht="15.75" customHeight="1" s="60">
      <c r="A193" s="41" t="n"/>
      <c r="B193" s="41" t="n"/>
    </row>
    <row r="194" ht="15.75" customHeight="1" s="60">
      <c r="A194" s="41" t="n"/>
      <c r="B194" s="41" t="n"/>
    </row>
    <row r="195" ht="15.75" customHeight="1" s="60">
      <c r="A195" s="41" t="n"/>
      <c r="B195" s="41" t="n"/>
    </row>
    <row r="196" ht="15.75" customHeight="1" s="60">
      <c r="A196" s="41" t="n"/>
      <c r="B196" s="41" t="n"/>
    </row>
    <row r="197" ht="15.75" customHeight="1" s="60">
      <c r="A197" s="41" t="n"/>
      <c r="B197" s="41" t="n"/>
    </row>
    <row r="198" ht="15.75" customHeight="1" s="60">
      <c r="A198" s="41" t="n"/>
      <c r="B198" s="41" t="n"/>
    </row>
    <row r="199" ht="15.75" customHeight="1" s="60">
      <c r="A199" s="41" t="n"/>
      <c r="B199" s="41" t="n"/>
    </row>
    <row r="200" ht="15.75" customHeight="1" s="60">
      <c r="A200" s="41" t="n"/>
      <c r="B200" s="41" t="n"/>
    </row>
    <row r="201" ht="15.75" customHeight="1" s="60">
      <c r="A201" s="41" t="n"/>
      <c r="B201" s="41" t="n"/>
    </row>
    <row r="202" ht="15.75" customHeight="1" s="60">
      <c r="A202" s="41" t="n"/>
      <c r="B202" s="41" t="n"/>
    </row>
    <row r="203" ht="15.75" customHeight="1" s="60">
      <c r="A203" s="41" t="n"/>
      <c r="B203" s="41" t="n"/>
    </row>
    <row r="204" ht="15.75" customHeight="1" s="60">
      <c r="A204" s="41" t="n"/>
      <c r="B204" s="41" t="n"/>
    </row>
    <row r="205" ht="15.75" customHeight="1" s="60">
      <c r="A205" s="41" t="n"/>
      <c r="B205" s="41" t="n"/>
    </row>
    <row r="206" ht="15.75" customHeight="1" s="60">
      <c r="A206" s="41" t="n"/>
      <c r="B206" s="41" t="n"/>
    </row>
    <row r="207" ht="15.75" customHeight="1" s="60">
      <c r="A207" s="41" t="n"/>
      <c r="B207" s="41" t="n"/>
    </row>
    <row r="208" ht="15.75" customHeight="1" s="60">
      <c r="A208" s="41" t="n"/>
      <c r="B208" s="41" t="n"/>
    </row>
    <row r="209" ht="15.75" customHeight="1" s="60">
      <c r="A209" s="41" t="n"/>
      <c r="B209" s="41" t="n"/>
    </row>
    <row r="210" ht="15.75" customHeight="1" s="60">
      <c r="A210" s="41" t="n"/>
      <c r="B210" s="41" t="n"/>
    </row>
    <row r="211" ht="15.75" customHeight="1" s="60">
      <c r="A211" s="41" t="n"/>
      <c r="B211" s="41" t="n"/>
    </row>
    <row r="212" ht="15.75" customHeight="1" s="60">
      <c r="A212" s="41" t="n"/>
      <c r="B212" s="41" t="n"/>
    </row>
    <row r="213" ht="15.75" customHeight="1" s="60">
      <c r="A213" s="41" t="n"/>
      <c r="B213" s="41" t="n"/>
    </row>
    <row r="214" ht="15.75" customHeight="1" s="60">
      <c r="A214" s="41" t="n"/>
      <c r="B214" s="41" t="n"/>
    </row>
    <row r="215" ht="15.75" customHeight="1" s="60">
      <c r="A215" s="41" t="n"/>
      <c r="B215" s="41" t="n"/>
    </row>
    <row r="216" ht="15.75" customHeight="1" s="60">
      <c r="A216" s="41" t="n"/>
      <c r="B216" s="41" t="n"/>
    </row>
    <row r="217" ht="15.75" customHeight="1" s="60">
      <c r="A217" s="41" t="n"/>
      <c r="B217" s="41" t="n"/>
    </row>
    <row r="218" ht="15.75" customHeight="1" s="60">
      <c r="A218" s="41" t="n"/>
      <c r="B218" s="41" t="n"/>
    </row>
    <row r="219" ht="15.75" customHeight="1" s="60">
      <c r="A219" s="41" t="n"/>
      <c r="B219" s="41" t="n"/>
    </row>
    <row r="220" ht="15.75" customHeight="1" s="60">
      <c r="A220" s="41" t="n"/>
      <c r="B220" s="41" t="n"/>
    </row>
    <row r="221" ht="15.75" customHeight="1" s="60">
      <c r="A221" s="41" t="n"/>
      <c r="B221" s="41" t="n"/>
    </row>
    <row r="222" ht="15.75" customHeight="1" s="60">
      <c r="A222" s="41" t="n"/>
      <c r="B222" s="41" t="n"/>
    </row>
    <row r="223" ht="15.75" customHeight="1" s="60">
      <c r="A223" s="41" t="n"/>
      <c r="B223" s="41" t="n"/>
    </row>
    <row r="224" ht="15.75" customHeight="1" s="60">
      <c r="A224" s="41" t="n"/>
      <c r="B224" s="41" t="n"/>
    </row>
    <row r="225" ht="15.75" customHeight="1" s="60">
      <c r="A225" s="41" t="n"/>
      <c r="B225" s="41" t="n"/>
    </row>
    <row r="226" ht="15.75" customHeight="1" s="60">
      <c r="A226" s="41" t="n"/>
      <c r="B226" s="41" t="n"/>
    </row>
    <row r="227" ht="15.75" customHeight="1" s="60">
      <c r="A227" s="41" t="n"/>
      <c r="B227" s="41" t="n"/>
    </row>
    <row r="228" ht="15.75" customHeight="1" s="60">
      <c r="A228" s="41" t="n"/>
      <c r="B228" s="41" t="n"/>
    </row>
    <row r="229" ht="15.75" customHeight="1" s="60">
      <c r="A229" s="41" t="n"/>
      <c r="B229" s="41" t="n"/>
    </row>
    <row r="230" ht="15.75" customHeight="1" s="60">
      <c r="A230" s="41" t="n"/>
      <c r="B230" s="41" t="n"/>
    </row>
    <row r="231" ht="15.75" customHeight="1" s="60">
      <c r="A231" s="41" t="n"/>
      <c r="B231" s="41" t="n"/>
    </row>
    <row r="232" ht="15.75" customHeight="1" s="60">
      <c r="A232" s="41" t="n"/>
      <c r="B232" s="41" t="n"/>
    </row>
    <row r="233" ht="15.75" customHeight="1" s="60">
      <c r="A233" s="41" t="n"/>
      <c r="B233" s="41" t="n"/>
    </row>
    <row r="234" ht="15.75" customHeight="1" s="60">
      <c r="A234" s="41" t="n"/>
      <c r="B234" s="41" t="n"/>
    </row>
    <row r="235" ht="15.75" customHeight="1" s="60">
      <c r="A235" s="41" t="n"/>
      <c r="B235" s="41" t="n"/>
    </row>
    <row r="236" ht="15.75" customHeight="1" s="60">
      <c r="A236" s="41" t="n"/>
      <c r="B236" s="41" t="n"/>
    </row>
    <row r="237" ht="15.75" customHeight="1" s="60">
      <c r="A237" s="41" t="n"/>
      <c r="B237" s="41" t="n"/>
    </row>
    <row r="238" ht="15.75" customHeight="1" s="60">
      <c r="A238" s="41" t="n"/>
      <c r="B238" s="41" t="n"/>
    </row>
    <row r="239" ht="15.75" customHeight="1" s="60">
      <c r="A239" s="41" t="n"/>
      <c r="B239" s="41" t="n"/>
    </row>
    <row r="240" ht="15.75" customHeight="1" s="60">
      <c r="A240" s="41" t="n"/>
      <c r="B240" s="41" t="n"/>
    </row>
    <row r="241" ht="15.75" customHeight="1" s="60">
      <c r="A241" s="41" t="n"/>
      <c r="B241" s="41" t="n"/>
    </row>
    <row r="242" ht="15.75" customHeight="1" s="60">
      <c r="A242" s="41" t="n"/>
      <c r="B242" s="41" t="n"/>
    </row>
    <row r="243" ht="15.75" customHeight="1" s="60">
      <c r="A243" s="41" t="n"/>
      <c r="B243" s="41" t="n"/>
    </row>
    <row r="244" ht="15.75" customHeight="1" s="60">
      <c r="A244" s="41" t="n"/>
      <c r="B244" s="41" t="n"/>
    </row>
    <row r="245" ht="15.75" customHeight="1" s="60">
      <c r="A245" s="41" t="n"/>
      <c r="B245" s="41" t="n"/>
    </row>
    <row r="246" ht="15.75" customHeight="1" s="60">
      <c r="A246" s="41" t="n"/>
      <c r="B246" s="41" t="n"/>
    </row>
    <row r="247" ht="15.75" customHeight="1" s="60">
      <c r="A247" s="41" t="n"/>
      <c r="B247" s="41" t="n"/>
    </row>
    <row r="248" ht="15.75" customHeight="1" s="60">
      <c r="A248" s="41" t="n"/>
      <c r="B248" s="41" t="n"/>
    </row>
    <row r="249" ht="15.75" customHeight="1" s="60">
      <c r="A249" s="41" t="n"/>
      <c r="B249" s="41" t="n"/>
    </row>
    <row r="250" ht="15.75" customHeight="1" s="60">
      <c r="A250" s="41" t="n"/>
      <c r="B250" s="41" t="n"/>
    </row>
    <row r="251" ht="15.75" customHeight="1" s="60">
      <c r="A251" s="41" t="n"/>
      <c r="B251" s="41" t="n"/>
    </row>
    <row r="252" ht="15.75" customHeight="1" s="60">
      <c r="A252" s="41" t="n"/>
      <c r="B252" s="41" t="n"/>
    </row>
    <row r="253" ht="15.75" customHeight="1" s="60">
      <c r="A253" s="41" t="n"/>
      <c r="B253" s="41" t="n"/>
    </row>
    <row r="254" ht="15.75" customHeight="1" s="60">
      <c r="A254" s="41" t="n"/>
      <c r="B254" s="41" t="n"/>
    </row>
    <row r="255" ht="15.75" customHeight="1" s="60">
      <c r="A255" s="41" t="n"/>
      <c r="B255" s="41" t="n"/>
    </row>
    <row r="256" ht="15.75" customHeight="1" s="60">
      <c r="A256" s="41" t="n"/>
      <c r="B256" s="41" t="n"/>
    </row>
    <row r="257" ht="15.75" customHeight="1" s="60">
      <c r="A257" s="41" t="n"/>
      <c r="B257" s="41" t="n"/>
    </row>
    <row r="258" ht="15.75" customHeight="1" s="60">
      <c r="A258" s="41" t="n"/>
      <c r="B258" s="41" t="n"/>
    </row>
    <row r="259" ht="15.75" customHeight="1" s="60">
      <c r="A259" s="41" t="n"/>
      <c r="B259" s="41" t="n"/>
    </row>
    <row r="260" ht="15.75" customHeight="1" s="60">
      <c r="A260" s="41" t="n"/>
      <c r="B260" s="41" t="n"/>
    </row>
    <row r="261" ht="15.75" customHeight="1" s="60">
      <c r="A261" s="41" t="n"/>
      <c r="B261" s="41" t="n"/>
    </row>
    <row r="262" ht="15.75" customHeight="1" s="60">
      <c r="A262" s="41" t="n"/>
      <c r="B262" s="41" t="n"/>
    </row>
    <row r="263" ht="15.75" customHeight="1" s="60">
      <c r="A263" s="41" t="n"/>
      <c r="B263" s="41" t="n"/>
    </row>
    <row r="264" ht="15.75" customHeight="1" s="60">
      <c r="A264" s="41" t="n"/>
      <c r="B264" s="41" t="n"/>
    </row>
    <row r="265" ht="15.75" customHeight="1" s="60">
      <c r="A265" s="41" t="n"/>
      <c r="B265" s="41" t="n"/>
    </row>
    <row r="266" ht="15.75" customHeight="1" s="60">
      <c r="A266" s="41" t="n"/>
      <c r="B266" s="41" t="n"/>
    </row>
    <row r="267" ht="15.75" customHeight="1" s="60">
      <c r="A267" s="41" t="n"/>
      <c r="B267" s="41" t="n"/>
    </row>
    <row r="268" ht="15.75" customHeight="1" s="60">
      <c r="A268" s="41" t="n"/>
      <c r="B268" s="41" t="n"/>
    </row>
    <row r="269" ht="15.75" customHeight="1" s="60">
      <c r="A269" s="41" t="n"/>
      <c r="B269" s="41" t="n"/>
    </row>
    <row r="270" ht="15.75" customHeight="1" s="60">
      <c r="A270" s="41" t="n"/>
      <c r="B270" s="41" t="n"/>
    </row>
    <row r="271" ht="15.75" customHeight="1" s="60">
      <c r="A271" s="41" t="n"/>
      <c r="B271" s="41" t="n"/>
    </row>
    <row r="272" ht="15.75" customHeight="1" s="60">
      <c r="A272" s="41" t="n"/>
      <c r="B272" s="41" t="n"/>
    </row>
    <row r="273" ht="15.75" customHeight="1" s="60">
      <c r="A273" s="41" t="n"/>
      <c r="B273" s="41" t="n"/>
    </row>
    <row r="274" ht="15.75" customHeight="1" s="60">
      <c r="A274" s="41" t="n"/>
      <c r="B274" s="41" t="n"/>
    </row>
    <row r="275" ht="15.75" customHeight="1" s="60">
      <c r="A275" s="41" t="n"/>
      <c r="B275" s="41" t="n"/>
    </row>
    <row r="276" ht="15.75" customHeight="1" s="60">
      <c r="A276" s="41" t="n"/>
      <c r="B276" s="41" t="n"/>
    </row>
    <row r="277" ht="15.75" customHeight="1" s="60">
      <c r="A277" s="41" t="n"/>
      <c r="B277" s="41" t="n"/>
    </row>
    <row r="278" ht="15.75" customHeight="1" s="60">
      <c r="A278" s="41" t="n"/>
      <c r="B278" s="41" t="n"/>
    </row>
    <row r="279" ht="15.75" customHeight="1" s="60">
      <c r="A279" s="41" t="n"/>
      <c r="B279" s="41" t="n"/>
    </row>
    <row r="280" ht="15.75" customHeight="1" s="60">
      <c r="A280" s="41" t="n"/>
      <c r="B280" s="41" t="n"/>
    </row>
    <row r="281" ht="15.75" customHeight="1" s="60">
      <c r="A281" s="41" t="n"/>
      <c r="B281" s="41" t="n"/>
    </row>
    <row r="282" ht="15.75" customHeight="1" s="60">
      <c r="A282" s="41" t="n"/>
      <c r="B282" s="41" t="n"/>
    </row>
    <row r="283" ht="15.75" customHeight="1" s="60">
      <c r="A283" s="41" t="n"/>
      <c r="B283" s="41" t="n"/>
    </row>
    <row r="284" ht="15.75" customHeight="1" s="60">
      <c r="A284" s="41" t="n"/>
      <c r="B284" s="41" t="n"/>
    </row>
    <row r="285" ht="15.75" customHeight="1" s="60">
      <c r="A285" s="41" t="n"/>
      <c r="B285" s="41" t="n"/>
    </row>
    <row r="286" ht="15.75" customHeight="1" s="60">
      <c r="A286" s="41" t="n"/>
      <c r="B286" s="41" t="n"/>
    </row>
    <row r="287" ht="15.75" customHeight="1" s="60">
      <c r="A287" s="41" t="n"/>
      <c r="B287" s="41" t="n"/>
    </row>
    <row r="288" ht="15.75" customHeight="1" s="60">
      <c r="A288" s="41" t="n"/>
      <c r="B288" s="41" t="n"/>
    </row>
    <row r="289" ht="15.75" customHeight="1" s="60">
      <c r="A289" s="41" t="n"/>
      <c r="B289" s="41" t="n"/>
    </row>
    <row r="290" ht="15.75" customHeight="1" s="60">
      <c r="A290" s="41" t="n"/>
      <c r="B290" s="41" t="n"/>
    </row>
    <row r="291" ht="15.75" customHeight="1" s="60">
      <c r="A291" s="41" t="n"/>
      <c r="B291" s="41" t="n"/>
    </row>
    <row r="292" ht="15.75" customHeight="1" s="60">
      <c r="A292" s="41" t="n"/>
      <c r="B292" s="41" t="n"/>
    </row>
    <row r="293" ht="15.75" customHeight="1" s="60">
      <c r="A293" s="41" t="n"/>
      <c r="B293" s="41" t="n"/>
    </row>
    <row r="294" ht="15.75" customHeight="1" s="60">
      <c r="A294" s="41" t="n"/>
      <c r="B294" s="41" t="n"/>
    </row>
    <row r="295" ht="15.75" customHeight="1" s="60">
      <c r="A295" s="41" t="n"/>
      <c r="B295" s="41" t="n"/>
    </row>
    <row r="296" ht="15.75" customHeight="1" s="60">
      <c r="A296" s="41" t="n"/>
      <c r="B296" s="41" t="n"/>
    </row>
    <row r="297" ht="15.75" customHeight="1" s="60">
      <c r="A297" s="41" t="n"/>
      <c r="B297" s="41" t="n"/>
    </row>
    <row r="298" ht="15.75" customHeight="1" s="60">
      <c r="A298" s="41" t="n"/>
      <c r="B298" s="41" t="n"/>
    </row>
    <row r="299" ht="15.75" customHeight="1" s="60">
      <c r="A299" s="41" t="n"/>
      <c r="B299" s="41" t="n"/>
    </row>
    <row r="300" ht="15.75" customHeight="1" s="60">
      <c r="A300" s="41" t="n"/>
      <c r="B300" s="41" t="n"/>
    </row>
    <row r="301" ht="15.75" customHeight="1" s="60">
      <c r="A301" s="41" t="n"/>
      <c r="B301" s="41" t="n"/>
    </row>
    <row r="302" ht="15.75" customHeight="1" s="60">
      <c r="A302" s="41" t="n"/>
      <c r="B302" s="41" t="n"/>
    </row>
    <row r="303" ht="15.75" customHeight="1" s="60">
      <c r="A303" s="41" t="n"/>
      <c r="B303" s="41" t="n"/>
    </row>
    <row r="304" ht="15.75" customHeight="1" s="60">
      <c r="A304" s="41" t="n"/>
      <c r="B304" s="41" t="n"/>
    </row>
    <row r="305" ht="15.75" customHeight="1" s="60">
      <c r="A305" s="41" t="n"/>
      <c r="B305" s="41" t="n"/>
    </row>
    <row r="306" ht="15.75" customHeight="1" s="60">
      <c r="A306" s="41" t="n"/>
      <c r="B306" s="41" t="n"/>
    </row>
    <row r="307" ht="15.75" customHeight="1" s="60">
      <c r="A307" s="41" t="n"/>
      <c r="B307" s="41" t="n"/>
    </row>
    <row r="308" ht="15.75" customHeight="1" s="60">
      <c r="A308" s="41" t="n"/>
      <c r="B308" s="41" t="n"/>
    </row>
    <row r="309" ht="15.75" customHeight="1" s="60">
      <c r="A309" s="41" t="n"/>
      <c r="B309" s="41" t="n"/>
    </row>
    <row r="310" ht="15.75" customHeight="1" s="60">
      <c r="A310" s="41" t="n"/>
      <c r="B310" s="41" t="n"/>
    </row>
    <row r="311" ht="15.75" customHeight="1" s="60">
      <c r="A311" s="41" t="n"/>
      <c r="B311" s="41" t="n"/>
    </row>
    <row r="312" ht="15.75" customHeight="1" s="60">
      <c r="A312" s="41" t="n"/>
      <c r="B312" s="41" t="n"/>
    </row>
    <row r="313" ht="15.75" customHeight="1" s="60">
      <c r="A313" s="41" t="n"/>
      <c r="B313" s="41" t="n"/>
    </row>
    <row r="314" ht="15.75" customHeight="1" s="60">
      <c r="A314" s="41" t="n"/>
      <c r="B314" s="41" t="n"/>
    </row>
    <row r="315" ht="15.75" customHeight="1" s="60">
      <c r="A315" s="41" t="n"/>
      <c r="B315" s="41" t="n"/>
    </row>
    <row r="316" ht="15.75" customHeight="1" s="60">
      <c r="A316" s="41" t="n"/>
      <c r="B316" s="41" t="n"/>
    </row>
    <row r="317" ht="15.75" customHeight="1" s="60">
      <c r="A317" s="41" t="n"/>
      <c r="B317" s="41" t="n"/>
    </row>
    <row r="318" ht="15.75" customHeight="1" s="60">
      <c r="A318" s="41" t="n"/>
      <c r="B318" s="41" t="n"/>
    </row>
    <row r="319" ht="15.75" customHeight="1" s="60">
      <c r="A319" s="41" t="n"/>
      <c r="B319" s="41" t="n"/>
    </row>
    <row r="320" ht="15.75" customHeight="1" s="60">
      <c r="A320" s="41" t="n"/>
      <c r="B320" s="41" t="n"/>
    </row>
    <row r="321" ht="15.75" customHeight="1" s="60">
      <c r="A321" s="41" t="n"/>
      <c r="B321" s="41" t="n"/>
    </row>
    <row r="322" ht="15.75" customHeight="1" s="60">
      <c r="A322" s="41" t="n"/>
      <c r="B322" s="41" t="n"/>
    </row>
    <row r="323" ht="15.75" customHeight="1" s="60">
      <c r="A323" s="41" t="n"/>
      <c r="B323" s="41" t="n"/>
    </row>
    <row r="324" ht="15.75" customHeight="1" s="60">
      <c r="A324" s="41" t="n"/>
      <c r="B324" s="41" t="n"/>
    </row>
    <row r="325" ht="15.75" customHeight="1" s="60">
      <c r="A325" s="41" t="n"/>
      <c r="B325" s="41" t="n"/>
    </row>
    <row r="326" ht="15.75" customHeight="1" s="60">
      <c r="A326" s="41" t="n"/>
      <c r="B326" s="41" t="n"/>
    </row>
    <row r="327" ht="15.75" customHeight="1" s="60">
      <c r="A327" s="41" t="n"/>
      <c r="B327" s="41" t="n"/>
    </row>
    <row r="328" ht="15.75" customHeight="1" s="60">
      <c r="A328" s="41" t="n"/>
      <c r="B328" s="41" t="n"/>
    </row>
    <row r="329" ht="15.75" customHeight="1" s="60">
      <c r="A329" s="41" t="n"/>
      <c r="B329" s="41" t="n"/>
    </row>
    <row r="330" ht="15.75" customHeight="1" s="60">
      <c r="A330" s="41" t="n"/>
      <c r="B330" s="41" t="n"/>
    </row>
    <row r="331" ht="15.75" customHeight="1" s="60">
      <c r="A331" s="41" t="n"/>
      <c r="B331" s="41" t="n"/>
    </row>
    <row r="332" ht="15.75" customHeight="1" s="60">
      <c r="A332" s="41" t="n"/>
      <c r="B332" s="41" t="n"/>
    </row>
    <row r="333" ht="15.75" customHeight="1" s="60">
      <c r="A333" s="41" t="n"/>
      <c r="B333" s="41" t="n"/>
    </row>
    <row r="334" ht="15.75" customHeight="1" s="60">
      <c r="A334" s="41" t="n"/>
      <c r="B334" s="41" t="n"/>
    </row>
    <row r="335" ht="15.75" customHeight="1" s="60">
      <c r="A335" s="41" t="n"/>
      <c r="B335" s="41" t="n"/>
    </row>
    <row r="336" ht="15.75" customHeight="1" s="60">
      <c r="A336" s="41" t="n"/>
      <c r="B336" s="41" t="n"/>
    </row>
    <row r="337" ht="15.75" customHeight="1" s="60">
      <c r="A337" s="41" t="n"/>
      <c r="B337" s="41" t="n"/>
    </row>
    <row r="338" ht="15.75" customHeight="1" s="60">
      <c r="A338" s="41" t="n"/>
      <c r="B338" s="41" t="n"/>
    </row>
    <row r="339" ht="15.75" customHeight="1" s="60">
      <c r="A339" s="41" t="n"/>
      <c r="B339" s="41" t="n"/>
    </row>
    <row r="340" ht="15.75" customHeight="1" s="60">
      <c r="A340" s="41" t="n"/>
      <c r="B340" s="41" t="n"/>
    </row>
    <row r="341" ht="15.75" customHeight="1" s="60">
      <c r="A341" s="41" t="n"/>
      <c r="B341" s="41" t="n"/>
    </row>
    <row r="342" ht="15.75" customHeight="1" s="60">
      <c r="A342" s="41" t="n"/>
      <c r="B342" s="41" t="n"/>
    </row>
    <row r="343" ht="15.75" customHeight="1" s="60">
      <c r="A343" s="41" t="n"/>
      <c r="B343" s="41" t="n"/>
    </row>
    <row r="344" ht="15.75" customHeight="1" s="60">
      <c r="A344" s="41" t="n"/>
      <c r="B344" s="41" t="n"/>
    </row>
    <row r="345" ht="15.75" customHeight="1" s="60">
      <c r="A345" s="41" t="n"/>
      <c r="B345" s="41" t="n"/>
    </row>
    <row r="346" ht="15.75" customHeight="1" s="60">
      <c r="A346" s="41" t="n"/>
      <c r="B346" s="41" t="n"/>
    </row>
    <row r="347" ht="15.75" customHeight="1" s="60">
      <c r="A347" s="41" t="n"/>
      <c r="B347" s="41" t="n"/>
    </row>
    <row r="348" ht="15.75" customHeight="1" s="60">
      <c r="A348" s="41" t="n"/>
      <c r="B348" s="41" t="n"/>
    </row>
    <row r="349" ht="15.75" customHeight="1" s="60">
      <c r="A349" s="41" t="n"/>
      <c r="B349" s="41" t="n"/>
    </row>
    <row r="350" ht="15.75" customHeight="1" s="60">
      <c r="A350" s="41" t="n"/>
      <c r="B350" s="41" t="n"/>
    </row>
    <row r="351" ht="15.75" customHeight="1" s="60">
      <c r="A351" s="41" t="n"/>
      <c r="B351" s="41" t="n"/>
    </row>
    <row r="352" ht="15.75" customHeight="1" s="60">
      <c r="A352" s="41" t="n"/>
      <c r="B352" s="41" t="n"/>
    </row>
    <row r="353" ht="15.75" customHeight="1" s="60">
      <c r="A353" s="41" t="n"/>
      <c r="B353" s="41" t="n"/>
    </row>
    <row r="354" ht="15.75" customHeight="1" s="60">
      <c r="A354" s="41" t="n"/>
      <c r="B354" s="41" t="n"/>
    </row>
    <row r="355" ht="15.75" customHeight="1" s="60">
      <c r="A355" s="41" t="n"/>
      <c r="B355" s="41" t="n"/>
    </row>
    <row r="356" ht="15.75" customHeight="1" s="60">
      <c r="A356" s="41" t="n"/>
      <c r="B356" s="41" t="n"/>
    </row>
    <row r="357" ht="15.75" customHeight="1" s="60">
      <c r="A357" s="41" t="n"/>
      <c r="B357" s="41" t="n"/>
    </row>
    <row r="358" ht="15.75" customHeight="1" s="60">
      <c r="A358" s="41" t="n"/>
      <c r="B358" s="41" t="n"/>
    </row>
    <row r="359" ht="15.75" customHeight="1" s="60">
      <c r="A359" s="41" t="n"/>
      <c r="B359" s="41" t="n"/>
    </row>
    <row r="360" ht="15.75" customHeight="1" s="60">
      <c r="A360" s="41" t="n"/>
      <c r="B360" s="41" t="n"/>
    </row>
    <row r="361" ht="15.75" customHeight="1" s="60">
      <c r="A361" s="41" t="n"/>
      <c r="B361" s="41" t="n"/>
    </row>
    <row r="362" ht="15.75" customHeight="1" s="60">
      <c r="A362" s="41" t="n"/>
      <c r="B362" s="41" t="n"/>
    </row>
    <row r="363" ht="15.75" customHeight="1" s="60">
      <c r="A363" s="41" t="n"/>
      <c r="B363" s="41" t="n"/>
    </row>
    <row r="364" ht="15.75" customHeight="1" s="60">
      <c r="A364" s="41" t="n"/>
      <c r="B364" s="41" t="n"/>
    </row>
    <row r="365" ht="15.75" customHeight="1" s="60">
      <c r="A365" s="41" t="n"/>
      <c r="B365" s="41" t="n"/>
    </row>
    <row r="366" ht="15.75" customHeight="1" s="60">
      <c r="A366" s="41" t="n"/>
      <c r="B366" s="41" t="n"/>
    </row>
    <row r="367" ht="15.75" customHeight="1" s="60">
      <c r="A367" s="41" t="n"/>
      <c r="B367" s="41" t="n"/>
    </row>
    <row r="368" ht="15.75" customHeight="1" s="60">
      <c r="A368" s="41" t="n"/>
      <c r="B368" s="41" t="n"/>
    </row>
    <row r="369" ht="15.75" customHeight="1" s="60">
      <c r="A369" s="41" t="n"/>
      <c r="B369" s="41" t="n"/>
    </row>
    <row r="370" ht="15.75" customHeight="1" s="60">
      <c r="A370" s="41" t="n"/>
      <c r="B370" s="41" t="n"/>
    </row>
    <row r="371" ht="15.75" customHeight="1" s="60">
      <c r="A371" s="41" t="n"/>
      <c r="B371" s="41" t="n"/>
    </row>
    <row r="372" ht="15.75" customHeight="1" s="60">
      <c r="A372" s="41" t="n"/>
      <c r="B372" s="41" t="n"/>
    </row>
    <row r="373" ht="15.75" customHeight="1" s="60">
      <c r="A373" s="41" t="n"/>
      <c r="B373" s="41" t="n"/>
    </row>
    <row r="374" ht="15.75" customHeight="1" s="60">
      <c r="A374" s="41" t="n"/>
      <c r="B374" s="41" t="n"/>
    </row>
    <row r="375" ht="15.75" customHeight="1" s="60">
      <c r="A375" s="41" t="n"/>
      <c r="B375" s="41" t="n"/>
    </row>
    <row r="376" ht="15.75" customHeight="1" s="60">
      <c r="A376" s="41" t="n"/>
      <c r="B376" s="41" t="n"/>
    </row>
    <row r="377" ht="15.75" customHeight="1" s="60">
      <c r="A377" s="41" t="n"/>
      <c r="B377" s="41" t="n"/>
    </row>
    <row r="378" ht="15.75" customHeight="1" s="60">
      <c r="A378" s="41" t="n"/>
      <c r="B378" s="41" t="n"/>
    </row>
    <row r="379" ht="15.75" customHeight="1" s="60">
      <c r="A379" s="41" t="n"/>
      <c r="B379" s="41" t="n"/>
    </row>
    <row r="380" ht="15.75" customHeight="1" s="60">
      <c r="A380" s="41" t="n"/>
      <c r="B380" s="41" t="n"/>
    </row>
    <row r="381" ht="15.75" customHeight="1" s="60">
      <c r="A381" s="41" t="n"/>
      <c r="B381" s="41" t="n"/>
    </row>
    <row r="382" ht="15.75" customHeight="1" s="60">
      <c r="A382" s="41" t="n"/>
      <c r="B382" s="41" t="n"/>
    </row>
    <row r="383" ht="15.75" customHeight="1" s="60">
      <c r="A383" s="41" t="n"/>
      <c r="B383" s="41" t="n"/>
    </row>
    <row r="384" ht="15.75" customHeight="1" s="60">
      <c r="A384" s="41" t="n"/>
      <c r="B384" s="41" t="n"/>
    </row>
    <row r="385" ht="15.75" customHeight="1" s="60">
      <c r="A385" s="41" t="n"/>
      <c r="B385" s="41" t="n"/>
    </row>
    <row r="386" ht="15.75" customHeight="1" s="60">
      <c r="A386" s="41" t="n"/>
      <c r="B386" s="41" t="n"/>
    </row>
    <row r="387" ht="15.75" customHeight="1" s="60">
      <c r="A387" s="41" t="n"/>
      <c r="B387" s="41" t="n"/>
    </row>
    <row r="388" ht="15.75" customHeight="1" s="60">
      <c r="A388" s="41" t="n"/>
      <c r="B388" s="41" t="n"/>
    </row>
    <row r="389" ht="15.75" customHeight="1" s="60">
      <c r="A389" s="41" t="n"/>
      <c r="B389" s="41" t="n"/>
    </row>
    <row r="390" ht="15.75" customHeight="1" s="60">
      <c r="A390" s="41" t="n"/>
      <c r="B390" s="41" t="n"/>
    </row>
    <row r="391" ht="15.75" customHeight="1" s="60">
      <c r="A391" s="41" t="n"/>
      <c r="B391" s="41" t="n"/>
    </row>
    <row r="392" ht="15.75" customHeight="1" s="60">
      <c r="A392" s="41" t="n"/>
      <c r="B392" s="41" t="n"/>
    </row>
    <row r="393" ht="15.75" customHeight="1" s="60">
      <c r="A393" s="41" t="n"/>
      <c r="B393" s="41" t="n"/>
    </row>
    <row r="394" ht="15.75" customHeight="1" s="60">
      <c r="A394" s="41" t="n"/>
      <c r="B394" s="41" t="n"/>
    </row>
    <row r="395" ht="15.75" customHeight="1" s="60">
      <c r="A395" s="41" t="n"/>
      <c r="B395" s="41" t="n"/>
    </row>
    <row r="396" ht="15.75" customHeight="1" s="60">
      <c r="A396" s="41" t="n"/>
      <c r="B396" s="41" t="n"/>
    </row>
    <row r="397" ht="15.75" customHeight="1" s="60">
      <c r="A397" s="41" t="n"/>
      <c r="B397" s="41" t="n"/>
    </row>
    <row r="398" ht="15.75" customHeight="1" s="60">
      <c r="A398" s="41" t="n"/>
      <c r="B398" s="41" t="n"/>
    </row>
    <row r="399" ht="15.75" customHeight="1" s="60">
      <c r="A399" s="41" t="n"/>
      <c r="B399" s="41" t="n"/>
    </row>
    <row r="400" ht="15.75" customHeight="1" s="60">
      <c r="A400" s="41" t="n"/>
      <c r="B400" s="41" t="n"/>
    </row>
    <row r="401" ht="15.75" customHeight="1" s="60">
      <c r="A401" s="41" t="n"/>
      <c r="B401" s="41" t="n"/>
    </row>
    <row r="402" ht="15.75" customHeight="1" s="60">
      <c r="A402" s="41" t="n"/>
      <c r="B402" s="41" t="n"/>
    </row>
    <row r="403" ht="15.75" customHeight="1" s="60">
      <c r="A403" s="41" t="n"/>
      <c r="B403" s="41" t="n"/>
    </row>
    <row r="404" ht="15.75" customHeight="1" s="60">
      <c r="A404" s="41" t="n"/>
      <c r="B404" s="41" t="n"/>
    </row>
    <row r="405" ht="15.75" customHeight="1" s="60">
      <c r="A405" s="41" t="n"/>
      <c r="B405" s="41" t="n"/>
    </row>
    <row r="406" ht="15.75" customHeight="1" s="60">
      <c r="A406" s="41" t="n"/>
      <c r="B406" s="41" t="n"/>
    </row>
    <row r="407" ht="15.75" customHeight="1" s="60">
      <c r="A407" s="41" t="n"/>
      <c r="B407" s="41" t="n"/>
    </row>
    <row r="408" ht="15.75" customHeight="1" s="60">
      <c r="A408" s="41" t="n"/>
      <c r="B408" s="41" t="n"/>
    </row>
    <row r="409" ht="15.75" customHeight="1" s="60">
      <c r="A409" s="41" t="n"/>
      <c r="B409" s="41" t="n"/>
    </row>
    <row r="410" ht="15.75" customHeight="1" s="60">
      <c r="A410" s="41" t="n"/>
      <c r="B410" s="41" t="n"/>
    </row>
    <row r="411" ht="15.75" customHeight="1" s="60">
      <c r="A411" s="41" t="n"/>
      <c r="B411" s="41" t="n"/>
    </row>
    <row r="412" ht="15.75" customHeight="1" s="60">
      <c r="A412" s="41" t="n"/>
      <c r="B412" s="41" t="n"/>
    </row>
    <row r="413" ht="15.75" customHeight="1" s="60">
      <c r="A413" s="41" t="n"/>
      <c r="B413" s="41" t="n"/>
    </row>
    <row r="414" ht="15.75" customHeight="1" s="60">
      <c r="A414" s="41" t="n"/>
      <c r="B414" s="41" t="n"/>
    </row>
    <row r="415" ht="15.75" customHeight="1" s="60">
      <c r="A415" s="41" t="n"/>
      <c r="B415" s="41" t="n"/>
    </row>
    <row r="416" ht="15.75" customHeight="1" s="60">
      <c r="A416" s="41" t="n"/>
      <c r="B416" s="41" t="n"/>
    </row>
    <row r="417" ht="15.75" customHeight="1" s="60">
      <c r="A417" s="41" t="n"/>
      <c r="B417" s="41" t="n"/>
    </row>
    <row r="418" ht="15.75" customHeight="1" s="60">
      <c r="A418" s="41" t="n"/>
      <c r="B418" s="41" t="n"/>
    </row>
    <row r="419" ht="15.75" customHeight="1" s="60">
      <c r="A419" s="41" t="n"/>
      <c r="B419" s="41" t="n"/>
    </row>
    <row r="420" ht="15.75" customHeight="1" s="60">
      <c r="A420" s="41" t="n"/>
      <c r="B420" s="41" t="n"/>
    </row>
    <row r="421" ht="15.75" customHeight="1" s="60">
      <c r="A421" s="41" t="n"/>
      <c r="B421" s="41" t="n"/>
    </row>
    <row r="422" ht="15.75" customHeight="1" s="60">
      <c r="A422" s="41" t="n"/>
      <c r="B422" s="41" t="n"/>
    </row>
    <row r="423" ht="15.75" customHeight="1" s="60">
      <c r="A423" s="41" t="n"/>
      <c r="B423" s="41" t="n"/>
    </row>
    <row r="424" ht="15.75" customHeight="1" s="60">
      <c r="A424" s="41" t="n"/>
      <c r="B424" s="41" t="n"/>
    </row>
    <row r="425" ht="15.75" customHeight="1" s="60">
      <c r="A425" s="41" t="n"/>
      <c r="B425" s="41" t="n"/>
    </row>
    <row r="426" ht="15.75" customHeight="1" s="60">
      <c r="A426" s="41" t="n"/>
      <c r="B426" s="41" t="n"/>
    </row>
    <row r="427" ht="15.75" customHeight="1" s="60">
      <c r="A427" s="41" t="n"/>
      <c r="B427" s="41" t="n"/>
    </row>
    <row r="428" ht="15.75" customHeight="1" s="60">
      <c r="A428" s="41" t="n"/>
      <c r="B428" s="41" t="n"/>
    </row>
    <row r="429" ht="15.75" customHeight="1" s="60">
      <c r="A429" s="41" t="n"/>
      <c r="B429" s="41" t="n"/>
    </row>
    <row r="430" ht="15.75" customHeight="1" s="60">
      <c r="A430" s="41" t="n"/>
      <c r="B430" s="41" t="n"/>
    </row>
    <row r="431" ht="15.75" customHeight="1" s="60">
      <c r="A431" s="41" t="n"/>
      <c r="B431" s="41" t="n"/>
    </row>
    <row r="432" ht="15.75" customHeight="1" s="60">
      <c r="A432" s="41" t="n"/>
      <c r="B432" s="41" t="n"/>
    </row>
    <row r="433" ht="15.75" customHeight="1" s="60">
      <c r="A433" s="41" t="n"/>
      <c r="B433" s="41" t="n"/>
    </row>
    <row r="434" ht="15.75" customHeight="1" s="60">
      <c r="A434" s="41" t="n"/>
      <c r="B434" s="41" t="n"/>
    </row>
    <row r="435" ht="15.75" customHeight="1" s="60">
      <c r="A435" s="41" t="n"/>
      <c r="B435" s="41" t="n"/>
    </row>
    <row r="436" ht="15.75" customHeight="1" s="60">
      <c r="A436" s="41" t="n"/>
      <c r="B436" s="41" t="n"/>
    </row>
    <row r="437" ht="15.75" customHeight="1" s="60">
      <c r="A437" s="41" t="n"/>
      <c r="B437" s="41" t="n"/>
    </row>
    <row r="438" ht="15.75" customHeight="1" s="60">
      <c r="A438" s="41" t="n"/>
      <c r="B438" s="41" t="n"/>
    </row>
    <row r="439" ht="15.75" customHeight="1" s="60">
      <c r="A439" s="41" t="n"/>
      <c r="B439" s="41" t="n"/>
    </row>
    <row r="440" ht="15.75" customHeight="1" s="60">
      <c r="A440" s="41" t="n"/>
      <c r="B440" s="41" t="n"/>
    </row>
    <row r="441" ht="15.75" customHeight="1" s="60">
      <c r="A441" s="41" t="n"/>
      <c r="B441" s="41" t="n"/>
    </row>
    <row r="442" ht="15.75" customHeight="1" s="60">
      <c r="A442" s="41" t="n"/>
      <c r="B442" s="41" t="n"/>
    </row>
    <row r="443" ht="15.75" customHeight="1" s="60">
      <c r="A443" s="41" t="n"/>
      <c r="B443" s="41" t="n"/>
    </row>
    <row r="444" ht="15.75" customHeight="1" s="60">
      <c r="A444" s="41" t="n"/>
      <c r="B444" s="41" t="n"/>
    </row>
    <row r="445" ht="15.75" customHeight="1" s="60">
      <c r="A445" s="41" t="n"/>
      <c r="B445" s="41" t="n"/>
    </row>
    <row r="446" ht="15.75" customHeight="1" s="60">
      <c r="A446" s="41" t="n"/>
      <c r="B446" s="41" t="n"/>
    </row>
    <row r="447" ht="15.75" customHeight="1" s="60">
      <c r="A447" s="41" t="n"/>
      <c r="B447" s="41" t="n"/>
    </row>
    <row r="448" ht="15.75" customHeight="1" s="60">
      <c r="A448" s="41" t="n"/>
      <c r="B448" s="41" t="n"/>
    </row>
    <row r="449" ht="15.75" customHeight="1" s="60">
      <c r="A449" s="41" t="n"/>
      <c r="B449" s="41" t="n"/>
    </row>
    <row r="450" ht="15.75" customHeight="1" s="60">
      <c r="A450" s="41" t="n"/>
      <c r="B450" s="41" t="n"/>
    </row>
    <row r="451" ht="15.75" customHeight="1" s="60">
      <c r="A451" s="41" t="n"/>
      <c r="B451" s="41" t="n"/>
    </row>
    <row r="452" ht="15.75" customHeight="1" s="60">
      <c r="A452" s="41" t="n"/>
      <c r="B452" s="41" t="n"/>
    </row>
    <row r="453" ht="15.75" customHeight="1" s="60">
      <c r="A453" s="41" t="n"/>
      <c r="B453" s="41" t="n"/>
    </row>
    <row r="454" ht="15.75" customHeight="1" s="60">
      <c r="A454" s="41" t="n"/>
      <c r="B454" s="41" t="n"/>
    </row>
    <row r="455" ht="15.75" customHeight="1" s="60">
      <c r="A455" s="41" t="n"/>
      <c r="B455" s="41" t="n"/>
    </row>
    <row r="456" ht="15.75" customHeight="1" s="60">
      <c r="A456" s="41" t="n"/>
      <c r="B456" s="41" t="n"/>
    </row>
    <row r="457" ht="15.75" customHeight="1" s="60">
      <c r="A457" s="41" t="n"/>
      <c r="B457" s="41" t="n"/>
    </row>
    <row r="458" ht="15.75" customHeight="1" s="60">
      <c r="A458" s="41" t="n"/>
      <c r="B458" s="41" t="n"/>
    </row>
    <row r="459" ht="15.75" customHeight="1" s="60">
      <c r="A459" s="41" t="n"/>
      <c r="B459" s="41" t="n"/>
    </row>
    <row r="460" ht="15.75" customHeight="1" s="60">
      <c r="A460" s="41" t="n"/>
      <c r="B460" s="41" t="n"/>
    </row>
    <row r="461" ht="15.75" customHeight="1" s="60">
      <c r="A461" s="41" t="n"/>
      <c r="B461" s="41" t="n"/>
    </row>
    <row r="462" ht="15.75" customHeight="1" s="60">
      <c r="A462" s="41" t="n"/>
      <c r="B462" s="41" t="n"/>
    </row>
    <row r="463" ht="15.75" customHeight="1" s="60">
      <c r="A463" s="41" t="n"/>
      <c r="B463" s="41" t="n"/>
    </row>
    <row r="464" ht="15.75" customHeight="1" s="60">
      <c r="A464" s="41" t="n"/>
      <c r="B464" s="41" t="n"/>
    </row>
    <row r="465" ht="15.75" customHeight="1" s="60">
      <c r="A465" s="41" t="n"/>
      <c r="B465" s="41" t="n"/>
    </row>
    <row r="466" ht="15.75" customHeight="1" s="60">
      <c r="A466" s="41" t="n"/>
      <c r="B466" s="41" t="n"/>
    </row>
    <row r="467" ht="15.75" customHeight="1" s="60">
      <c r="A467" s="41" t="n"/>
      <c r="B467" s="41" t="n"/>
    </row>
    <row r="468" ht="15.75" customHeight="1" s="60">
      <c r="A468" s="41" t="n"/>
      <c r="B468" s="41" t="n"/>
    </row>
    <row r="469" ht="15.75" customHeight="1" s="60">
      <c r="A469" s="41" t="n"/>
      <c r="B469" s="41" t="n"/>
    </row>
    <row r="470" ht="15.75" customHeight="1" s="60">
      <c r="A470" s="41" t="n"/>
      <c r="B470" s="41" t="n"/>
    </row>
    <row r="471" ht="15.75" customHeight="1" s="60">
      <c r="A471" s="41" t="n"/>
      <c r="B471" s="41" t="n"/>
    </row>
    <row r="472" ht="15.75" customHeight="1" s="60">
      <c r="A472" s="41" t="n"/>
      <c r="B472" s="41" t="n"/>
    </row>
    <row r="473" ht="15.75" customHeight="1" s="60">
      <c r="A473" s="41" t="n"/>
      <c r="B473" s="41" t="n"/>
    </row>
    <row r="474" ht="15.75" customHeight="1" s="60">
      <c r="A474" s="41" t="n"/>
      <c r="B474" s="41" t="n"/>
    </row>
    <row r="475" ht="15.75" customHeight="1" s="60">
      <c r="A475" s="41" t="n"/>
      <c r="B475" s="41" t="n"/>
    </row>
    <row r="476" ht="15.75" customHeight="1" s="60">
      <c r="A476" s="41" t="n"/>
      <c r="B476" s="41" t="n"/>
    </row>
    <row r="477" ht="15.75" customHeight="1" s="60">
      <c r="A477" s="41" t="n"/>
      <c r="B477" s="41" t="n"/>
    </row>
    <row r="478" ht="15.75" customHeight="1" s="60">
      <c r="A478" s="41" t="n"/>
      <c r="B478" s="41" t="n"/>
    </row>
    <row r="479" ht="15.75" customHeight="1" s="60">
      <c r="A479" s="41" t="n"/>
      <c r="B479" s="41" t="n"/>
    </row>
    <row r="480" ht="15.75" customHeight="1" s="60">
      <c r="A480" s="41" t="n"/>
      <c r="B480" s="41" t="n"/>
    </row>
    <row r="481" ht="15.75" customHeight="1" s="60">
      <c r="A481" s="41" t="n"/>
      <c r="B481" s="41" t="n"/>
    </row>
    <row r="482" ht="15.75" customHeight="1" s="60">
      <c r="A482" s="41" t="n"/>
      <c r="B482" s="41" t="n"/>
    </row>
    <row r="483" ht="15.75" customHeight="1" s="60">
      <c r="A483" s="41" t="n"/>
      <c r="B483" s="41" t="n"/>
    </row>
    <row r="484" ht="15.75" customHeight="1" s="60">
      <c r="A484" s="41" t="n"/>
      <c r="B484" s="41" t="n"/>
    </row>
    <row r="485" ht="15.75" customHeight="1" s="60">
      <c r="A485" s="41" t="n"/>
      <c r="B485" s="41" t="n"/>
    </row>
    <row r="486" ht="15.75" customHeight="1" s="60">
      <c r="A486" s="41" t="n"/>
      <c r="B486" s="41" t="n"/>
    </row>
    <row r="487" ht="15.75" customHeight="1" s="60">
      <c r="A487" s="41" t="n"/>
      <c r="B487" s="41" t="n"/>
    </row>
    <row r="488" ht="15.75" customHeight="1" s="60">
      <c r="A488" s="41" t="n"/>
      <c r="B488" s="41" t="n"/>
    </row>
    <row r="489" ht="15.75" customHeight="1" s="60">
      <c r="A489" s="41" t="n"/>
      <c r="B489" s="41" t="n"/>
    </row>
    <row r="490" ht="15.75" customHeight="1" s="60">
      <c r="A490" s="41" t="n"/>
      <c r="B490" s="41" t="n"/>
    </row>
    <row r="491" ht="15.75" customHeight="1" s="60">
      <c r="A491" s="41" t="n"/>
      <c r="B491" s="41" t="n"/>
    </row>
    <row r="492" ht="15.75" customHeight="1" s="60">
      <c r="A492" s="41" t="n"/>
      <c r="B492" s="41" t="n"/>
    </row>
    <row r="493" ht="15.75" customHeight="1" s="60">
      <c r="A493" s="41" t="n"/>
      <c r="B493" s="41" t="n"/>
    </row>
    <row r="494" ht="15.75" customHeight="1" s="60">
      <c r="A494" s="41" t="n"/>
      <c r="B494" s="41" t="n"/>
    </row>
    <row r="495" ht="15.75" customHeight="1" s="60">
      <c r="A495" s="41" t="n"/>
      <c r="B495" s="41" t="n"/>
    </row>
    <row r="496" ht="15.75" customHeight="1" s="60">
      <c r="A496" s="41" t="n"/>
      <c r="B496" s="41" t="n"/>
    </row>
    <row r="497" ht="15.75" customHeight="1" s="60">
      <c r="A497" s="41" t="n"/>
      <c r="B497" s="41" t="n"/>
    </row>
    <row r="498" ht="15.75" customHeight="1" s="60">
      <c r="A498" s="41" t="n"/>
      <c r="B498" s="41" t="n"/>
    </row>
    <row r="499" ht="15.75" customHeight="1" s="60">
      <c r="A499" s="41" t="n"/>
      <c r="B499" s="41" t="n"/>
    </row>
    <row r="500" ht="15.75" customHeight="1" s="60">
      <c r="A500" s="41" t="n"/>
      <c r="B500" s="41" t="n"/>
    </row>
    <row r="501" ht="15.75" customHeight="1" s="60">
      <c r="A501" s="41" t="n"/>
      <c r="B501" s="41" t="n"/>
    </row>
    <row r="502" ht="15.75" customHeight="1" s="60">
      <c r="A502" s="41" t="n"/>
      <c r="B502" s="41" t="n"/>
    </row>
    <row r="503" ht="15.75" customHeight="1" s="60">
      <c r="A503" s="41" t="n"/>
      <c r="B503" s="41" t="n"/>
    </row>
    <row r="504" ht="15.75" customHeight="1" s="60">
      <c r="A504" s="41" t="n"/>
      <c r="B504" s="41" t="n"/>
    </row>
    <row r="505" ht="15.75" customHeight="1" s="60">
      <c r="A505" s="41" t="n"/>
      <c r="B505" s="41" t="n"/>
    </row>
    <row r="506" ht="15.75" customHeight="1" s="60">
      <c r="A506" s="41" t="n"/>
      <c r="B506" s="41" t="n"/>
    </row>
    <row r="507" ht="15.75" customHeight="1" s="60">
      <c r="A507" s="41" t="n"/>
      <c r="B507" s="41" t="n"/>
    </row>
    <row r="508" ht="15.75" customHeight="1" s="60">
      <c r="A508" s="41" t="n"/>
      <c r="B508" s="41" t="n"/>
    </row>
    <row r="509" ht="15.75" customHeight="1" s="60">
      <c r="A509" s="41" t="n"/>
      <c r="B509" s="41" t="n"/>
    </row>
    <row r="510" ht="15.75" customHeight="1" s="60">
      <c r="A510" s="41" t="n"/>
      <c r="B510" s="41" t="n"/>
    </row>
    <row r="511" ht="15.75" customHeight="1" s="60">
      <c r="A511" s="41" t="n"/>
      <c r="B511" s="41" t="n"/>
    </row>
    <row r="512" ht="15.75" customHeight="1" s="60">
      <c r="A512" s="41" t="n"/>
      <c r="B512" s="41" t="n"/>
    </row>
    <row r="513" ht="15.75" customHeight="1" s="60">
      <c r="A513" s="41" t="n"/>
      <c r="B513" s="41" t="n"/>
    </row>
    <row r="514" ht="15.75" customHeight="1" s="60">
      <c r="A514" s="41" t="n"/>
      <c r="B514" s="41" t="n"/>
    </row>
    <row r="515" ht="15.75" customHeight="1" s="60">
      <c r="A515" s="41" t="n"/>
      <c r="B515" s="41" t="n"/>
    </row>
    <row r="516" ht="15.75" customHeight="1" s="60">
      <c r="A516" s="41" t="n"/>
      <c r="B516" s="41" t="n"/>
    </row>
    <row r="517" ht="15.75" customHeight="1" s="60">
      <c r="A517" s="41" t="n"/>
      <c r="B517" s="41" t="n"/>
    </row>
    <row r="518" ht="15.75" customHeight="1" s="60">
      <c r="A518" s="41" t="n"/>
      <c r="B518" s="41" t="n"/>
    </row>
    <row r="519" ht="15.75" customHeight="1" s="60">
      <c r="A519" s="41" t="n"/>
      <c r="B519" s="41" t="n"/>
    </row>
    <row r="520" ht="15.75" customHeight="1" s="60">
      <c r="A520" s="41" t="n"/>
      <c r="B520" s="41" t="n"/>
    </row>
    <row r="521" ht="15.75" customHeight="1" s="60">
      <c r="A521" s="41" t="n"/>
      <c r="B521" s="41" t="n"/>
    </row>
    <row r="522" ht="15.75" customHeight="1" s="60">
      <c r="A522" s="41" t="n"/>
      <c r="B522" s="41" t="n"/>
    </row>
    <row r="523" ht="15.75" customHeight="1" s="60">
      <c r="A523" s="41" t="n"/>
      <c r="B523" s="41" t="n"/>
    </row>
    <row r="524" ht="15.75" customHeight="1" s="60">
      <c r="A524" s="41" t="n"/>
      <c r="B524" s="41" t="n"/>
    </row>
    <row r="525" ht="15.75" customHeight="1" s="60">
      <c r="A525" s="41" t="n"/>
      <c r="B525" s="41" t="n"/>
    </row>
    <row r="526" ht="15.75" customHeight="1" s="60">
      <c r="A526" s="41" t="n"/>
      <c r="B526" s="41" t="n"/>
    </row>
    <row r="527" ht="15.75" customHeight="1" s="60">
      <c r="A527" s="41" t="n"/>
      <c r="B527" s="41" t="n"/>
    </row>
    <row r="528" ht="15.75" customHeight="1" s="60">
      <c r="A528" s="41" t="n"/>
      <c r="B528" s="41" t="n"/>
    </row>
    <row r="529" ht="15.75" customHeight="1" s="60">
      <c r="A529" s="41" t="n"/>
      <c r="B529" s="41" t="n"/>
    </row>
    <row r="530" ht="15.75" customHeight="1" s="60">
      <c r="A530" s="41" t="n"/>
      <c r="B530" s="41" t="n"/>
    </row>
    <row r="531" ht="15.75" customHeight="1" s="60">
      <c r="A531" s="41" t="n"/>
      <c r="B531" s="41" t="n"/>
    </row>
    <row r="532" ht="15.75" customHeight="1" s="60">
      <c r="A532" s="41" t="n"/>
      <c r="B532" s="41" t="n"/>
    </row>
    <row r="533" ht="15.75" customHeight="1" s="60">
      <c r="A533" s="41" t="n"/>
      <c r="B533" s="41" t="n"/>
    </row>
    <row r="534" ht="15.75" customHeight="1" s="60">
      <c r="A534" s="41" t="n"/>
      <c r="B534" s="41" t="n"/>
    </row>
    <row r="535" ht="15.75" customHeight="1" s="60">
      <c r="A535" s="41" t="n"/>
      <c r="B535" s="41" t="n"/>
    </row>
    <row r="536" ht="15.75" customHeight="1" s="60">
      <c r="A536" s="41" t="n"/>
      <c r="B536" s="41" t="n"/>
    </row>
    <row r="537" ht="15.75" customHeight="1" s="60">
      <c r="A537" s="41" t="n"/>
      <c r="B537" s="41" t="n"/>
    </row>
    <row r="538" ht="15.75" customHeight="1" s="60">
      <c r="A538" s="41" t="n"/>
      <c r="B538" s="41" t="n"/>
    </row>
    <row r="539" ht="15.75" customHeight="1" s="60">
      <c r="A539" s="41" t="n"/>
      <c r="B539" s="41" t="n"/>
    </row>
    <row r="540" ht="15.75" customHeight="1" s="60">
      <c r="A540" s="41" t="n"/>
      <c r="B540" s="41" t="n"/>
    </row>
    <row r="541" ht="15.75" customHeight="1" s="60">
      <c r="A541" s="41" t="n"/>
      <c r="B541" s="41" t="n"/>
    </row>
    <row r="542" ht="15.75" customHeight="1" s="60">
      <c r="A542" s="41" t="n"/>
      <c r="B542" s="41" t="n"/>
    </row>
    <row r="543" ht="15.75" customHeight="1" s="60">
      <c r="A543" s="41" t="n"/>
      <c r="B543" s="41" t="n"/>
    </row>
    <row r="544" ht="15.75" customHeight="1" s="60">
      <c r="A544" s="41" t="n"/>
      <c r="B544" s="41" t="n"/>
    </row>
    <row r="545" ht="15.75" customHeight="1" s="60">
      <c r="A545" s="41" t="n"/>
      <c r="B545" s="41" t="n"/>
    </row>
    <row r="546" ht="15.75" customHeight="1" s="60">
      <c r="A546" s="41" t="n"/>
      <c r="B546" s="41" t="n"/>
    </row>
    <row r="547" ht="15.75" customHeight="1" s="60">
      <c r="A547" s="41" t="n"/>
      <c r="B547" s="41" t="n"/>
    </row>
    <row r="548" ht="15.75" customHeight="1" s="60">
      <c r="A548" s="41" t="n"/>
      <c r="B548" s="41" t="n"/>
    </row>
    <row r="549" ht="15.75" customHeight="1" s="60">
      <c r="A549" s="41" t="n"/>
      <c r="B549" s="41" t="n"/>
    </row>
    <row r="550" ht="15.75" customHeight="1" s="60">
      <c r="A550" s="41" t="n"/>
      <c r="B550" s="41" t="n"/>
    </row>
    <row r="551" ht="15.75" customHeight="1" s="60">
      <c r="A551" s="41" t="n"/>
      <c r="B551" s="41" t="n"/>
    </row>
    <row r="552" ht="15.75" customHeight="1" s="60">
      <c r="A552" s="41" t="n"/>
      <c r="B552" s="41" t="n"/>
    </row>
    <row r="553" ht="15.75" customHeight="1" s="60">
      <c r="A553" s="41" t="n"/>
      <c r="B553" s="41" t="n"/>
    </row>
    <row r="554" ht="15.75" customHeight="1" s="60">
      <c r="A554" s="41" t="n"/>
      <c r="B554" s="41" t="n"/>
    </row>
    <row r="555" ht="15.75" customHeight="1" s="60">
      <c r="A555" s="41" t="n"/>
      <c r="B555" s="41" t="n"/>
    </row>
    <row r="556" ht="15.75" customHeight="1" s="60">
      <c r="A556" s="41" t="n"/>
      <c r="B556" s="41" t="n"/>
    </row>
    <row r="557" ht="15.75" customHeight="1" s="60">
      <c r="A557" s="41" t="n"/>
      <c r="B557" s="41" t="n"/>
    </row>
    <row r="558" ht="15.75" customHeight="1" s="60">
      <c r="A558" s="41" t="n"/>
      <c r="B558" s="41" t="n"/>
    </row>
    <row r="559" ht="15.75" customHeight="1" s="60">
      <c r="A559" s="41" t="n"/>
      <c r="B559" s="41" t="n"/>
    </row>
    <row r="560" ht="15.75" customHeight="1" s="60">
      <c r="A560" s="41" t="n"/>
      <c r="B560" s="41" t="n"/>
    </row>
    <row r="561" ht="15.75" customHeight="1" s="60">
      <c r="A561" s="41" t="n"/>
      <c r="B561" s="41" t="n"/>
    </row>
    <row r="562" ht="15.75" customHeight="1" s="60">
      <c r="A562" s="41" t="n"/>
      <c r="B562" s="41" t="n"/>
    </row>
    <row r="563" ht="15.75" customHeight="1" s="60">
      <c r="A563" s="41" t="n"/>
      <c r="B563" s="41" t="n"/>
    </row>
    <row r="564" ht="15.75" customHeight="1" s="60">
      <c r="A564" s="41" t="n"/>
      <c r="B564" s="41" t="n"/>
    </row>
    <row r="565" ht="15.75" customHeight="1" s="60">
      <c r="A565" s="41" t="n"/>
      <c r="B565" s="41" t="n"/>
    </row>
    <row r="566" ht="15.75" customHeight="1" s="60">
      <c r="A566" s="41" t="n"/>
      <c r="B566" s="41" t="n"/>
    </row>
    <row r="567" ht="15.75" customHeight="1" s="60">
      <c r="A567" s="41" t="n"/>
      <c r="B567" s="41" t="n"/>
    </row>
    <row r="568" ht="15.75" customHeight="1" s="60">
      <c r="A568" s="41" t="n"/>
      <c r="B568" s="41" t="n"/>
    </row>
    <row r="569" ht="15.75" customHeight="1" s="60">
      <c r="A569" s="41" t="n"/>
      <c r="B569" s="41" t="n"/>
    </row>
    <row r="570" ht="15.75" customHeight="1" s="60">
      <c r="A570" s="41" t="n"/>
      <c r="B570" s="41" t="n"/>
    </row>
    <row r="571" ht="15.75" customHeight="1" s="60">
      <c r="A571" s="41" t="n"/>
      <c r="B571" s="41" t="n"/>
    </row>
    <row r="572" ht="15.75" customHeight="1" s="60">
      <c r="A572" s="41" t="n"/>
      <c r="B572" s="41" t="n"/>
    </row>
    <row r="573" ht="15.75" customHeight="1" s="60">
      <c r="A573" s="41" t="n"/>
      <c r="B573" s="41" t="n"/>
    </row>
    <row r="574" ht="15.75" customHeight="1" s="60">
      <c r="A574" s="41" t="n"/>
      <c r="B574" s="41" t="n"/>
    </row>
    <row r="575" ht="15.75" customHeight="1" s="60">
      <c r="A575" s="41" t="n"/>
      <c r="B575" s="41" t="n"/>
    </row>
    <row r="576" ht="15.75" customHeight="1" s="60">
      <c r="A576" s="41" t="n"/>
      <c r="B576" s="41" t="n"/>
    </row>
    <row r="577" ht="15.75" customHeight="1" s="60">
      <c r="A577" s="41" t="n"/>
      <c r="B577" s="41" t="n"/>
    </row>
    <row r="578" ht="15.75" customHeight="1" s="60">
      <c r="A578" s="41" t="n"/>
      <c r="B578" s="41" t="n"/>
    </row>
    <row r="579" ht="15.75" customHeight="1" s="60">
      <c r="A579" s="41" t="n"/>
      <c r="B579" s="41" t="n"/>
    </row>
    <row r="580" ht="15.75" customHeight="1" s="60">
      <c r="A580" s="41" t="n"/>
      <c r="B580" s="41" t="n"/>
    </row>
    <row r="581" ht="15.75" customHeight="1" s="60">
      <c r="A581" s="41" t="n"/>
      <c r="B581" s="41" t="n"/>
    </row>
    <row r="582" ht="15.75" customHeight="1" s="60">
      <c r="A582" s="41" t="n"/>
      <c r="B582" s="41" t="n"/>
    </row>
    <row r="583" ht="15.75" customHeight="1" s="60">
      <c r="A583" s="41" t="n"/>
      <c r="B583" s="41" t="n"/>
    </row>
    <row r="584" ht="15.75" customHeight="1" s="60">
      <c r="A584" s="41" t="n"/>
      <c r="B584" s="41" t="n"/>
    </row>
    <row r="585" ht="15.75" customHeight="1" s="60">
      <c r="A585" s="41" t="n"/>
      <c r="B585" s="41" t="n"/>
    </row>
    <row r="586" ht="15.75" customHeight="1" s="60">
      <c r="A586" s="41" t="n"/>
      <c r="B586" s="41" t="n"/>
    </row>
    <row r="587" ht="15.75" customHeight="1" s="60">
      <c r="A587" s="41" t="n"/>
      <c r="B587" s="41" t="n"/>
    </row>
    <row r="588" ht="15.75" customHeight="1" s="60">
      <c r="A588" s="41" t="n"/>
      <c r="B588" s="41" t="n"/>
    </row>
    <row r="589" ht="15.75" customHeight="1" s="60">
      <c r="A589" s="41" t="n"/>
      <c r="B589" s="41" t="n"/>
    </row>
    <row r="590" ht="15.75" customHeight="1" s="60">
      <c r="A590" s="41" t="n"/>
      <c r="B590" s="41" t="n"/>
    </row>
    <row r="591" ht="15.75" customHeight="1" s="60">
      <c r="A591" s="41" t="n"/>
      <c r="B591" s="41" t="n"/>
    </row>
    <row r="592" ht="15.75" customHeight="1" s="60">
      <c r="A592" s="41" t="n"/>
      <c r="B592" s="41" t="n"/>
    </row>
    <row r="593" ht="15.75" customHeight="1" s="60">
      <c r="A593" s="41" t="n"/>
      <c r="B593" s="41" t="n"/>
    </row>
    <row r="594" ht="15.75" customHeight="1" s="60">
      <c r="A594" s="41" t="n"/>
      <c r="B594" s="41" t="n"/>
    </row>
    <row r="595" ht="15.75" customHeight="1" s="60">
      <c r="A595" s="41" t="n"/>
      <c r="B595" s="41" t="n"/>
    </row>
    <row r="596" ht="15.75" customHeight="1" s="60">
      <c r="A596" s="41" t="n"/>
      <c r="B596" s="41" t="n"/>
    </row>
    <row r="597" ht="15.75" customHeight="1" s="60">
      <c r="A597" s="41" t="n"/>
      <c r="B597" s="41" t="n"/>
    </row>
    <row r="598" ht="15.75" customHeight="1" s="60">
      <c r="A598" s="41" t="n"/>
      <c r="B598" s="41" t="n"/>
    </row>
    <row r="599" ht="15.75" customHeight="1" s="60">
      <c r="A599" s="41" t="n"/>
      <c r="B599" s="41" t="n"/>
    </row>
    <row r="600" ht="15.75" customHeight="1" s="60">
      <c r="A600" s="41" t="n"/>
      <c r="B600" s="41" t="n"/>
    </row>
    <row r="601" ht="15.75" customHeight="1" s="60">
      <c r="A601" s="41" t="n"/>
      <c r="B601" s="41" t="n"/>
    </row>
    <row r="602" ht="15.75" customHeight="1" s="60">
      <c r="A602" s="41" t="n"/>
      <c r="B602" s="41" t="n"/>
    </row>
    <row r="603" ht="15.75" customHeight="1" s="60">
      <c r="A603" s="41" t="n"/>
      <c r="B603" s="41" t="n"/>
    </row>
    <row r="604" ht="15.75" customHeight="1" s="60">
      <c r="A604" s="41" t="n"/>
      <c r="B604" s="41" t="n"/>
    </row>
    <row r="605" ht="15.75" customHeight="1" s="60">
      <c r="A605" s="41" t="n"/>
      <c r="B605" s="41" t="n"/>
    </row>
    <row r="606" ht="15.75" customHeight="1" s="60">
      <c r="A606" s="41" t="n"/>
      <c r="B606" s="41" t="n"/>
    </row>
    <row r="607" ht="15.75" customHeight="1" s="60">
      <c r="A607" s="41" t="n"/>
      <c r="B607" s="41" t="n"/>
    </row>
    <row r="608" ht="15.75" customHeight="1" s="60">
      <c r="A608" s="41" t="n"/>
      <c r="B608" s="41" t="n"/>
    </row>
    <row r="609" ht="15.75" customHeight="1" s="60">
      <c r="A609" s="41" t="n"/>
      <c r="B609" s="41" t="n"/>
    </row>
    <row r="610" ht="15.75" customHeight="1" s="60">
      <c r="A610" s="41" t="n"/>
      <c r="B610" s="41" t="n"/>
    </row>
    <row r="611" ht="15.75" customHeight="1" s="60">
      <c r="A611" s="41" t="n"/>
      <c r="B611" s="41" t="n"/>
    </row>
    <row r="612" ht="15.75" customHeight="1" s="60">
      <c r="A612" s="41" t="n"/>
      <c r="B612" s="41" t="n"/>
    </row>
    <row r="613" ht="15.75" customHeight="1" s="60">
      <c r="A613" s="41" t="n"/>
      <c r="B613" s="41" t="n"/>
    </row>
    <row r="614" ht="15.75" customHeight="1" s="60">
      <c r="A614" s="41" t="n"/>
      <c r="B614" s="41" t="n"/>
    </row>
    <row r="615" ht="15.75" customHeight="1" s="60">
      <c r="A615" s="41" t="n"/>
      <c r="B615" s="41" t="n"/>
    </row>
    <row r="616" ht="15.75" customHeight="1" s="60">
      <c r="A616" s="41" t="n"/>
      <c r="B616" s="41" t="n"/>
    </row>
    <row r="617" ht="15.75" customHeight="1" s="60">
      <c r="A617" s="41" t="n"/>
      <c r="B617" s="41" t="n"/>
    </row>
    <row r="618" ht="15.75" customHeight="1" s="60">
      <c r="A618" s="41" t="n"/>
      <c r="B618" s="41" t="n"/>
    </row>
    <row r="619" ht="15.75" customHeight="1" s="60">
      <c r="A619" s="41" t="n"/>
      <c r="B619" s="41" t="n"/>
    </row>
    <row r="620" ht="15.75" customHeight="1" s="60">
      <c r="A620" s="41" t="n"/>
      <c r="B620" s="41" t="n"/>
    </row>
    <row r="621" ht="15.75" customHeight="1" s="60">
      <c r="A621" s="41" t="n"/>
      <c r="B621" s="41" t="n"/>
    </row>
    <row r="622" ht="15.75" customHeight="1" s="60">
      <c r="A622" s="41" t="n"/>
      <c r="B622" s="41" t="n"/>
    </row>
    <row r="623" ht="15.75" customHeight="1" s="60">
      <c r="A623" s="41" t="n"/>
      <c r="B623" s="41" t="n"/>
    </row>
    <row r="624" ht="15.75" customHeight="1" s="60">
      <c r="A624" s="41" t="n"/>
      <c r="B624" s="41" t="n"/>
    </row>
    <row r="625" ht="15.75" customHeight="1" s="60">
      <c r="A625" s="41" t="n"/>
      <c r="B625" s="41" t="n"/>
    </row>
    <row r="626" ht="15.75" customHeight="1" s="60">
      <c r="A626" s="41" t="n"/>
      <c r="B626" s="41" t="n"/>
    </row>
    <row r="627" ht="15.75" customHeight="1" s="60">
      <c r="A627" s="41" t="n"/>
      <c r="B627" s="41" t="n"/>
    </row>
    <row r="628" ht="15.75" customHeight="1" s="60">
      <c r="A628" s="41" t="n"/>
      <c r="B628" s="41" t="n"/>
    </row>
    <row r="629" ht="15.75" customHeight="1" s="60">
      <c r="A629" s="41" t="n"/>
      <c r="B629" s="41" t="n"/>
    </row>
    <row r="630" ht="15.75" customHeight="1" s="60">
      <c r="A630" s="41" t="n"/>
      <c r="B630" s="41" t="n"/>
    </row>
    <row r="631" ht="15.75" customHeight="1" s="60">
      <c r="A631" s="41" t="n"/>
      <c r="B631" s="41" t="n"/>
    </row>
    <row r="632" ht="15.75" customHeight="1" s="60">
      <c r="A632" s="41" t="n"/>
      <c r="B632" s="41" t="n"/>
    </row>
    <row r="633" ht="15.75" customHeight="1" s="60">
      <c r="A633" s="41" t="n"/>
      <c r="B633" s="41" t="n"/>
    </row>
    <row r="634" ht="15.75" customHeight="1" s="60">
      <c r="A634" s="41" t="n"/>
      <c r="B634" s="41" t="n"/>
    </row>
    <row r="635" ht="15.75" customHeight="1" s="60">
      <c r="A635" s="41" t="n"/>
      <c r="B635" s="41" t="n"/>
    </row>
    <row r="636" ht="15.75" customHeight="1" s="60">
      <c r="A636" s="41" t="n"/>
      <c r="B636" s="41" t="n"/>
    </row>
    <row r="637" ht="15.75" customHeight="1" s="60">
      <c r="A637" s="41" t="n"/>
      <c r="B637" s="41" t="n"/>
    </row>
    <row r="638" ht="15.75" customHeight="1" s="60">
      <c r="A638" s="41" t="n"/>
      <c r="B638" s="41" t="n"/>
    </row>
    <row r="639" ht="15.75" customHeight="1" s="60">
      <c r="A639" s="41" t="n"/>
      <c r="B639" s="41" t="n"/>
    </row>
    <row r="640" ht="15.75" customHeight="1" s="60">
      <c r="A640" s="41" t="n"/>
      <c r="B640" s="41" t="n"/>
    </row>
    <row r="641" ht="15.75" customHeight="1" s="60">
      <c r="A641" s="41" t="n"/>
      <c r="B641" s="41" t="n"/>
    </row>
    <row r="642" ht="15.75" customHeight="1" s="60">
      <c r="A642" s="41" t="n"/>
      <c r="B642" s="41" t="n"/>
    </row>
    <row r="643" ht="15.75" customHeight="1" s="60">
      <c r="A643" s="41" t="n"/>
      <c r="B643" s="41" t="n"/>
    </row>
    <row r="644" ht="15.75" customHeight="1" s="60">
      <c r="A644" s="41" t="n"/>
      <c r="B644" s="41" t="n"/>
    </row>
    <row r="645" ht="15.75" customHeight="1" s="60">
      <c r="A645" s="41" t="n"/>
      <c r="B645" s="41" t="n"/>
    </row>
    <row r="646" ht="15.75" customHeight="1" s="60">
      <c r="A646" s="41" t="n"/>
      <c r="B646" s="41" t="n"/>
    </row>
    <row r="647" ht="15.75" customHeight="1" s="60">
      <c r="A647" s="41" t="n"/>
      <c r="B647" s="41" t="n"/>
    </row>
    <row r="648" ht="15.75" customHeight="1" s="60">
      <c r="A648" s="41" t="n"/>
      <c r="B648" s="41" t="n"/>
    </row>
    <row r="649" ht="15.75" customHeight="1" s="60">
      <c r="A649" s="41" t="n"/>
      <c r="B649" s="41" t="n"/>
    </row>
    <row r="650" ht="15.75" customHeight="1" s="60">
      <c r="A650" s="41" t="n"/>
      <c r="B650" s="41" t="n"/>
    </row>
    <row r="651" ht="15.75" customHeight="1" s="60">
      <c r="A651" s="41" t="n"/>
      <c r="B651" s="41" t="n"/>
    </row>
    <row r="652" ht="15.75" customHeight="1" s="60">
      <c r="A652" s="41" t="n"/>
      <c r="B652" s="41" t="n"/>
    </row>
    <row r="653" ht="15.75" customHeight="1" s="60">
      <c r="A653" s="41" t="n"/>
      <c r="B653" s="41" t="n"/>
    </row>
    <row r="654" ht="15.75" customHeight="1" s="60">
      <c r="A654" s="41" t="n"/>
      <c r="B654" s="41" t="n"/>
    </row>
    <row r="655" ht="15.75" customHeight="1" s="60">
      <c r="A655" s="41" t="n"/>
      <c r="B655" s="41" t="n"/>
    </row>
    <row r="656" ht="15.75" customHeight="1" s="60">
      <c r="A656" s="41" t="n"/>
      <c r="B656" s="41" t="n"/>
    </row>
    <row r="657" ht="15.75" customHeight="1" s="60">
      <c r="A657" s="41" t="n"/>
      <c r="B657" s="41" t="n"/>
    </row>
    <row r="658" ht="15.75" customHeight="1" s="60">
      <c r="A658" s="41" t="n"/>
      <c r="B658" s="41" t="n"/>
    </row>
    <row r="659" ht="15.75" customHeight="1" s="60">
      <c r="A659" s="41" t="n"/>
      <c r="B659" s="41" t="n"/>
    </row>
    <row r="660" ht="15.75" customHeight="1" s="60">
      <c r="A660" s="41" t="n"/>
      <c r="B660" s="41" t="n"/>
    </row>
    <row r="661" ht="15.75" customHeight="1" s="60">
      <c r="A661" s="41" t="n"/>
      <c r="B661" s="41" t="n"/>
    </row>
    <row r="662" ht="15.75" customHeight="1" s="60">
      <c r="A662" s="41" t="n"/>
      <c r="B662" s="41" t="n"/>
    </row>
    <row r="663" ht="15.75" customHeight="1" s="60">
      <c r="A663" s="41" t="n"/>
      <c r="B663" s="41" t="n"/>
    </row>
    <row r="664" ht="15.75" customHeight="1" s="60">
      <c r="A664" s="41" t="n"/>
      <c r="B664" s="41" t="n"/>
    </row>
    <row r="665" ht="15.75" customHeight="1" s="60">
      <c r="A665" s="41" t="n"/>
      <c r="B665" s="41" t="n"/>
    </row>
    <row r="666" ht="15.75" customHeight="1" s="60">
      <c r="A666" s="41" t="n"/>
      <c r="B666" s="41" t="n"/>
    </row>
    <row r="667" ht="15.75" customHeight="1" s="60">
      <c r="A667" s="41" t="n"/>
      <c r="B667" s="41" t="n"/>
    </row>
    <row r="668" ht="15.75" customHeight="1" s="60">
      <c r="A668" s="41" t="n"/>
      <c r="B668" s="41" t="n"/>
    </row>
    <row r="669" ht="15.75" customHeight="1" s="60">
      <c r="A669" s="41" t="n"/>
      <c r="B669" s="41" t="n"/>
    </row>
    <row r="670" ht="15.75" customHeight="1" s="60">
      <c r="A670" s="41" t="n"/>
      <c r="B670" s="41" t="n"/>
    </row>
    <row r="671" ht="15.75" customHeight="1" s="60">
      <c r="A671" s="41" t="n"/>
      <c r="B671" s="41" t="n"/>
    </row>
    <row r="672" ht="15.75" customHeight="1" s="60">
      <c r="A672" s="41" t="n"/>
      <c r="B672" s="41" t="n"/>
    </row>
    <row r="673" ht="15.75" customHeight="1" s="60">
      <c r="A673" s="41" t="n"/>
      <c r="B673" s="41" t="n"/>
    </row>
    <row r="674" ht="15.75" customHeight="1" s="60">
      <c r="A674" s="41" t="n"/>
      <c r="B674" s="41" t="n"/>
    </row>
    <row r="675" ht="15.75" customHeight="1" s="60">
      <c r="A675" s="41" t="n"/>
      <c r="B675" s="41" t="n"/>
    </row>
    <row r="676" ht="15.75" customHeight="1" s="60">
      <c r="A676" s="41" t="n"/>
      <c r="B676" s="41" t="n"/>
    </row>
    <row r="677" ht="15.75" customHeight="1" s="60">
      <c r="A677" s="41" t="n"/>
      <c r="B677" s="41" t="n"/>
    </row>
    <row r="678" ht="15.75" customHeight="1" s="60">
      <c r="A678" s="41" t="n"/>
      <c r="B678" s="41" t="n"/>
    </row>
    <row r="679" ht="15.75" customHeight="1" s="60">
      <c r="A679" s="41" t="n"/>
      <c r="B679" s="41" t="n"/>
    </row>
    <row r="680" ht="15.75" customHeight="1" s="60">
      <c r="A680" s="41" t="n"/>
      <c r="B680" s="41" t="n"/>
    </row>
    <row r="681" ht="15.75" customHeight="1" s="60">
      <c r="A681" s="41" t="n"/>
      <c r="B681" s="41" t="n"/>
    </row>
    <row r="682" ht="15.75" customHeight="1" s="60">
      <c r="A682" s="41" t="n"/>
      <c r="B682" s="41" t="n"/>
    </row>
    <row r="683" ht="15.75" customHeight="1" s="60">
      <c r="A683" s="41" t="n"/>
      <c r="B683" s="41" t="n"/>
    </row>
    <row r="684" ht="15.75" customHeight="1" s="60">
      <c r="A684" s="41" t="n"/>
      <c r="B684" s="41" t="n"/>
    </row>
    <row r="685" ht="15.75" customHeight="1" s="60">
      <c r="A685" s="41" t="n"/>
      <c r="B685" s="41" t="n"/>
    </row>
    <row r="686" ht="15.75" customHeight="1" s="60">
      <c r="A686" s="41" t="n"/>
      <c r="B686" s="41" t="n"/>
    </row>
    <row r="687" ht="15.75" customHeight="1" s="60">
      <c r="A687" s="41" t="n"/>
      <c r="B687" s="41" t="n"/>
    </row>
    <row r="688" ht="15.75" customHeight="1" s="60">
      <c r="A688" s="41" t="n"/>
      <c r="B688" s="41" t="n"/>
    </row>
    <row r="689" ht="15.75" customHeight="1" s="60">
      <c r="A689" s="41" t="n"/>
      <c r="B689" s="41" t="n"/>
    </row>
    <row r="690" ht="15.75" customHeight="1" s="60">
      <c r="A690" s="41" t="n"/>
      <c r="B690" s="41" t="n"/>
    </row>
    <row r="691" ht="15.75" customHeight="1" s="60">
      <c r="A691" s="41" t="n"/>
      <c r="B691" s="41" t="n"/>
    </row>
    <row r="692" ht="15.75" customHeight="1" s="60">
      <c r="A692" s="41" t="n"/>
      <c r="B692" s="41" t="n"/>
    </row>
    <row r="693" ht="15.75" customHeight="1" s="60">
      <c r="A693" s="41" t="n"/>
      <c r="B693" s="41" t="n"/>
    </row>
    <row r="694" ht="15.75" customHeight="1" s="60">
      <c r="A694" s="41" t="n"/>
      <c r="B694" s="41" t="n"/>
    </row>
    <row r="695" ht="15.75" customHeight="1" s="60">
      <c r="A695" s="41" t="n"/>
      <c r="B695" s="41" t="n"/>
    </row>
    <row r="696" ht="15.75" customHeight="1" s="60">
      <c r="A696" s="41" t="n"/>
      <c r="B696" s="41" t="n"/>
    </row>
    <row r="697" ht="15.75" customHeight="1" s="60">
      <c r="A697" s="41" t="n"/>
      <c r="B697" s="41" t="n"/>
    </row>
    <row r="698" ht="15.75" customHeight="1" s="60">
      <c r="A698" s="41" t="n"/>
      <c r="B698" s="41" t="n"/>
    </row>
    <row r="699" ht="15.75" customHeight="1" s="60">
      <c r="A699" s="41" t="n"/>
      <c r="B699" s="41" t="n"/>
    </row>
    <row r="700" ht="15.75" customHeight="1" s="60">
      <c r="A700" s="41" t="n"/>
      <c r="B700" s="41" t="n"/>
    </row>
    <row r="701" ht="15.75" customHeight="1" s="60">
      <c r="A701" s="41" t="n"/>
      <c r="B701" s="41" t="n"/>
    </row>
    <row r="702" ht="15.75" customHeight="1" s="60">
      <c r="A702" s="41" t="n"/>
      <c r="B702" s="41" t="n"/>
    </row>
    <row r="703" ht="15.75" customHeight="1" s="60">
      <c r="A703" s="41" t="n"/>
      <c r="B703" s="41" t="n"/>
    </row>
    <row r="704" ht="15.75" customHeight="1" s="60">
      <c r="A704" s="41" t="n"/>
      <c r="B704" s="41" t="n"/>
    </row>
    <row r="705" ht="15.75" customHeight="1" s="60">
      <c r="A705" s="41" t="n"/>
      <c r="B705" s="41" t="n"/>
    </row>
    <row r="706" ht="15.75" customHeight="1" s="60">
      <c r="A706" s="41" t="n"/>
      <c r="B706" s="41" t="n"/>
    </row>
    <row r="707" ht="15.75" customHeight="1" s="60">
      <c r="A707" s="41" t="n"/>
      <c r="B707" s="41" t="n"/>
    </row>
    <row r="708" ht="15.75" customHeight="1" s="60">
      <c r="A708" s="41" t="n"/>
      <c r="B708" s="41" t="n"/>
    </row>
    <row r="709" ht="15.75" customHeight="1" s="60">
      <c r="A709" s="41" t="n"/>
      <c r="B709" s="41" t="n"/>
    </row>
    <row r="710" ht="15.75" customHeight="1" s="60">
      <c r="A710" s="41" t="n"/>
      <c r="B710" s="41" t="n"/>
    </row>
    <row r="711" ht="15.75" customHeight="1" s="60">
      <c r="A711" s="41" t="n"/>
      <c r="B711" s="41" t="n"/>
    </row>
    <row r="712" ht="15.75" customHeight="1" s="60">
      <c r="A712" s="41" t="n"/>
      <c r="B712" s="41" t="n"/>
    </row>
    <row r="713" ht="15.75" customHeight="1" s="60">
      <c r="A713" s="41" t="n"/>
      <c r="B713" s="41" t="n"/>
    </row>
    <row r="714" ht="15.75" customHeight="1" s="60">
      <c r="A714" s="41" t="n"/>
      <c r="B714" s="41" t="n"/>
    </row>
    <row r="715" ht="15.75" customHeight="1" s="60">
      <c r="A715" s="41" t="n"/>
      <c r="B715" s="41" t="n"/>
    </row>
    <row r="716" ht="15.75" customHeight="1" s="60">
      <c r="A716" s="41" t="n"/>
      <c r="B716" s="41" t="n"/>
    </row>
    <row r="717" ht="15.75" customHeight="1" s="60">
      <c r="A717" s="41" t="n"/>
      <c r="B717" s="41" t="n"/>
    </row>
    <row r="718" ht="15.75" customHeight="1" s="60">
      <c r="A718" s="41" t="n"/>
      <c r="B718" s="41" t="n"/>
    </row>
    <row r="719" ht="15.75" customHeight="1" s="60">
      <c r="A719" s="41" t="n"/>
      <c r="B719" s="41" t="n"/>
    </row>
    <row r="720" ht="15.75" customHeight="1" s="60">
      <c r="A720" s="41" t="n"/>
      <c r="B720" s="41" t="n"/>
    </row>
    <row r="721" ht="15.75" customHeight="1" s="60">
      <c r="A721" s="41" t="n"/>
      <c r="B721" s="41" t="n"/>
    </row>
    <row r="722" ht="15.75" customHeight="1" s="60">
      <c r="A722" s="41" t="n"/>
      <c r="B722" s="41" t="n"/>
    </row>
    <row r="723" ht="15.75" customHeight="1" s="60">
      <c r="A723" s="41" t="n"/>
      <c r="B723" s="41" t="n"/>
    </row>
    <row r="724" ht="15.75" customHeight="1" s="60">
      <c r="A724" s="41" t="n"/>
      <c r="B724" s="41" t="n"/>
    </row>
    <row r="725" ht="15.75" customHeight="1" s="60">
      <c r="A725" s="41" t="n"/>
      <c r="B725" s="41" t="n"/>
    </row>
    <row r="726" ht="15.75" customHeight="1" s="60">
      <c r="A726" s="41" t="n"/>
      <c r="B726" s="41" t="n"/>
    </row>
    <row r="727" ht="15.75" customHeight="1" s="60">
      <c r="A727" s="41" t="n"/>
      <c r="B727" s="41" t="n"/>
    </row>
    <row r="728" ht="15.75" customHeight="1" s="60">
      <c r="A728" s="41" t="n"/>
      <c r="B728" s="41" t="n"/>
    </row>
    <row r="729" ht="15.75" customHeight="1" s="60">
      <c r="A729" s="41" t="n"/>
      <c r="B729" s="41" t="n"/>
    </row>
    <row r="730" ht="15.75" customHeight="1" s="60">
      <c r="A730" s="41" t="n"/>
      <c r="B730" s="41" t="n"/>
    </row>
    <row r="731" ht="15.75" customHeight="1" s="60">
      <c r="A731" s="41" t="n"/>
      <c r="B731" s="41" t="n"/>
    </row>
    <row r="732" ht="15.75" customHeight="1" s="60">
      <c r="A732" s="41" t="n"/>
      <c r="B732" s="41" t="n"/>
    </row>
    <row r="733" ht="15.75" customHeight="1" s="60">
      <c r="A733" s="41" t="n"/>
      <c r="B733" s="41" t="n"/>
    </row>
    <row r="734" ht="15.75" customHeight="1" s="60">
      <c r="A734" s="41" t="n"/>
      <c r="B734" s="41" t="n"/>
    </row>
    <row r="735" ht="15.75" customHeight="1" s="60">
      <c r="A735" s="41" t="n"/>
      <c r="B735" s="41" t="n"/>
    </row>
    <row r="736" ht="15.75" customHeight="1" s="60">
      <c r="A736" s="41" t="n"/>
      <c r="B736" s="41" t="n"/>
    </row>
    <row r="737" ht="15.75" customHeight="1" s="60">
      <c r="A737" s="41" t="n"/>
      <c r="B737" s="41" t="n"/>
    </row>
    <row r="738" ht="15.75" customHeight="1" s="60">
      <c r="A738" s="41" t="n"/>
      <c r="B738" s="41" t="n"/>
    </row>
    <row r="739" ht="15.75" customHeight="1" s="60">
      <c r="A739" s="41" t="n"/>
      <c r="B739" s="41" t="n"/>
    </row>
    <row r="740" ht="15.75" customHeight="1" s="60">
      <c r="A740" s="41" t="n"/>
      <c r="B740" s="41" t="n"/>
    </row>
    <row r="741" ht="15.75" customHeight="1" s="60">
      <c r="A741" s="41" t="n"/>
      <c r="B741" s="41" t="n"/>
    </row>
    <row r="742" ht="15.75" customHeight="1" s="60">
      <c r="A742" s="41" t="n"/>
      <c r="B742" s="41" t="n"/>
    </row>
    <row r="743" ht="15.75" customHeight="1" s="60">
      <c r="A743" s="41" t="n"/>
      <c r="B743" s="41" t="n"/>
    </row>
    <row r="744" ht="15.75" customHeight="1" s="60">
      <c r="A744" s="41" t="n"/>
      <c r="B744" s="41" t="n"/>
    </row>
    <row r="745" ht="15.75" customHeight="1" s="60">
      <c r="A745" s="41" t="n"/>
      <c r="B745" s="41" t="n"/>
    </row>
    <row r="746" ht="15.75" customHeight="1" s="60">
      <c r="A746" s="41" t="n"/>
      <c r="B746" s="41" t="n"/>
    </row>
    <row r="747" ht="15.75" customHeight="1" s="60">
      <c r="A747" s="41" t="n"/>
      <c r="B747" s="41" t="n"/>
    </row>
    <row r="748" ht="15.75" customHeight="1" s="60">
      <c r="A748" s="41" t="n"/>
      <c r="B748" s="41" t="n"/>
    </row>
    <row r="749" ht="15.75" customHeight="1" s="60">
      <c r="A749" s="41" t="n"/>
      <c r="B749" s="41" t="n"/>
    </row>
    <row r="750" ht="15.75" customHeight="1" s="60">
      <c r="A750" s="41" t="n"/>
      <c r="B750" s="41" t="n"/>
    </row>
    <row r="751" ht="15.75" customHeight="1" s="60">
      <c r="A751" s="41" t="n"/>
      <c r="B751" s="41" t="n"/>
    </row>
    <row r="752" ht="15.75" customHeight="1" s="60">
      <c r="A752" s="41" t="n"/>
      <c r="B752" s="41" t="n"/>
    </row>
    <row r="753" ht="15.75" customHeight="1" s="60">
      <c r="A753" s="41" t="n"/>
      <c r="B753" s="41" t="n"/>
    </row>
    <row r="754" ht="15.75" customHeight="1" s="60">
      <c r="A754" s="41" t="n"/>
      <c r="B754" s="41" t="n"/>
    </row>
    <row r="755" ht="15.75" customHeight="1" s="60">
      <c r="A755" s="41" t="n"/>
      <c r="B755" s="41" t="n"/>
    </row>
    <row r="756" ht="15.75" customHeight="1" s="60">
      <c r="A756" s="41" t="n"/>
      <c r="B756" s="41" t="n"/>
    </row>
    <row r="757" ht="15.75" customHeight="1" s="60">
      <c r="A757" s="41" t="n"/>
      <c r="B757" s="41" t="n"/>
    </row>
    <row r="758" ht="15.75" customHeight="1" s="60">
      <c r="A758" s="41" t="n"/>
      <c r="B758" s="41" t="n"/>
    </row>
    <row r="759" ht="15.75" customHeight="1" s="60">
      <c r="A759" s="41" t="n"/>
      <c r="B759" s="41" t="n"/>
    </row>
    <row r="760" ht="15.75" customHeight="1" s="60">
      <c r="A760" s="41" t="n"/>
      <c r="B760" s="41" t="n"/>
    </row>
    <row r="761" ht="15.75" customHeight="1" s="60">
      <c r="A761" s="41" t="n"/>
      <c r="B761" s="41" t="n"/>
    </row>
    <row r="762" ht="15.75" customHeight="1" s="60">
      <c r="A762" s="41" t="n"/>
      <c r="B762" s="41" t="n"/>
    </row>
    <row r="763" ht="15.75" customHeight="1" s="60">
      <c r="A763" s="41" t="n"/>
      <c r="B763" s="41" t="n"/>
    </row>
    <row r="764" ht="15.75" customHeight="1" s="60">
      <c r="A764" s="41" t="n"/>
      <c r="B764" s="41" t="n"/>
    </row>
    <row r="765" ht="15.75" customHeight="1" s="60">
      <c r="A765" s="41" t="n"/>
      <c r="B765" s="41" t="n"/>
    </row>
    <row r="766" ht="15.75" customHeight="1" s="60">
      <c r="A766" s="41" t="n"/>
      <c r="B766" s="41" t="n"/>
    </row>
    <row r="767" ht="15.75" customHeight="1" s="60">
      <c r="A767" s="41" t="n"/>
      <c r="B767" s="41" t="n"/>
    </row>
    <row r="768" ht="15.75" customHeight="1" s="60">
      <c r="A768" s="41" t="n"/>
      <c r="B768" s="41" t="n"/>
    </row>
    <row r="769" ht="15.75" customHeight="1" s="60">
      <c r="A769" s="41" t="n"/>
      <c r="B769" s="41" t="n"/>
    </row>
    <row r="770" ht="15.75" customHeight="1" s="60">
      <c r="A770" s="41" t="n"/>
      <c r="B770" s="41" t="n"/>
    </row>
    <row r="771" ht="15.75" customHeight="1" s="60">
      <c r="A771" s="41" t="n"/>
      <c r="B771" s="41" t="n"/>
    </row>
    <row r="772" ht="15.75" customHeight="1" s="60">
      <c r="A772" s="41" t="n"/>
      <c r="B772" s="41" t="n"/>
    </row>
    <row r="773" ht="15.75" customHeight="1" s="60">
      <c r="A773" s="41" t="n"/>
      <c r="B773" s="41" t="n"/>
    </row>
    <row r="774" ht="15.75" customHeight="1" s="60">
      <c r="A774" s="41" t="n"/>
      <c r="B774" s="41" t="n"/>
    </row>
    <row r="775" ht="15.75" customHeight="1" s="60">
      <c r="A775" s="41" t="n"/>
      <c r="B775" s="41" t="n"/>
    </row>
    <row r="776" ht="15.75" customHeight="1" s="60">
      <c r="A776" s="41" t="n"/>
      <c r="B776" s="41" t="n"/>
    </row>
    <row r="777" ht="15.75" customHeight="1" s="60">
      <c r="A777" s="41" t="n"/>
      <c r="B777" s="41" t="n"/>
    </row>
    <row r="778" ht="15.75" customHeight="1" s="60">
      <c r="A778" s="41" t="n"/>
      <c r="B778" s="41" t="n"/>
    </row>
    <row r="779" ht="15.75" customHeight="1" s="60">
      <c r="A779" s="41" t="n"/>
      <c r="B779" s="41" t="n"/>
    </row>
    <row r="780" ht="15.75" customHeight="1" s="60">
      <c r="A780" s="41" t="n"/>
      <c r="B780" s="41" t="n"/>
    </row>
    <row r="781" ht="15.75" customHeight="1" s="60">
      <c r="A781" s="41" t="n"/>
      <c r="B781" s="41" t="n"/>
    </row>
    <row r="782" ht="15.75" customHeight="1" s="60">
      <c r="A782" s="41" t="n"/>
      <c r="B782" s="41" t="n"/>
    </row>
    <row r="783" ht="15.75" customHeight="1" s="60">
      <c r="A783" s="41" t="n"/>
      <c r="B783" s="41" t="n"/>
    </row>
    <row r="784" ht="15.75" customHeight="1" s="60">
      <c r="A784" s="41" t="n"/>
      <c r="B784" s="41" t="n"/>
    </row>
    <row r="785" ht="15.75" customHeight="1" s="60">
      <c r="A785" s="41" t="n"/>
      <c r="B785" s="41" t="n"/>
    </row>
    <row r="786" ht="15.75" customHeight="1" s="60">
      <c r="A786" s="41" t="n"/>
      <c r="B786" s="41" t="n"/>
    </row>
    <row r="787" ht="15.75" customHeight="1" s="60">
      <c r="A787" s="41" t="n"/>
      <c r="B787" s="41" t="n"/>
    </row>
    <row r="788" ht="15.75" customHeight="1" s="60">
      <c r="A788" s="41" t="n"/>
      <c r="B788" s="41" t="n"/>
    </row>
    <row r="789" ht="15.75" customHeight="1" s="60">
      <c r="A789" s="41" t="n"/>
      <c r="B789" s="41" t="n"/>
    </row>
    <row r="790" ht="15.75" customHeight="1" s="60">
      <c r="A790" s="41" t="n"/>
      <c r="B790" s="41" t="n"/>
    </row>
    <row r="791" ht="15.75" customHeight="1" s="60">
      <c r="A791" s="41" t="n"/>
      <c r="B791" s="41" t="n"/>
    </row>
    <row r="792" ht="15.75" customHeight="1" s="60">
      <c r="A792" s="41" t="n"/>
      <c r="B792" s="41" t="n"/>
    </row>
    <row r="793" ht="15.75" customHeight="1" s="60">
      <c r="A793" s="41" t="n"/>
      <c r="B793" s="41" t="n"/>
    </row>
    <row r="794" ht="15.75" customHeight="1" s="60">
      <c r="A794" s="41" t="n"/>
      <c r="B794" s="41" t="n"/>
    </row>
    <row r="795" ht="15.75" customHeight="1" s="60">
      <c r="A795" s="41" t="n"/>
      <c r="B795" s="41" t="n"/>
    </row>
    <row r="796" ht="15.75" customHeight="1" s="60">
      <c r="A796" s="41" t="n"/>
      <c r="B796" s="41" t="n"/>
    </row>
    <row r="797" ht="15.75" customHeight="1" s="60">
      <c r="A797" s="41" t="n"/>
      <c r="B797" s="41" t="n"/>
    </row>
    <row r="798" ht="15.75" customHeight="1" s="60">
      <c r="A798" s="41" t="n"/>
      <c r="B798" s="41" t="n"/>
    </row>
    <row r="799" ht="15.75" customHeight="1" s="60">
      <c r="A799" s="41" t="n"/>
      <c r="B799" s="41" t="n"/>
    </row>
    <row r="800" ht="15.75" customHeight="1" s="60">
      <c r="A800" s="41" t="n"/>
      <c r="B800" s="41" t="n"/>
    </row>
    <row r="801" ht="15.75" customHeight="1" s="60">
      <c r="A801" s="41" t="n"/>
      <c r="B801" s="41" t="n"/>
    </row>
    <row r="802" ht="15.75" customHeight="1" s="60">
      <c r="A802" s="41" t="n"/>
      <c r="B802" s="41" t="n"/>
    </row>
    <row r="803" ht="15.75" customHeight="1" s="60">
      <c r="A803" s="41" t="n"/>
      <c r="B803" s="41" t="n"/>
    </row>
    <row r="804" ht="15.75" customHeight="1" s="60">
      <c r="A804" s="41" t="n"/>
      <c r="B804" s="41" t="n"/>
    </row>
    <row r="805" ht="15.75" customHeight="1" s="60">
      <c r="A805" s="41" t="n"/>
      <c r="B805" s="41" t="n"/>
    </row>
    <row r="806" ht="15.75" customHeight="1" s="60">
      <c r="A806" s="41" t="n"/>
      <c r="B806" s="41" t="n"/>
    </row>
    <row r="807" ht="15.75" customHeight="1" s="60">
      <c r="A807" s="41" t="n"/>
      <c r="B807" s="41" t="n"/>
    </row>
    <row r="808" ht="15.75" customHeight="1" s="60">
      <c r="A808" s="41" t="n"/>
      <c r="B808" s="41" t="n"/>
    </row>
    <row r="809" ht="15.75" customHeight="1" s="60">
      <c r="A809" s="41" t="n"/>
      <c r="B809" s="41" t="n"/>
    </row>
    <row r="810" ht="15.75" customHeight="1" s="60">
      <c r="A810" s="41" t="n"/>
      <c r="B810" s="41" t="n"/>
    </row>
    <row r="811" ht="15.75" customHeight="1" s="60">
      <c r="A811" s="41" t="n"/>
      <c r="B811" s="41" t="n"/>
    </row>
    <row r="812" ht="15.75" customHeight="1" s="60">
      <c r="A812" s="41" t="n"/>
      <c r="B812" s="41" t="n"/>
    </row>
    <row r="813" ht="15.75" customHeight="1" s="60">
      <c r="A813" s="41" t="n"/>
      <c r="B813" s="41" t="n"/>
    </row>
    <row r="814" ht="15.75" customHeight="1" s="60">
      <c r="A814" s="41" t="n"/>
      <c r="B814" s="41" t="n"/>
    </row>
    <row r="815" ht="15.75" customHeight="1" s="60">
      <c r="A815" s="41" t="n"/>
      <c r="B815" s="41" t="n"/>
    </row>
    <row r="816" ht="15.75" customHeight="1" s="60">
      <c r="A816" s="41" t="n"/>
      <c r="B816" s="41" t="n"/>
    </row>
    <row r="817" ht="15.75" customHeight="1" s="60">
      <c r="A817" s="41" t="n"/>
      <c r="B817" s="41" t="n"/>
    </row>
    <row r="818" ht="15.75" customHeight="1" s="60">
      <c r="A818" s="41" t="n"/>
      <c r="B818" s="41" t="n"/>
    </row>
    <row r="819" ht="15.75" customHeight="1" s="60">
      <c r="A819" s="41" t="n"/>
      <c r="B819" s="41" t="n"/>
    </row>
    <row r="820" ht="15.75" customHeight="1" s="60">
      <c r="A820" s="41" t="n"/>
      <c r="B820" s="41" t="n"/>
    </row>
    <row r="821" ht="15.75" customHeight="1" s="60">
      <c r="A821" s="41" t="n"/>
      <c r="B821" s="41" t="n"/>
    </row>
    <row r="822" ht="15.75" customHeight="1" s="60">
      <c r="A822" s="41" t="n"/>
      <c r="B822" s="41" t="n"/>
    </row>
    <row r="823" ht="15.75" customHeight="1" s="60">
      <c r="A823" s="41" t="n"/>
      <c r="B823" s="41" t="n"/>
    </row>
    <row r="824" ht="15.75" customHeight="1" s="60">
      <c r="A824" s="41" t="n"/>
      <c r="B824" s="41" t="n"/>
    </row>
    <row r="825" ht="15.75" customHeight="1" s="60">
      <c r="A825" s="41" t="n"/>
      <c r="B825" s="41" t="n"/>
    </row>
    <row r="826" ht="15.75" customHeight="1" s="60">
      <c r="A826" s="41" t="n"/>
      <c r="B826" s="41" t="n"/>
    </row>
    <row r="827" ht="15.75" customHeight="1" s="60">
      <c r="A827" s="41" t="n"/>
      <c r="B827" s="41" t="n"/>
    </row>
    <row r="828" ht="15.75" customHeight="1" s="60">
      <c r="A828" s="41" t="n"/>
      <c r="B828" s="41" t="n"/>
    </row>
    <row r="829" ht="15.75" customHeight="1" s="60">
      <c r="A829" s="41" t="n"/>
      <c r="B829" s="41" t="n"/>
    </row>
    <row r="830" ht="15.75" customHeight="1" s="60">
      <c r="A830" s="41" t="n"/>
      <c r="B830" s="41" t="n"/>
    </row>
    <row r="831" ht="15.75" customHeight="1" s="60">
      <c r="A831" s="41" t="n"/>
      <c r="B831" s="41" t="n"/>
    </row>
    <row r="832" ht="15.75" customHeight="1" s="60">
      <c r="A832" s="41" t="n"/>
      <c r="B832" s="41" t="n"/>
    </row>
    <row r="833" ht="15.75" customHeight="1" s="60">
      <c r="A833" s="41" t="n"/>
      <c r="B833" s="41" t="n"/>
    </row>
    <row r="834" ht="15.75" customHeight="1" s="60">
      <c r="A834" s="41" t="n"/>
      <c r="B834" s="41" t="n"/>
    </row>
    <row r="835" ht="15.75" customHeight="1" s="60">
      <c r="A835" s="41" t="n"/>
      <c r="B835" s="41" t="n"/>
    </row>
    <row r="836" ht="15.75" customHeight="1" s="60">
      <c r="A836" s="41" t="n"/>
      <c r="B836" s="41" t="n"/>
    </row>
    <row r="837" ht="15.75" customHeight="1" s="60">
      <c r="A837" s="41" t="n"/>
      <c r="B837" s="41" t="n"/>
    </row>
    <row r="838" ht="15.75" customHeight="1" s="60">
      <c r="A838" s="41" t="n"/>
      <c r="B838" s="41" t="n"/>
    </row>
    <row r="839" ht="15.75" customHeight="1" s="60">
      <c r="A839" s="41" t="n"/>
      <c r="B839" s="41" t="n"/>
    </row>
    <row r="840" ht="15.75" customHeight="1" s="60">
      <c r="A840" s="41" t="n"/>
      <c r="B840" s="41" t="n"/>
    </row>
    <row r="841" ht="15.75" customHeight="1" s="60">
      <c r="A841" s="41" t="n"/>
      <c r="B841" s="41" t="n"/>
    </row>
    <row r="842" ht="15.75" customHeight="1" s="60">
      <c r="A842" s="41" t="n"/>
      <c r="B842" s="41" t="n"/>
    </row>
    <row r="843" ht="15.75" customHeight="1" s="60">
      <c r="A843" s="41" t="n"/>
      <c r="B843" s="41" t="n"/>
    </row>
    <row r="844" ht="15.75" customHeight="1" s="60">
      <c r="A844" s="41" t="n"/>
      <c r="B844" s="41" t="n"/>
    </row>
    <row r="845" ht="15.75" customHeight="1" s="60">
      <c r="A845" s="41" t="n"/>
      <c r="B845" s="41" t="n"/>
    </row>
    <row r="846" ht="15.75" customHeight="1" s="60">
      <c r="A846" s="41" t="n"/>
      <c r="B846" s="41" t="n"/>
    </row>
    <row r="847" ht="15.75" customHeight="1" s="60">
      <c r="A847" s="41" t="n"/>
      <c r="B847" s="41" t="n"/>
    </row>
    <row r="848" ht="15.75" customHeight="1" s="60">
      <c r="A848" s="41" t="n"/>
      <c r="B848" s="41" t="n"/>
    </row>
    <row r="849" ht="15.75" customHeight="1" s="60">
      <c r="A849" s="41" t="n"/>
      <c r="B849" s="41" t="n"/>
    </row>
    <row r="850" ht="15.75" customHeight="1" s="60">
      <c r="A850" s="41" t="n"/>
      <c r="B850" s="41" t="n"/>
    </row>
    <row r="851" ht="15.75" customHeight="1" s="60">
      <c r="A851" s="41" t="n"/>
      <c r="B851" s="41" t="n"/>
    </row>
    <row r="852" ht="15.75" customHeight="1" s="60">
      <c r="A852" s="41" t="n"/>
      <c r="B852" s="41" t="n"/>
    </row>
    <row r="853" ht="15.75" customHeight="1" s="60">
      <c r="A853" s="41" t="n"/>
      <c r="B853" s="41" t="n"/>
    </row>
    <row r="854" ht="15.75" customHeight="1" s="60">
      <c r="A854" s="41" t="n"/>
      <c r="B854" s="41" t="n"/>
    </row>
    <row r="855" ht="15.75" customHeight="1" s="60">
      <c r="A855" s="41" t="n"/>
      <c r="B855" s="41" t="n"/>
    </row>
    <row r="856" ht="15.75" customHeight="1" s="60">
      <c r="A856" s="41" t="n"/>
      <c r="B856" s="41" t="n"/>
    </row>
    <row r="857" ht="15.75" customHeight="1" s="60">
      <c r="A857" s="41" t="n"/>
      <c r="B857" s="41" t="n"/>
    </row>
    <row r="858" ht="15.75" customHeight="1" s="60">
      <c r="A858" s="41" t="n"/>
      <c r="B858" s="41" t="n"/>
    </row>
    <row r="859" ht="15.75" customHeight="1" s="60">
      <c r="A859" s="41" t="n"/>
      <c r="B859" s="41" t="n"/>
    </row>
    <row r="860" ht="15.75" customHeight="1" s="60">
      <c r="A860" s="41" t="n"/>
      <c r="B860" s="41" t="n"/>
    </row>
    <row r="861" ht="15.75" customHeight="1" s="60">
      <c r="A861" s="41" t="n"/>
      <c r="B861" s="41" t="n"/>
    </row>
    <row r="862" ht="15.75" customHeight="1" s="60">
      <c r="A862" s="41" t="n"/>
      <c r="B862" s="41" t="n"/>
    </row>
    <row r="863" ht="15.75" customHeight="1" s="60">
      <c r="A863" s="41" t="n"/>
      <c r="B863" s="41" t="n"/>
    </row>
    <row r="864" ht="15.75" customHeight="1" s="60">
      <c r="A864" s="41" t="n"/>
      <c r="B864" s="41" t="n"/>
    </row>
    <row r="865" ht="15.75" customHeight="1" s="60">
      <c r="A865" s="41" t="n"/>
      <c r="B865" s="41" t="n"/>
    </row>
    <row r="866" ht="15.75" customHeight="1" s="60">
      <c r="A866" s="41" t="n"/>
      <c r="B866" s="41" t="n"/>
    </row>
    <row r="867" ht="15.75" customHeight="1" s="60">
      <c r="A867" s="41" t="n"/>
      <c r="B867" s="41" t="n"/>
    </row>
    <row r="868" ht="15.75" customHeight="1" s="60">
      <c r="A868" s="41" t="n"/>
      <c r="B868" s="41" t="n"/>
    </row>
    <row r="869" ht="15.75" customHeight="1" s="60">
      <c r="A869" s="41" t="n"/>
      <c r="B869" s="41" t="n"/>
    </row>
    <row r="870" ht="15.75" customHeight="1" s="60">
      <c r="A870" s="41" t="n"/>
      <c r="B870" s="41" t="n"/>
    </row>
    <row r="871" ht="15.75" customHeight="1" s="60">
      <c r="A871" s="41" t="n"/>
      <c r="B871" s="41" t="n"/>
    </row>
    <row r="872" ht="15.75" customHeight="1" s="60">
      <c r="A872" s="41" t="n"/>
      <c r="B872" s="41" t="n"/>
    </row>
    <row r="873" ht="15.75" customHeight="1" s="60">
      <c r="A873" s="41" t="n"/>
      <c r="B873" s="41" t="n"/>
    </row>
    <row r="874" ht="15.75" customHeight="1" s="60">
      <c r="A874" s="41" t="n"/>
      <c r="B874" s="41" t="n"/>
    </row>
    <row r="875" ht="15.75" customHeight="1" s="60">
      <c r="A875" s="41" t="n"/>
      <c r="B875" s="41" t="n"/>
    </row>
    <row r="876" ht="15.75" customHeight="1" s="60">
      <c r="A876" s="41" t="n"/>
      <c r="B876" s="41" t="n"/>
    </row>
    <row r="877" ht="15.75" customHeight="1" s="60">
      <c r="A877" s="41" t="n"/>
      <c r="B877" s="41" t="n"/>
    </row>
    <row r="878" ht="15.75" customHeight="1" s="60">
      <c r="A878" s="41" t="n"/>
      <c r="B878" s="41" t="n"/>
    </row>
    <row r="879" ht="15.75" customHeight="1" s="60">
      <c r="A879" s="41" t="n"/>
      <c r="B879" s="41" t="n"/>
    </row>
    <row r="880" ht="15.75" customHeight="1" s="60">
      <c r="A880" s="41" t="n"/>
      <c r="B880" s="41" t="n"/>
    </row>
    <row r="881" ht="15.75" customHeight="1" s="60">
      <c r="A881" s="41" t="n"/>
      <c r="B881" s="41" t="n"/>
    </row>
    <row r="882" ht="15.75" customHeight="1" s="60">
      <c r="A882" s="41" t="n"/>
      <c r="B882" s="41" t="n"/>
    </row>
    <row r="883" ht="15.75" customHeight="1" s="60">
      <c r="A883" s="41" t="n"/>
      <c r="B883" s="41" t="n"/>
    </row>
    <row r="884" ht="15.75" customHeight="1" s="60">
      <c r="A884" s="41" t="n"/>
      <c r="B884" s="41" t="n"/>
    </row>
    <row r="885" ht="15.75" customHeight="1" s="60">
      <c r="A885" s="41" t="n"/>
      <c r="B885" s="41" t="n"/>
    </row>
    <row r="886" ht="15.75" customHeight="1" s="60">
      <c r="A886" s="41" t="n"/>
      <c r="B886" s="41" t="n"/>
    </row>
    <row r="887" ht="15.75" customHeight="1" s="60">
      <c r="A887" s="41" t="n"/>
      <c r="B887" s="41" t="n"/>
    </row>
    <row r="888" ht="15.75" customHeight="1" s="60">
      <c r="A888" s="41" t="n"/>
      <c r="B888" s="41" t="n"/>
    </row>
    <row r="889" ht="15.75" customHeight="1" s="60">
      <c r="A889" s="41" t="n"/>
      <c r="B889" s="41" t="n"/>
    </row>
    <row r="890" ht="15.75" customHeight="1" s="60">
      <c r="A890" s="41" t="n"/>
      <c r="B890" s="41" t="n"/>
    </row>
    <row r="891" ht="15.75" customHeight="1" s="60">
      <c r="A891" s="41" t="n"/>
      <c r="B891" s="41" t="n"/>
    </row>
    <row r="892" ht="15.75" customHeight="1" s="60">
      <c r="A892" s="41" t="n"/>
      <c r="B892" s="41" t="n"/>
    </row>
    <row r="893" ht="15.75" customHeight="1" s="60">
      <c r="A893" s="41" t="n"/>
      <c r="B893" s="41" t="n"/>
    </row>
    <row r="894" ht="15.75" customHeight="1" s="60">
      <c r="A894" s="41" t="n"/>
      <c r="B894" s="41" t="n"/>
    </row>
    <row r="895" ht="15.75" customHeight="1" s="60">
      <c r="A895" s="41" t="n"/>
      <c r="B895" s="41" t="n"/>
    </row>
    <row r="896" ht="15.75" customHeight="1" s="60">
      <c r="A896" s="41" t="n"/>
      <c r="B896" s="41" t="n"/>
    </row>
    <row r="897" ht="15.75" customHeight="1" s="60">
      <c r="A897" s="41" t="n"/>
      <c r="B897" s="41" t="n"/>
    </row>
    <row r="898" ht="15.75" customHeight="1" s="60">
      <c r="A898" s="41" t="n"/>
      <c r="B898" s="41" t="n"/>
    </row>
    <row r="899" ht="15.75" customHeight="1" s="60">
      <c r="A899" s="41" t="n"/>
      <c r="B899" s="41" t="n"/>
    </row>
    <row r="900" ht="15.75" customHeight="1" s="60">
      <c r="A900" s="41" t="n"/>
      <c r="B900" s="41" t="n"/>
    </row>
    <row r="901" ht="15.75" customHeight="1" s="60">
      <c r="A901" s="41" t="n"/>
      <c r="B901" s="41" t="n"/>
    </row>
    <row r="902" ht="15.75" customHeight="1" s="60">
      <c r="A902" s="41" t="n"/>
      <c r="B902" s="41" t="n"/>
    </row>
    <row r="903" ht="15.75" customHeight="1" s="60">
      <c r="A903" s="41" t="n"/>
      <c r="B903" s="41" t="n"/>
    </row>
    <row r="904" ht="15.75" customHeight="1" s="60">
      <c r="A904" s="41" t="n"/>
      <c r="B904" s="41" t="n"/>
    </row>
    <row r="905" ht="15.75" customHeight="1" s="60">
      <c r="A905" s="41" t="n"/>
      <c r="B905" s="41" t="n"/>
    </row>
    <row r="906" ht="15.75" customHeight="1" s="60">
      <c r="A906" s="41" t="n"/>
      <c r="B906" s="41" t="n"/>
    </row>
    <row r="907" ht="15.75" customHeight="1" s="60">
      <c r="A907" s="41" t="n"/>
      <c r="B907" s="41" t="n"/>
    </row>
    <row r="908" ht="15.75" customHeight="1" s="60">
      <c r="A908" s="41" t="n"/>
      <c r="B908" s="41" t="n"/>
    </row>
    <row r="909" ht="15.75" customHeight="1" s="60">
      <c r="A909" s="41" t="n"/>
      <c r="B909" s="41" t="n"/>
    </row>
    <row r="910" ht="15.75" customHeight="1" s="60">
      <c r="A910" s="41" t="n"/>
      <c r="B910" s="41" t="n"/>
    </row>
    <row r="911" ht="15.75" customHeight="1" s="60">
      <c r="A911" s="41" t="n"/>
      <c r="B911" s="41" t="n"/>
    </row>
    <row r="912" ht="15.75" customHeight="1" s="60">
      <c r="A912" s="41" t="n"/>
      <c r="B912" s="41" t="n"/>
    </row>
    <row r="913" ht="15.75" customHeight="1" s="60">
      <c r="A913" s="41" t="n"/>
      <c r="B913" s="41" t="n"/>
    </row>
    <row r="914" ht="15.75" customHeight="1" s="60">
      <c r="A914" s="41" t="n"/>
      <c r="B914" s="41" t="n"/>
    </row>
    <row r="915" ht="15.75" customHeight="1" s="60">
      <c r="A915" s="41" t="n"/>
      <c r="B915" s="41" t="n"/>
    </row>
    <row r="916" ht="15.75" customHeight="1" s="60">
      <c r="A916" s="41" t="n"/>
      <c r="B916" s="41" t="n"/>
    </row>
    <row r="917" ht="15.75" customHeight="1" s="60">
      <c r="A917" s="41" t="n"/>
      <c r="B917" s="41" t="n"/>
    </row>
    <row r="918" ht="15.75" customHeight="1" s="60">
      <c r="A918" s="41" t="n"/>
      <c r="B918" s="41" t="n"/>
    </row>
    <row r="919" ht="15.75" customHeight="1" s="60">
      <c r="A919" s="41" t="n"/>
      <c r="B919" s="41" t="n"/>
    </row>
    <row r="920" ht="15.75" customHeight="1" s="60">
      <c r="A920" s="41" t="n"/>
      <c r="B920" s="41" t="n"/>
    </row>
    <row r="921" ht="15.75" customHeight="1" s="60">
      <c r="A921" s="41" t="n"/>
      <c r="B921" s="41" t="n"/>
    </row>
    <row r="922" ht="15.75" customHeight="1" s="60">
      <c r="A922" s="41" t="n"/>
      <c r="B922" s="41" t="n"/>
    </row>
    <row r="923" ht="15.75" customHeight="1" s="60">
      <c r="A923" s="41" t="n"/>
      <c r="B923" s="41" t="n"/>
    </row>
    <row r="924" ht="15.75" customHeight="1" s="60">
      <c r="A924" s="41" t="n"/>
      <c r="B924" s="41" t="n"/>
    </row>
    <row r="925" ht="15.75" customHeight="1" s="60">
      <c r="A925" s="41" t="n"/>
      <c r="B925" s="41" t="n"/>
    </row>
    <row r="926" ht="15.75" customHeight="1" s="60">
      <c r="A926" s="41" t="n"/>
      <c r="B926" s="41" t="n"/>
    </row>
    <row r="927" ht="15.75" customHeight="1" s="60">
      <c r="A927" s="41" t="n"/>
      <c r="B927" s="41" t="n"/>
    </row>
    <row r="928" ht="15.75" customHeight="1" s="60">
      <c r="A928" s="41" t="n"/>
      <c r="B928" s="41" t="n"/>
    </row>
    <row r="929" ht="15.75" customHeight="1" s="60">
      <c r="A929" s="41" t="n"/>
      <c r="B929" s="41" t="n"/>
    </row>
    <row r="930" ht="15.75" customHeight="1" s="60">
      <c r="A930" s="41" t="n"/>
      <c r="B930" s="41" t="n"/>
    </row>
    <row r="931" ht="15.75" customHeight="1" s="60">
      <c r="A931" s="41" t="n"/>
      <c r="B931" s="41" t="n"/>
    </row>
    <row r="932" ht="15.75" customHeight="1" s="60">
      <c r="A932" s="41" t="n"/>
      <c r="B932" s="41" t="n"/>
    </row>
    <row r="933" ht="15.75" customHeight="1" s="60">
      <c r="A933" s="41" t="n"/>
      <c r="B933" s="41" t="n"/>
    </row>
    <row r="934" ht="15.75" customHeight="1" s="60">
      <c r="A934" s="41" t="n"/>
      <c r="B934" s="41" t="n"/>
    </row>
    <row r="935" ht="15.75" customHeight="1" s="60">
      <c r="A935" s="41" t="n"/>
      <c r="B935" s="41" t="n"/>
    </row>
    <row r="936" ht="15.75" customHeight="1" s="60">
      <c r="A936" s="41" t="n"/>
      <c r="B936" s="41" t="n"/>
    </row>
    <row r="937" ht="15.75" customHeight="1" s="60">
      <c r="A937" s="41" t="n"/>
      <c r="B937" s="41" t="n"/>
    </row>
    <row r="938" ht="15.75" customHeight="1" s="60">
      <c r="A938" s="41" t="n"/>
      <c r="B938" s="41" t="n"/>
    </row>
    <row r="939" ht="15.75" customHeight="1" s="60">
      <c r="A939" s="41" t="n"/>
      <c r="B939" s="41" t="n"/>
    </row>
    <row r="940" ht="15.75" customHeight="1" s="60">
      <c r="A940" s="41" t="n"/>
      <c r="B940" s="41" t="n"/>
    </row>
    <row r="941" ht="15.75" customHeight="1" s="60">
      <c r="A941" s="41" t="n"/>
      <c r="B941" s="41" t="n"/>
    </row>
    <row r="942" ht="15.75" customHeight="1" s="60">
      <c r="A942" s="41" t="n"/>
      <c r="B942" s="41" t="n"/>
    </row>
    <row r="943" ht="15.75" customHeight="1" s="60">
      <c r="A943" s="41" t="n"/>
      <c r="B943" s="41" t="n"/>
    </row>
    <row r="944" ht="15.75" customHeight="1" s="60">
      <c r="A944" s="41" t="n"/>
      <c r="B944" s="41" t="n"/>
    </row>
    <row r="945" ht="15.75" customHeight="1" s="60">
      <c r="A945" s="41" t="n"/>
      <c r="B945" s="41" t="n"/>
    </row>
    <row r="946" ht="15.75" customHeight="1" s="60">
      <c r="A946" s="41" t="n"/>
      <c r="B946" s="41" t="n"/>
    </row>
    <row r="947" ht="15.75" customHeight="1" s="60">
      <c r="A947" s="41" t="n"/>
      <c r="B947" s="41" t="n"/>
    </row>
    <row r="948" ht="15.75" customHeight="1" s="60">
      <c r="A948" s="41" t="n"/>
      <c r="B948" s="41" t="n"/>
    </row>
    <row r="949" ht="15.75" customHeight="1" s="60">
      <c r="A949" s="41" t="n"/>
      <c r="B949" s="41" t="n"/>
    </row>
    <row r="950" ht="15.75" customHeight="1" s="60">
      <c r="A950" s="41" t="n"/>
      <c r="B950" s="41" t="n"/>
    </row>
    <row r="951" ht="15.75" customHeight="1" s="60">
      <c r="A951" s="41" t="n"/>
      <c r="B951" s="41" t="n"/>
    </row>
    <row r="952" ht="15.75" customHeight="1" s="60">
      <c r="A952" s="41" t="n"/>
      <c r="B952" s="41" t="n"/>
    </row>
    <row r="953" ht="15.75" customHeight="1" s="60">
      <c r="A953" s="41" t="n"/>
      <c r="B953" s="41" t="n"/>
    </row>
    <row r="954" ht="15.75" customHeight="1" s="60">
      <c r="A954" s="41" t="n"/>
      <c r="B954" s="41" t="n"/>
    </row>
    <row r="955" ht="15.75" customHeight="1" s="60">
      <c r="A955" s="41" t="n"/>
      <c r="B955" s="41" t="n"/>
    </row>
    <row r="956" ht="15.75" customHeight="1" s="60">
      <c r="A956" s="41" t="n"/>
      <c r="B956" s="41" t="n"/>
    </row>
    <row r="957" ht="15.75" customHeight="1" s="60">
      <c r="A957" s="41" t="n"/>
      <c r="B957" s="41" t="n"/>
    </row>
    <row r="958" ht="15.75" customHeight="1" s="60">
      <c r="A958" s="41" t="n"/>
      <c r="B958" s="41" t="n"/>
    </row>
    <row r="959" ht="15.75" customHeight="1" s="60">
      <c r="A959" s="41" t="n"/>
      <c r="B959" s="41" t="n"/>
    </row>
    <row r="960" ht="15.75" customHeight="1" s="60">
      <c r="A960" s="41" t="n"/>
      <c r="B960" s="41" t="n"/>
    </row>
    <row r="961" ht="15.75" customHeight="1" s="60">
      <c r="A961" s="41" t="n"/>
      <c r="B961" s="41" t="n"/>
    </row>
    <row r="962" ht="15.75" customHeight="1" s="60">
      <c r="A962" s="41" t="n"/>
      <c r="B962" s="41" t="n"/>
    </row>
    <row r="963" ht="15.75" customHeight="1" s="60">
      <c r="A963" s="41" t="n"/>
      <c r="B963" s="41" t="n"/>
    </row>
    <row r="964" ht="15.75" customHeight="1" s="60">
      <c r="A964" s="41" t="n"/>
      <c r="B964" s="41" t="n"/>
    </row>
    <row r="965" ht="15.75" customHeight="1" s="60">
      <c r="A965" s="41" t="n"/>
      <c r="B965" s="41" t="n"/>
    </row>
    <row r="966" ht="15.75" customHeight="1" s="60">
      <c r="A966" s="41" t="n"/>
      <c r="B966" s="41" t="n"/>
    </row>
    <row r="967" ht="15.75" customHeight="1" s="60">
      <c r="A967" s="41" t="n"/>
      <c r="B967" s="41" t="n"/>
    </row>
    <row r="968" ht="15.75" customHeight="1" s="60">
      <c r="A968" s="41" t="n"/>
      <c r="B968" s="41" t="n"/>
    </row>
    <row r="969" ht="15.75" customHeight="1" s="60">
      <c r="A969" s="41" t="n"/>
      <c r="B969" s="41" t="n"/>
    </row>
    <row r="970" ht="15.75" customHeight="1" s="60">
      <c r="A970" s="41" t="n"/>
      <c r="B970" s="41" t="n"/>
    </row>
    <row r="971" ht="15.75" customHeight="1" s="60">
      <c r="A971" s="41" t="n"/>
      <c r="B971" s="41" t="n"/>
    </row>
    <row r="972" ht="15.75" customHeight="1" s="60">
      <c r="A972" s="41" t="n"/>
      <c r="B972" s="41" t="n"/>
    </row>
    <row r="973" ht="15.75" customHeight="1" s="60">
      <c r="A973" s="41" t="n"/>
      <c r="B973" s="41" t="n"/>
    </row>
    <row r="974" ht="15.75" customHeight="1" s="60">
      <c r="A974" s="41" t="n"/>
      <c r="B974" s="41" t="n"/>
    </row>
    <row r="975" ht="15.75" customHeight="1" s="60">
      <c r="A975" s="41" t="n"/>
      <c r="B975" s="41" t="n"/>
    </row>
    <row r="976" ht="15.75" customHeight="1" s="60">
      <c r="A976" s="41" t="n"/>
      <c r="B976" s="41" t="n"/>
    </row>
    <row r="977" ht="15.75" customHeight="1" s="60">
      <c r="A977" s="41" t="n"/>
      <c r="B977" s="41" t="n"/>
    </row>
    <row r="978" ht="15.75" customHeight="1" s="60">
      <c r="A978" s="41" t="n"/>
      <c r="B978" s="41" t="n"/>
    </row>
    <row r="979" ht="15.75" customHeight="1" s="60">
      <c r="A979" s="41" t="n"/>
      <c r="B979" s="41" t="n"/>
    </row>
    <row r="980" ht="15.75" customHeight="1" s="60">
      <c r="A980" s="41" t="n"/>
      <c r="B980" s="41" t="n"/>
    </row>
    <row r="981" ht="15.75" customHeight="1" s="60">
      <c r="A981" s="41" t="n"/>
      <c r="B981" s="41" t="n"/>
    </row>
    <row r="982" ht="15.75" customHeight="1" s="60">
      <c r="A982" s="41" t="n"/>
      <c r="B982" s="41" t="n"/>
    </row>
    <row r="983" ht="15.75" customHeight="1" s="60">
      <c r="A983" s="41" t="n"/>
      <c r="B983" s="41" t="n"/>
    </row>
    <row r="984" ht="15.75" customHeight="1" s="60">
      <c r="A984" s="41" t="n"/>
      <c r="B984" s="41" t="n"/>
    </row>
    <row r="985" ht="15.75" customHeight="1" s="60">
      <c r="A985" s="41" t="n"/>
      <c r="B985" s="41" t="n"/>
    </row>
    <row r="986" ht="15.75" customHeight="1" s="60">
      <c r="A986" s="41" t="n"/>
      <c r="B986" s="41" t="n"/>
    </row>
    <row r="987" ht="15.75" customHeight="1" s="60">
      <c r="A987" s="41" t="n"/>
      <c r="B987" s="41" t="n"/>
    </row>
    <row r="988" ht="15.75" customHeight="1" s="60">
      <c r="A988" s="41" t="n"/>
      <c r="B988" s="41" t="n"/>
    </row>
    <row r="989" ht="15.75" customHeight="1" s="60">
      <c r="A989" s="41" t="n"/>
      <c r="B989" s="41" t="n"/>
    </row>
    <row r="990" ht="15.75" customHeight="1" s="60">
      <c r="A990" s="41" t="n"/>
      <c r="B990" s="41" t="n"/>
    </row>
    <row r="991" ht="15.75" customHeight="1" s="60">
      <c r="A991" s="41" t="n"/>
      <c r="B991" s="41" t="n"/>
    </row>
    <row r="992" ht="15.75" customHeight="1" s="60">
      <c r="A992" s="41" t="n"/>
      <c r="B992" s="41" t="n"/>
    </row>
    <row r="993" ht="15.75" customHeight="1" s="60">
      <c r="A993" s="41" t="n"/>
      <c r="B993" s="41" t="n"/>
    </row>
    <row r="994" ht="15.75" customHeight="1" s="60">
      <c r="A994" s="41" t="n"/>
      <c r="B994" s="41" t="n"/>
    </row>
    <row r="995" ht="15.75" customHeight="1" s="60">
      <c r="A995" s="41" t="n"/>
      <c r="B995" s="41" t="n"/>
    </row>
    <row r="996" ht="15.75" customHeight="1" s="60">
      <c r="A996" s="41" t="n"/>
      <c r="B996" s="41" t="n"/>
    </row>
    <row r="997" ht="15.75" customHeight="1" s="60">
      <c r="A997" s="41" t="n"/>
      <c r="B997" s="41" t="n"/>
    </row>
    <row r="998" ht="15.75" customHeight="1" s="60">
      <c r="A998" s="41" t="n"/>
      <c r="B998" s="41" t="n"/>
    </row>
    <row r="999" ht="15.75" customHeight="1" s="60">
      <c r="A999" s="41" t="n"/>
      <c r="B999" s="41" t="n"/>
    </row>
    <row r="1000" ht="15.75" customHeight="1" s="60">
      <c r="A1000" s="41" t="n"/>
      <c r="B1000" s="41" t="n"/>
    </row>
  </sheetData>
  <pageMargins left="0.75" right="0.75" top="1" bottom="1" header="0" footer="0"/>
  <pageSetup orientation="portrait" paperSize="9"/>
</worksheet>
</file>

<file path=xl/worksheets/sheet12.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46" customWidth="1" style="60" min="1" max="1"/>
    <col width="18" customWidth="1" style="60" min="2" max="2"/>
    <col width="8.710000000000001" customWidth="1" style="60" min="3" max="26"/>
  </cols>
  <sheetData>
    <row r="1" ht="17.25" customHeight="1" s="60">
      <c r="A1" s="1" t="inlineStr">
        <is>
          <t>AKAUN PEMBAHAGIAN KEUNTUNGAN (APK)</t>
        </is>
      </c>
      <c r="B1" s="41" t="n"/>
    </row>
    <row r="2" ht="15" customHeight="1" s="60">
      <c r="A2" s="5" t="inlineStr">
        <is>
          <t>Bagi tempoh 1 Januari 2026 hingga 31 Januari 2026 (data contoh). Lajur kuning = keputusan Lembaga, isi semasa mesyuarat.</t>
        </is>
      </c>
      <c r="B2" s="41" t="n"/>
    </row>
    <row r="3">
      <c r="A3" s="41" t="n"/>
      <c r="B3" s="41" t="n"/>
    </row>
    <row r="4" ht="15" customHeight="1" s="60">
      <c r="A4" s="41" t="inlineStr">
        <is>
          <t>Lebihan Bersih Tahun Semasa (daripada UR)</t>
        </is>
      </c>
      <c r="B4" s="48">
        <f>UR!B36</f>
        <v/>
      </c>
    </row>
    <row r="5">
      <c r="A5" s="41" t="n"/>
      <c r="B5" s="41" t="n"/>
    </row>
    <row r="6" ht="15" customHeight="1" s="60">
      <c r="A6" s="45" t="inlineStr">
        <is>
          <t>TOLAK: PEMBAHAGIAN BERKANUN</t>
        </is>
      </c>
      <c r="B6" s="41" t="n"/>
    </row>
    <row r="7" ht="15" customHeight="1" s="60">
      <c r="A7" s="41" t="inlineStr">
        <is>
          <t>Kumpulan Wang Rizab Statutori (Tetapan!C15)</t>
        </is>
      </c>
      <c r="B7" s="36">
        <f>B4*Tetapan!C15/100</f>
        <v/>
      </c>
    </row>
    <row r="8" ht="15" customHeight="1" s="60">
      <c r="A8" s="41" t="inlineStr">
        <is>
          <t>Kumpulan Wang Amanah Pendidikan Koperasi (Tetapan!C16)</t>
        </is>
      </c>
      <c r="B8" s="36">
        <f>B4*Tetapan!C16/100</f>
        <v/>
      </c>
    </row>
    <row r="9" ht="15" customHeight="1" s="60">
      <c r="A9" s="41" t="inlineStr">
        <is>
          <t>Kumpulan Wang Amanah Pembangunan Koperasi (Tetapan!C17)</t>
        </is>
      </c>
      <c r="B9" s="36">
        <f>B4*Tetapan!C17/100</f>
        <v/>
      </c>
    </row>
    <row r="10" ht="15" customHeight="1" s="60">
      <c r="A10" s="32" t="inlineStr">
        <is>
          <t>JUMLAH PEMBAHAGIAN BERKANUN</t>
        </is>
      </c>
      <c r="B10" s="35">
        <f>SUM(B7:B9)</f>
        <v/>
      </c>
    </row>
    <row r="11">
      <c r="A11" s="41" t="n"/>
      <c r="B11" s="41" t="n"/>
    </row>
    <row r="12" ht="15" customHeight="1" s="60">
      <c r="A12" s="32" t="inlineStr">
        <is>
          <t>LEBIHAN SELEPAS PEMBAHAGIAN BERKANUN</t>
        </is>
      </c>
      <c r="B12" s="35">
        <f>B4-B10</f>
        <v/>
      </c>
    </row>
    <row r="13">
      <c r="A13" s="41" t="n"/>
      <c r="B13" s="41" t="n"/>
    </row>
    <row r="14" ht="15" customHeight="1" s="60">
      <c r="A14" s="45" t="inlineStr">
        <is>
          <t>TOLAK: PERUNTUKAN</t>
        </is>
      </c>
      <c r="B14" s="41" t="n"/>
    </row>
    <row r="15" ht="15" customHeight="1" s="60">
      <c r="A15" s="41" t="inlineStr">
        <is>
          <t>Peruntukan Cukai Pendapatan (isi anggaran Lembaga)</t>
        </is>
      </c>
      <c r="B15" s="49" t="n">
        <v>0</v>
      </c>
    </row>
    <row r="16" ht="15" customHeight="1" s="60">
      <c r="A16" s="41" t="inlineStr">
        <is>
          <t>Peruntukan Zakat (isi anggaran Lembaga)</t>
        </is>
      </c>
      <c r="B16" s="49" t="n">
        <v>0</v>
      </c>
    </row>
    <row r="17" ht="15" customHeight="1" s="60">
      <c r="A17" s="32" t="inlineStr">
        <is>
          <t>JUMLAH PERUNTUKAN</t>
        </is>
      </c>
      <c r="B17" s="35">
        <f>SUM(B15:B16)</f>
        <v/>
      </c>
    </row>
    <row r="18">
      <c r="A18" s="41" t="n"/>
      <c r="B18" s="41" t="n"/>
    </row>
    <row r="19" ht="15" customHeight="1" s="60">
      <c r="A19" s="45" t="inlineStr">
        <is>
          <t>TOLAK: LAIN-LAIN PEMBAHAGIAN (cadangan Lembaga)</t>
        </is>
      </c>
      <c r="B19" s="41" t="n"/>
    </row>
    <row r="20" ht="15" customHeight="1" s="60">
      <c r="A20" s="41" t="inlineStr">
        <is>
          <t>Dividen Atas Modal Syer (isi cadangan)</t>
        </is>
      </c>
      <c r="B20" s="49" t="n">
        <v>0</v>
      </c>
    </row>
    <row r="21" ht="15" customHeight="1" s="60">
      <c r="A21" s="41" t="inlineStr">
        <is>
          <t>Dividen Atas Modal Yuran (isi cadangan)</t>
        </is>
      </c>
      <c r="B21" s="49" t="n">
        <v>0</v>
      </c>
    </row>
    <row r="22" ht="15" customHeight="1" s="60">
      <c r="A22" s="41" t="inlineStr">
        <is>
          <t>Honorarium Lembaga (isi cadangan)</t>
        </is>
      </c>
      <c r="B22" s="49" t="n">
        <v>0</v>
      </c>
    </row>
    <row r="23" ht="15" customHeight="1" s="60">
      <c r="A23" s="32" t="inlineStr">
        <is>
          <t>JUMLAH LAIN-LAIN PEMBAHAGIAN</t>
        </is>
      </c>
      <c r="B23" s="35">
        <f>SUM(B20:B22)</f>
        <v/>
      </c>
    </row>
    <row r="24" ht="15.75" customHeight="1" s="60">
      <c r="A24" s="41" t="n"/>
      <c r="B24" s="41" t="n"/>
    </row>
    <row r="25" ht="15" customHeight="1" s="60">
      <c r="A25" s="32" t="inlineStr">
        <is>
          <t>BAKI KEUNTUNGAN BELUM DIBAHAGI-BAHAGIKAN</t>
        </is>
      </c>
      <c r="B25" s="35">
        <f>B12-B17-B23</f>
        <v/>
      </c>
    </row>
    <row r="26" ht="15.75" customHeight="1" s="60">
      <c r="A26" s="41" t="n"/>
      <c r="B26" s="41" t="n"/>
    </row>
    <row r="27" ht="15" customHeight="1" s="60">
      <c r="A27" s="41" t="inlineStr">
        <is>
          <t>Tambah: Lebihan Terkumpul Pada Awal Tahun</t>
        </is>
      </c>
      <c r="B27" s="36">
        <f>SUMIF(Imbangan_Duga!$A$5:$A$150,3030,Imbangan_Duga!$H$5:$H$150)</f>
        <v/>
      </c>
    </row>
    <row r="28" ht="15" customHeight="1" s="60">
      <c r="A28" s="32" t="inlineStr">
        <is>
          <t>LEBIHAN TERKUMPUL PADA AKHIR TAHUN (unjuran)</t>
        </is>
      </c>
      <c r="B28" s="35">
        <f>B25+B27</f>
        <v/>
      </c>
    </row>
    <row r="29" ht="15.75" customHeight="1" s="60">
      <c r="A29" s="41" t="n"/>
      <c r="B29" s="41" t="n"/>
    </row>
    <row r="30" ht="15" customHeight="1" s="60">
      <c r="A30" s="32" t="inlineStr">
        <is>
          <t>Nota</t>
        </is>
      </c>
      <c r="B30" s="41" t="n"/>
    </row>
    <row r="31" ht="75" customHeight="1" s="60">
      <c r="A31" s="37" t="inlineStr">
        <is>
          <t>Baris B28 ialah UNJURAN untuk keputusan Lembaga, bukan baki sebenar KKK - KKK kekal tunjuk baki sebenar lejar. Selepas Lembaga luluskan angka di atas, pos SATU transaksi seimbang: Debit Lebihan Terkumpul (3030) sebanyak jumlah yang diluluskan, Kredit setiap akaun liabiliti berkaitan (Rizab Statutori 3020, KWA Pendidikan Belum Dibayar 2100, KWA Pembangunan Belum Dibayar 2110, Cukai Belum Dibayar 2070, Zakat Belum Dibayar 2080, Dividen Diisytiharkan 2020, Honorarium Belum Dibayar 2090). Selepas itu KKK automatik betul.</t>
        </is>
      </c>
      <c r="B31" s="41" t="n"/>
    </row>
    <row r="32" ht="15.75" customHeight="1" s="60">
      <c r="A32" s="41" t="n"/>
      <c r="B32" s="41" t="n"/>
    </row>
    <row r="33" ht="15.75" customHeight="1" s="60">
      <c r="A33" s="41" t="n"/>
      <c r="B33" s="41" t="n"/>
    </row>
    <row r="34" ht="15.75" customHeight="1" s="60">
      <c r="A34" s="41" t="n"/>
      <c r="B34" s="41" t="n"/>
    </row>
    <row r="35" ht="15.75" customHeight="1" s="60">
      <c r="A35" s="41" t="n"/>
      <c r="B35" s="41" t="n"/>
    </row>
    <row r="36" ht="15.75" customHeight="1" s="60">
      <c r="A36" s="41" t="n"/>
      <c r="B36" s="41" t="n"/>
    </row>
    <row r="37" ht="15.75" customHeight="1" s="60">
      <c r="A37" s="41" t="n"/>
      <c r="B37" s="41" t="n"/>
    </row>
    <row r="38" ht="15.75" customHeight="1" s="60">
      <c r="A38" s="41" t="n"/>
      <c r="B38" s="41" t="n"/>
    </row>
    <row r="39" ht="15.75" customHeight="1" s="60">
      <c r="A39" s="41" t="n"/>
      <c r="B39" s="41" t="n"/>
    </row>
    <row r="40" ht="15.75" customHeight="1" s="60">
      <c r="A40" s="41" t="n"/>
      <c r="B40" s="41" t="n"/>
    </row>
    <row r="41" ht="15.75" customHeight="1" s="60">
      <c r="A41" s="41" t="n"/>
      <c r="B41" s="41" t="n"/>
    </row>
    <row r="42" ht="15.75" customHeight="1" s="60">
      <c r="A42" s="41" t="n"/>
      <c r="B42" s="41" t="n"/>
    </row>
    <row r="43" ht="15.75" customHeight="1" s="60">
      <c r="A43" s="41" t="n"/>
      <c r="B43" s="41" t="n"/>
    </row>
    <row r="44" ht="15.75" customHeight="1" s="60">
      <c r="A44" s="41" t="n"/>
      <c r="B44" s="41" t="n"/>
    </row>
    <row r="45" ht="15.75" customHeight="1" s="60">
      <c r="A45" s="41" t="n"/>
      <c r="B45" s="41" t="n"/>
    </row>
    <row r="46" ht="15.75" customHeight="1" s="60">
      <c r="A46" s="41" t="n"/>
      <c r="B46" s="41" t="n"/>
    </row>
    <row r="47" ht="15.75" customHeight="1" s="60">
      <c r="A47" s="41" t="n"/>
      <c r="B47" s="41" t="n"/>
    </row>
    <row r="48" ht="15.75" customHeight="1" s="60">
      <c r="A48" s="41" t="n"/>
      <c r="B48" s="41" t="n"/>
    </row>
    <row r="49" ht="15.75" customHeight="1" s="60">
      <c r="A49" s="41" t="n"/>
      <c r="B49" s="41" t="n"/>
    </row>
    <row r="50" ht="15.75" customHeight="1" s="60">
      <c r="A50" s="41" t="n"/>
      <c r="B50" s="41" t="n"/>
    </row>
    <row r="51" ht="15.75" customHeight="1" s="60">
      <c r="A51" s="41" t="n"/>
      <c r="B51" s="41" t="n"/>
    </row>
    <row r="52" ht="15.75" customHeight="1" s="60">
      <c r="A52" s="41" t="n"/>
      <c r="B52" s="41" t="n"/>
    </row>
    <row r="53" ht="15.75" customHeight="1" s="60">
      <c r="A53" s="41" t="n"/>
      <c r="B53" s="41" t="n"/>
    </row>
    <row r="54" ht="15.75" customHeight="1" s="60">
      <c r="A54" s="41" t="n"/>
      <c r="B54" s="41" t="n"/>
    </row>
    <row r="55" ht="15.75" customHeight="1" s="60">
      <c r="A55" s="41" t="n"/>
      <c r="B55" s="41" t="n"/>
    </row>
    <row r="56" ht="15.75" customHeight="1" s="60">
      <c r="A56" s="41" t="n"/>
      <c r="B56" s="41" t="n"/>
    </row>
    <row r="57" ht="15.75" customHeight="1" s="60">
      <c r="A57" s="41" t="n"/>
      <c r="B57" s="41" t="n"/>
    </row>
    <row r="58" ht="15.75" customHeight="1" s="60">
      <c r="A58" s="41" t="n"/>
      <c r="B58" s="41" t="n"/>
    </row>
    <row r="59" ht="15.75" customHeight="1" s="60">
      <c r="A59" s="41" t="n"/>
      <c r="B59" s="41" t="n"/>
    </row>
    <row r="60" ht="15.75" customHeight="1" s="60">
      <c r="A60" s="41" t="n"/>
      <c r="B60" s="41" t="n"/>
    </row>
    <row r="61" ht="15.75" customHeight="1" s="60">
      <c r="A61" s="41" t="n"/>
      <c r="B61" s="41" t="n"/>
    </row>
    <row r="62" ht="15.75" customHeight="1" s="60">
      <c r="A62" s="41" t="n"/>
      <c r="B62" s="41" t="n"/>
    </row>
    <row r="63" ht="15.75" customHeight="1" s="60">
      <c r="A63" s="41" t="n"/>
      <c r="B63" s="41" t="n"/>
    </row>
    <row r="64" ht="15.75" customHeight="1" s="60">
      <c r="A64" s="41" t="n"/>
      <c r="B64" s="41" t="n"/>
    </row>
    <row r="65" ht="15.75" customHeight="1" s="60">
      <c r="A65" s="41" t="n"/>
      <c r="B65" s="41" t="n"/>
    </row>
    <row r="66" ht="15.75" customHeight="1" s="60">
      <c r="A66" s="41" t="n"/>
      <c r="B66" s="41" t="n"/>
    </row>
    <row r="67" ht="15.75" customHeight="1" s="60">
      <c r="A67" s="41" t="n"/>
      <c r="B67" s="41" t="n"/>
    </row>
    <row r="68" ht="15.75" customHeight="1" s="60">
      <c r="A68" s="41" t="n"/>
      <c r="B68" s="41" t="n"/>
    </row>
    <row r="69" ht="15.75" customHeight="1" s="60">
      <c r="A69" s="41" t="n"/>
      <c r="B69" s="41" t="n"/>
    </row>
    <row r="70" ht="15.75" customHeight="1" s="60">
      <c r="A70" s="41" t="n"/>
      <c r="B70" s="41" t="n"/>
    </row>
    <row r="71" ht="15.75" customHeight="1" s="60">
      <c r="A71" s="41" t="n"/>
      <c r="B71" s="41" t="n"/>
    </row>
    <row r="72" ht="15.75" customHeight="1" s="60">
      <c r="A72" s="41" t="n"/>
      <c r="B72" s="41" t="n"/>
    </row>
    <row r="73" ht="15.75" customHeight="1" s="60">
      <c r="A73" s="41" t="n"/>
      <c r="B73" s="41" t="n"/>
    </row>
    <row r="74" ht="15.75" customHeight="1" s="60">
      <c r="A74" s="41" t="n"/>
      <c r="B74" s="41" t="n"/>
    </row>
    <row r="75" ht="15.75" customHeight="1" s="60">
      <c r="A75" s="41" t="n"/>
      <c r="B75" s="41" t="n"/>
    </row>
    <row r="76" ht="15.75" customHeight="1" s="60">
      <c r="A76" s="41" t="n"/>
      <c r="B76" s="41" t="n"/>
    </row>
    <row r="77" ht="15.75" customHeight="1" s="60">
      <c r="A77" s="41" t="n"/>
      <c r="B77" s="41" t="n"/>
    </row>
    <row r="78" ht="15.75" customHeight="1" s="60">
      <c r="A78" s="41" t="n"/>
      <c r="B78" s="41" t="n"/>
    </row>
    <row r="79" ht="15.75" customHeight="1" s="60">
      <c r="A79" s="41" t="n"/>
      <c r="B79" s="41" t="n"/>
    </row>
    <row r="80" ht="15.75" customHeight="1" s="60">
      <c r="A80" s="41" t="n"/>
      <c r="B80" s="41" t="n"/>
    </row>
    <row r="81" ht="15.75" customHeight="1" s="60">
      <c r="A81" s="41" t="n"/>
      <c r="B81" s="41" t="n"/>
    </row>
    <row r="82" ht="15.75" customHeight="1" s="60">
      <c r="A82" s="41" t="n"/>
      <c r="B82" s="41" t="n"/>
    </row>
    <row r="83" ht="15.75" customHeight="1" s="60">
      <c r="A83" s="41" t="n"/>
      <c r="B83" s="41" t="n"/>
    </row>
    <row r="84" ht="15.75" customHeight="1" s="60">
      <c r="A84" s="41" t="n"/>
      <c r="B84" s="41" t="n"/>
    </row>
    <row r="85" ht="15.75" customHeight="1" s="60">
      <c r="A85" s="41" t="n"/>
      <c r="B85" s="41" t="n"/>
    </row>
    <row r="86" ht="15.75" customHeight="1" s="60">
      <c r="A86" s="41" t="n"/>
      <c r="B86" s="41" t="n"/>
    </row>
    <row r="87" ht="15.75" customHeight="1" s="60">
      <c r="A87" s="41" t="n"/>
      <c r="B87" s="41" t="n"/>
    </row>
    <row r="88" ht="15.75" customHeight="1" s="60">
      <c r="A88" s="41" t="n"/>
      <c r="B88" s="41" t="n"/>
    </row>
    <row r="89" ht="15.75" customHeight="1" s="60">
      <c r="A89" s="41" t="n"/>
      <c r="B89" s="41" t="n"/>
    </row>
    <row r="90" ht="15.75" customHeight="1" s="60">
      <c r="A90" s="41" t="n"/>
      <c r="B90" s="41" t="n"/>
    </row>
    <row r="91" ht="15.75" customHeight="1" s="60">
      <c r="A91" s="41" t="n"/>
      <c r="B91" s="41" t="n"/>
    </row>
    <row r="92" ht="15.75" customHeight="1" s="60">
      <c r="A92" s="41" t="n"/>
      <c r="B92" s="41" t="n"/>
    </row>
    <row r="93" ht="15.75" customHeight="1" s="60">
      <c r="A93" s="41" t="n"/>
      <c r="B93" s="41" t="n"/>
    </row>
    <row r="94" ht="15.75" customHeight="1" s="60">
      <c r="A94" s="41" t="n"/>
      <c r="B94" s="41" t="n"/>
    </row>
    <row r="95" ht="15.75" customHeight="1" s="60">
      <c r="A95" s="41" t="n"/>
      <c r="B95" s="41" t="n"/>
    </row>
    <row r="96" ht="15.75" customHeight="1" s="60">
      <c r="A96" s="41" t="n"/>
      <c r="B96" s="41" t="n"/>
    </row>
    <row r="97" ht="15.75" customHeight="1" s="60">
      <c r="A97" s="41" t="n"/>
      <c r="B97" s="41" t="n"/>
    </row>
    <row r="98" ht="15.75" customHeight="1" s="60">
      <c r="A98" s="41" t="n"/>
      <c r="B98" s="41" t="n"/>
    </row>
    <row r="99" ht="15.75" customHeight="1" s="60">
      <c r="A99" s="41" t="n"/>
      <c r="B99" s="41" t="n"/>
    </row>
    <row r="100" ht="15.75" customHeight="1" s="60">
      <c r="A100" s="41" t="n"/>
      <c r="B100" s="41" t="n"/>
    </row>
    <row r="101" ht="15.75" customHeight="1" s="60">
      <c r="A101" s="41" t="n"/>
      <c r="B101" s="41" t="n"/>
    </row>
    <row r="102" ht="15.75" customHeight="1" s="60">
      <c r="A102" s="41" t="n"/>
      <c r="B102" s="41" t="n"/>
    </row>
    <row r="103" ht="15.75" customHeight="1" s="60">
      <c r="A103" s="41" t="n"/>
      <c r="B103" s="41" t="n"/>
    </row>
    <row r="104" ht="15.75" customHeight="1" s="60">
      <c r="A104" s="41" t="n"/>
      <c r="B104" s="41" t="n"/>
    </row>
    <row r="105" ht="15.75" customHeight="1" s="60">
      <c r="A105" s="41" t="n"/>
      <c r="B105" s="41" t="n"/>
    </row>
    <row r="106" ht="15.75" customHeight="1" s="60">
      <c r="A106" s="41" t="n"/>
      <c r="B106" s="41" t="n"/>
    </row>
    <row r="107" ht="15.75" customHeight="1" s="60">
      <c r="A107" s="41" t="n"/>
      <c r="B107" s="41" t="n"/>
    </row>
    <row r="108" ht="15.75" customHeight="1" s="60">
      <c r="A108" s="41" t="n"/>
      <c r="B108" s="41" t="n"/>
    </row>
    <row r="109" ht="15.75" customHeight="1" s="60">
      <c r="A109" s="41" t="n"/>
      <c r="B109" s="41" t="n"/>
    </row>
    <row r="110" ht="15.75" customHeight="1" s="60">
      <c r="A110" s="41" t="n"/>
      <c r="B110" s="41" t="n"/>
    </row>
    <row r="111" ht="15.75" customHeight="1" s="60">
      <c r="A111" s="41" t="n"/>
      <c r="B111" s="41" t="n"/>
    </row>
    <row r="112" ht="15.75" customHeight="1" s="60">
      <c r="A112" s="41" t="n"/>
      <c r="B112" s="41" t="n"/>
    </row>
    <row r="113" ht="15.75" customHeight="1" s="60">
      <c r="A113" s="41" t="n"/>
      <c r="B113" s="41" t="n"/>
    </row>
    <row r="114" ht="15.75" customHeight="1" s="60">
      <c r="A114" s="41" t="n"/>
      <c r="B114" s="41" t="n"/>
    </row>
    <row r="115" ht="15.75" customHeight="1" s="60">
      <c r="A115" s="41" t="n"/>
      <c r="B115" s="41" t="n"/>
    </row>
    <row r="116" ht="15.75" customHeight="1" s="60">
      <c r="A116" s="41" t="n"/>
      <c r="B116" s="41" t="n"/>
    </row>
    <row r="117" ht="15.75" customHeight="1" s="60">
      <c r="A117" s="41" t="n"/>
      <c r="B117" s="41" t="n"/>
    </row>
    <row r="118" ht="15.75" customHeight="1" s="60">
      <c r="A118" s="41" t="n"/>
      <c r="B118" s="41" t="n"/>
    </row>
    <row r="119" ht="15.75" customHeight="1" s="60">
      <c r="A119" s="41" t="n"/>
      <c r="B119" s="41" t="n"/>
    </row>
    <row r="120" ht="15.75" customHeight="1" s="60">
      <c r="A120" s="41" t="n"/>
      <c r="B120" s="41" t="n"/>
    </row>
    <row r="121" ht="15.75" customHeight="1" s="60">
      <c r="A121" s="41" t="n"/>
      <c r="B121" s="41" t="n"/>
    </row>
    <row r="122" ht="15.75" customHeight="1" s="60">
      <c r="A122" s="41" t="n"/>
      <c r="B122" s="41" t="n"/>
    </row>
    <row r="123" ht="15.75" customHeight="1" s="60">
      <c r="A123" s="41" t="n"/>
      <c r="B123" s="41" t="n"/>
    </row>
    <row r="124" ht="15.75" customHeight="1" s="60">
      <c r="A124" s="41" t="n"/>
      <c r="B124" s="41" t="n"/>
    </row>
    <row r="125" ht="15.75" customHeight="1" s="60">
      <c r="A125" s="41" t="n"/>
      <c r="B125" s="41" t="n"/>
    </row>
    <row r="126" ht="15.75" customHeight="1" s="60">
      <c r="A126" s="41" t="n"/>
      <c r="B126" s="41" t="n"/>
    </row>
    <row r="127" ht="15.75" customHeight="1" s="60">
      <c r="A127" s="41" t="n"/>
      <c r="B127" s="41" t="n"/>
    </row>
    <row r="128" ht="15.75" customHeight="1" s="60">
      <c r="A128" s="41" t="n"/>
      <c r="B128" s="41" t="n"/>
    </row>
    <row r="129" ht="15.75" customHeight="1" s="60">
      <c r="A129" s="41" t="n"/>
      <c r="B129" s="41" t="n"/>
    </row>
    <row r="130" ht="15.75" customHeight="1" s="60">
      <c r="A130" s="41" t="n"/>
      <c r="B130" s="41" t="n"/>
    </row>
    <row r="131" ht="15.75" customHeight="1" s="60">
      <c r="A131" s="41" t="n"/>
      <c r="B131" s="41" t="n"/>
    </row>
    <row r="132" ht="15.75" customHeight="1" s="60">
      <c r="A132" s="41" t="n"/>
      <c r="B132" s="41" t="n"/>
    </row>
    <row r="133" ht="15.75" customHeight="1" s="60">
      <c r="A133" s="41" t="n"/>
      <c r="B133" s="41" t="n"/>
    </row>
    <row r="134" ht="15.75" customHeight="1" s="60">
      <c r="A134" s="41" t="n"/>
      <c r="B134" s="41" t="n"/>
    </row>
    <row r="135" ht="15.75" customHeight="1" s="60">
      <c r="A135" s="41" t="n"/>
      <c r="B135" s="41" t="n"/>
    </row>
    <row r="136" ht="15.75" customHeight="1" s="60">
      <c r="A136" s="41" t="n"/>
      <c r="B136" s="41" t="n"/>
    </row>
    <row r="137" ht="15.75" customHeight="1" s="60">
      <c r="A137" s="41" t="n"/>
      <c r="B137" s="41" t="n"/>
    </row>
    <row r="138" ht="15.75" customHeight="1" s="60">
      <c r="A138" s="41" t="n"/>
      <c r="B138" s="41" t="n"/>
    </row>
    <row r="139" ht="15.75" customHeight="1" s="60">
      <c r="A139" s="41" t="n"/>
      <c r="B139" s="41" t="n"/>
    </row>
    <row r="140" ht="15.75" customHeight="1" s="60">
      <c r="A140" s="41" t="n"/>
      <c r="B140" s="41" t="n"/>
    </row>
    <row r="141" ht="15.75" customHeight="1" s="60">
      <c r="A141" s="41" t="n"/>
      <c r="B141" s="41" t="n"/>
    </row>
    <row r="142" ht="15.75" customHeight="1" s="60">
      <c r="A142" s="41" t="n"/>
      <c r="B142" s="41" t="n"/>
    </row>
    <row r="143" ht="15.75" customHeight="1" s="60">
      <c r="A143" s="41" t="n"/>
      <c r="B143" s="41" t="n"/>
    </row>
    <row r="144" ht="15.75" customHeight="1" s="60">
      <c r="A144" s="41" t="n"/>
      <c r="B144" s="41" t="n"/>
    </row>
    <row r="145" ht="15.75" customHeight="1" s="60">
      <c r="A145" s="41" t="n"/>
      <c r="B145" s="41" t="n"/>
    </row>
    <row r="146" ht="15.75" customHeight="1" s="60">
      <c r="A146" s="41" t="n"/>
      <c r="B146" s="41" t="n"/>
    </row>
    <row r="147" ht="15.75" customHeight="1" s="60">
      <c r="A147" s="41" t="n"/>
      <c r="B147" s="41" t="n"/>
    </row>
    <row r="148" ht="15.75" customHeight="1" s="60">
      <c r="A148" s="41" t="n"/>
      <c r="B148" s="41" t="n"/>
    </row>
    <row r="149" ht="15.75" customHeight="1" s="60">
      <c r="A149" s="41" t="n"/>
      <c r="B149" s="41" t="n"/>
    </row>
    <row r="150" ht="15.75" customHeight="1" s="60">
      <c r="A150" s="41" t="n"/>
      <c r="B150" s="41" t="n"/>
    </row>
    <row r="151" ht="15.75" customHeight="1" s="60">
      <c r="A151" s="41" t="n"/>
      <c r="B151" s="41" t="n"/>
    </row>
    <row r="152" ht="15.75" customHeight="1" s="60">
      <c r="A152" s="41" t="n"/>
      <c r="B152" s="41" t="n"/>
    </row>
    <row r="153" ht="15.75" customHeight="1" s="60">
      <c r="A153" s="41" t="n"/>
      <c r="B153" s="41" t="n"/>
    </row>
    <row r="154" ht="15.75" customHeight="1" s="60">
      <c r="A154" s="41" t="n"/>
      <c r="B154" s="41" t="n"/>
    </row>
    <row r="155" ht="15.75" customHeight="1" s="60">
      <c r="A155" s="41" t="n"/>
      <c r="B155" s="41" t="n"/>
    </row>
    <row r="156" ht="15.75" customHeight="1" s="60">
      <c r="A156" s="41" t="n"/>
      <c r="B156" s="41" t="n"/>
    </row>
    <row r="157" ht="15.75" customHeight="1" s="60">
      <c r="A157" s="41" t="n"/>
      <c r="B157" s="41" t="n"/>
    </row>
    <row r="158" ht="15.75" customHeight="1" s="60">
      <c r="A158" s="41" t="n"/>
      <c r="B158" s="41" t="n"/>
    </row>
    <row r="159" ht="15.75" customHeight="1" s="60">
      <c r="A159" s="41" t="n"/>
      <c r="B159" s="41" t="n"/>
    </row>
    <row r="160" ht="15.75" customHeight="1" s="60">
      <c r="A160" s="41" t="n"/>
      <c r="B160" s="41" t="n"/>
    </row>
    <row r="161" ht="15.75" customHeight="1" s="60">
      <c r="A161" s="41" t="n"/>
      <c r="B161" s="41" t="n"/>
    </row>
    <row r="162" ht="15.75" customHeight="1" s="60">
      <c r="A162" s="41" t="n"/>
      <c r="B162" s="41" t="n"/>
    </row>
    <row r="163" ht="15.75" customHeight="1" s="60">
      <c r="A163" s="41" t="n"/>
      <c r="B163" s="41" t="n"/>
    </row>
    <row r="164" ht="15.75" customHeight="1" s="60">
      <c r="A164" s="41" t="n"/>
      <c r="B164" s="41" t="n"/>
    </row>
    <row r="165" ht="15.75" customHeight="1" s="60">
      <c r="A165" s="41" t="n"/>
      <c r="B165" s="41" t="n"/>
    </row>
    <row r="166" ht="15.75" customHeight="1" s="60">
      <c r="A166" s="41" t="n"/>
      <c r="B166" s="41" t="n"/>
    </row>
    <row r="167" ht="15.75" customHeight="1" s="60">
      <c r="A167" s="41" t="n"/>
      <c r="B167" s="41" t="n"/>
    </row>
    <row r="168" ht="15.75" customHeight="1" s="60">
      <c r="A168" s="41" t="n"/>
      <c r="B168" s="41" t="n"/>
    </row>
    <row r="169" ht="15.75" customHeight="1" s="60">
      <c r="A169" s="41" t="n"/>
      <c r="B169" s="41" t="n"/>
    </row>
    <row r="170" ht="15.75" customHeight="1" s="60">
      <c r="A170" s="41" t="n"/>
      <c r="B170" s="41" t="n"/>
    </row>
    <row r="171" ht="15.75" customHeight="1" s="60">
      <c r="A171" s="41" t="n"/>
      <c r="B171" s="41" t="n"/>
    </row>
    <row r="172" ht="15.75" customHeight="1" s="60">
      <c r="A172" s="41" t="n"/>
      <c r="B172" s="41" t="n"/>
    </row>
    <row r="173" ht="15.75" customHeight="1" s="60">
      <c r="A173" s="41" t="n"/>
      <c r="B173" s="41" t="n"/>
    </row>
    <row r="174" ht="15.75" customHeight="1" s="60">
      <c r="A174" s="41" t="n"/>
      <c r="B174" s="41" t="n"/>
    </row>
    <row r="175" ht="15.75" customHeight="1" s="60">
      <c r="A175" s="41" t="n"/>
      <c r="B175" s="41" t="n"/>
    </row>
    <row r="176" ht="15.75" customHeight="1" s="60">
      <c r="A176" s="41" t="n"/>
      <c r="B176" s="41" t="n"/>
    </row>
    <row r="177" ht="15.75" customHeight="1" s="60">
      <c r="A177" s="41" t="n"/>
      <c r="B177" s="41" t="n"/>
    </row>
    <row r="178" ht="15.75" customHeight="1" s="60">
      <c r="A178" s="41" t="n"/>
      <c r="B178" s="41" t="n"/>
    </row>
    <row r="179" ht="15.75" customHeight="1" s="60">
      <c r="A179" s="41" t="n"/>
      <c r="B179" s="41" t="n"/>
    </row>
    <row r="180" ht="15.75" customHeight="1" s="60">
      <c r="A180" s="41" t="n"/>
      <c r="B180" s="41" t="n"/>
    </row>
    <row r="181" ht="15.75" customHeight="1" s="60">
      <c r="A181" s="41" t="n"/>
      <c r="B181" s="41" t="n"/>
    </row>
    <row r="182" ht="15.75" customHeight="1" s="60">
      <c r="A182" s="41" t="n"/>
      <c r="B182" s="41" t="n"/>
    </row>
    <row r="183" ht="15.75" customHeight="1" s="60">
      <c r="A183" s="41" t="n"/>
      <c r="B183" s="41" t="n"/>
    </row>
    <row r="184" ht="15.75" customHeight="1" s="60">
      <c r="A184" s="41" t="n"/>
      <c r="B184" s="41" t="n"/>
    </row>
    <row r="185" ht="15.75" customHeight="1" s="60">
      <c r="A185" s="41" t="n"/>
      <c r="B185" s="41" t="n"/>
    </row>
    <row r="186" ht="15.75" customHeight="1" s="60">
      <c r="A186" s="41" t="n"/>
      <c r="B186" s="41" t="n"/>
    </row>
    <row r="187" ht="15.75" customHeight="1" s="60">
      <c r="A187" s="41" t="n"/>
      <c r="B187" s="41" t="n"/>
    </row>
    <row r="188" ht="15.75" customHeight="1" s="60">
      <c r="A188" s="41" t="n"/>
      <c r="B188" s="41" t="n"/>
    </row>
    <row r="189" ht="15.75" customHeight="1" s="60">
      <c r="A189" s="41" t="n"/>
      <c r="B189" s="41" t="n"/>
    </row>
    <row r="190" ht="15.75" customHeight="1" s="60">
      <c r="A190" s="41" t="n"/>
      <c r="B190" s="41" t="n"/>
    </row>
    <row r="191" ht="15.75" customHeight="1" s="60">
      <c r="A191" s="41" t="n"/>
      <c r="B191" s="41" t="n"/>
    </row>
    <row r="192" ht="15.75" customHeight="1" s="60">
      <c r="A192" s="41" t="n"/>
      <c r="B192" s="41" t="n"/>
    </row>
    <row r="193" ht="15.75" customHeight="1" s="60">
      <c r="A193" s="41" t="n"/>
      <c r="B193" s="41" t="n"/>
    </row>
    <row r="194" ht="15.75" customHeight="1" s="60">
      <c r="A194" s="41" t="n"/>
      <c r="B194" s="41" t="n"/>
    </row>
    <row r="195" ht="15.75" customHeight="1" s="60">
      <c r="A195" s="41" t="n"/>
      <c r="B195" s="41" t="n"/>
    </row>
    <row r="196" ht="15.75" customHeight="1" s="60">
      <c r="A196" s="41" t="n"/>
      <c r="B196" s="41" t="n"/>
    </row>
    <row r="197" ht="15.75" customHeight="1" s="60">
      <c r="A197" s="41" t="n"/>
      <c r="B197" s="41" t="n"/>
    </row>
    <row r="198" ht="15.75" customHeight="1" s="60">
      <c r="A198" s="41" t="n"/>
      <c r="B198" s="41" t="n"/>
    </row>
    <row r="199" ht="15.75" customHeight="1" s="60">
      <c r="A199" s="41" t="n"/>
      <c r="B199" s="41" t="n"/>
    </row>
    <row r="200" ht="15.75" customHeight="1" s="60">
      <c r="A200" s="41" t="n"/>
      <c r="B200" s="41" t="n"/>
    </row>
    <row r="201" ht="15.75" customHeight="1" s="60">
      <c r="A201" s="41" t="n"/>
      <c r="B201" s="41" t="n"/>
    </row>
    <row r="202" ht="15.75" customHeight="1" s="60">
      <c r="A202" s="41" t="n"/>
      <c r="B202" s="41" t="n"/>
    </row>
    <row r="203" ht="15.75" customHeight="1" s="60">
      <c r="A203" s="41" t="n"/>
      <c r="B203" s="41" t="n"/>
    </row>
    <row r="204" ht="15.75" customHeight="1" s="60">
      <c r="A204" s="41" t="n"/>
      <c r="B204" s="41" t="n"/>
    </row>
    <row r="205" ht="15.75" customHeight="1" s="60">
      <c r="A205" s="41" t="n"/>
      <c r="B205" s="41" t="n"/>
    </row>
    <row r="206" ht="15.75" customHeight="1" s="60">
      <c r="A206" s="41" t="n"/>
      <c r="B206" s="41" t="n"/>
    </row>
    <row r="207" ht="15.75" customHeight="1" s="60">
      <c r="A207" s="41" t="n"/>
      <c r="B207" s="41" t="n"/>
    </row>
    <row r="208" ht="15.75" customHeight="1" s="60">
      <c r="A208" s="41" t="n"/>
      <c r="B208" s="41" t="n"/>
    </row>
    <row r="209" ht="15.75" customHeight="1" s="60">
      <c r="A209" s="41" t="n"/>
      <c r="B209" s="41" t="n"/>
    </row>
    <row r="210" ht="15.75" customHeight="1" s="60">
      <c r="A210" s="41" t="n"/>
      <c r="B210" s="41" t="n"/>
    </row>
    <row r="211" ht="15.75" customHeight="1" s="60">
      <c r="A211" s="41" t="n"/>
      <c r="B211" s="41" t="n"/>
    </row>
    <row r="212" ht="15.75" customHeight="1" s="60">
      <c r="A212" s="41" t="n"/>
      <c r="B212" s="41" t="n"/>
    </row>
    <row r="213" ht="15.75" customHeight="1" s="60">
      <c r="A213" s="41" t="n"/>
      <c r="B213" s="41" t="n"/>
    </row>
    <row r="214" ht="15.75" customHeight="1" s="60">
      <c r="A214" s="41" t="n"/>
      <c r="B214" s="41" t="n"/>
    </row>
    <row r="215" ht="15.75" customHeight="1" s="60">
      <c r="A215" s="41" t="n"/>
      <c r="B215" s="41" t="n"/>
    </row>
    <row r="216" ht="15.75" customHeight="1" s="60">
      <c r="A216" s="41" t="n"/>
      <c r="B216" s="41" t="n"/>
    </row>
    <row r="217" ht="15.75" customHeight="1" s="60">
      <c r="A217" s="41" t="n"/>
      <c r="B217" s="41" t="n"/>
    </row>
    <row r="218" ht="15.75" customHeight="1" s="60">
      <c r="A218" s="41" t="n"/>
      <c r="B218" s="41" t="n"/>
    </row>
    <row r="219" ht="15.75" customHeight="1" s="60">
      <c r="A219" s="41" t="n"/>
      <c r="B219" s="41" t="n"/>
    </row>
    <row r="220" ht="15.75" customHeight="1" s="60">
      <c r="A220" s="41" t="n"/>
      <c r="B220" s="41" t="n"/>
    </row>
    <row r="221" ht="15.75" customHeight="1" s="60">
      <c r="A221" s="41" t="n"/>
      <c r="B221" s="41" t="n"/>
    </row>
    <row r="222" ht="15.75" customHeight="1" s="60">
      <c r="A222" s="41" t="n"/>
      <c r="B222" s="41" t="n"/>
    </row>
    <row r="223" ht="15.75" customHeight="1" s="60">
      <c r="A223" s="41" t="n"/>
      <c r="B223" s="41" t="n"/>
    </row>
    <row r="224" ht="15.75" customHeight="1" s="60">
      <c r="A224" s="41" t="n"/>
      <c r="B224" s="41" t="n"/>
    </row>
    <row r="225" ht="15.75" customHeight="1" s="60">
      <c r="A225" s="41" t="n"/>
      <c r="B225" s="41" t="n"/>
    </row>
    <row r="226" ht="15.75" customHeight="1" s="60">
      <c r="A226" s="41" t="n"/>
      <c r="B226" s="41" t="n"/>
    </row>
    <row r="227" ht="15.75" customHeight="1" s="60">
      <c r="A227" s="41" t="n"/>
      <c r="B227" s="41" t="n"/>
    </row>
    <row r="228" ht="15.75" customHeight="1" s="60">
      <c r="A228" s="41" t="n"/>
      <c r="B228" s="41" t="n"/>
    </row>
    <row r="229" ht="15.75" customHeight="1" s="60">
      <c r="A229" s="41" t="n"/>
      <c r="B229" s="41" t="n"/>
    </row>
    <row r="230" ht="15.75" customHeight="1" s="60">
      <c r="A230" s="41" t="n"/>
      <c r="B230" s="41" t="n"/>
    </row>
    <row r="231" ht="15.75" customHeight="1" s="60">
      <c r="A231" s="41" t="n"/>
      <c r="B231" s="41" t="n"/>
    </row>
    <row r="232" ht="15.75" customHeight="1" s="60">
      <c r="A232" s="41" t="n"/>
      <c r="B232" s="41" t="n"/>
    </row>
    <row r="233" ht="15.75" customHeight="1" s="60">
      <c r="A233" s="41" t="n"/>
      <c r="B233" s="41" t="n"/>
    </row>
    <row r="234" ht="15.75" customHeight="1" s="60">
      <c r="A234" s="41" t="n"/>
      <c r="B234" s="41" t="n"/>
    </row>
    <row r="235" ht="15.75" customHeight="1" s="60">
      <c r="A235" s="41" t="n"/>
      <c r="B235" s="41" t="n"/>
    </row>
    <row r="236" ht="15.75" customHeight="1" s="60">
      <c r="A236" s="41" t="n"/>
      <c r="B236" s="41" t="n"/>
    </row>
    <row r="237" ht="15.75" customHeight="1" s="60">
      <c r="A237" s="41" t="n"/>
      <c r="B237" s="41" t="n"/>
    </row>
    <row r="238" ht="15.75" customHeight="1" s="60">
      <c r="A238" s="41" t="n"/>
      <c r="B238" s="41" t="n"/>
    </row>
    <row r="239" ht="15.75" customHeight="1" s="60">
      <c r="A239" s="41" t="n"/>
      <c r="B239" s="41" t="n"/>
    </row>
    <row r="240" ht="15.75" customHeight="1" s="60">
      <c r="A240" s="41" t="n"/>
      <c r="B240" s="41" t="n"/>
    </row>
    <row r="241" ht="15.75" customHeight="1" s="60">
      <c r="A241" s="41" t="n"/>
      <c r="B241" s="41" t="n"/>
    </row>
    <row r="242" ht="15.75" customHeight="1" s="60">
      <c r="A242" s="41" t="n"/>
      <c r="B242" s="41" t="n"/>
    </row>
    <row r="243" ht="15.75" customHeight="1" s="60">
      <c r="A243" s="41" t="n"/>
      <c r="B243" s="41" t="n"/>
    </row>
    <row r="244" ht="15.75" customHeight="1" s="60">
      <c r="A244" s="41" t="n"/>
      <c r="B244" s="41" t="n"/>
    </row>
    <row r="245" ht="15.75" customHeight="1" s="60">
      <c r="A245" s="41" t="n"/>
      <c r="B245" s="41" t="n"/>
    </row>
    <row r="246" ht="15.75" customHeight="1" s="60">
      <c r="A246" s="41" t="n"/>
      <c r="B246" s="41" t="n"/>
    </row>
    <row r="247" ht="15.75" customHeight="1" s="60">
      <c r="A247" s="41" t="n"/>
      <c r="B247" s="41" t="n"/>
    </row>
    <row r="248" ht="15.75" customHeight="1" s="60">
      <c r="A248" s="41" t="n"/>
      <c r="B248" s="41" t="n"/>
    </row>
    <row r="249" ht="15.75" customHeight="1" s="60">
      <c r="A249" s="41" t="n"/>
      <c r="B249" s="41" t="n"/>
    </row>
    <row r="250" ht="15.75" customHeight="1" s="60">
      <c r="A250" s="41" t="n"/>
      <c r="B250" s="41" t="n"/>
    </row>
    <row r="251" ht="15.75" customHeight="1" s="60">
      <c r="A251" s="41" t="n"/>
      <c r="B251" s="41" t="n"/>
    </row>
    <row r="252" ht="15.75" customHeight="1" s="60">
      <c r="A252" s="41" t="n"/>
      <c r="B252" s="41" t="n"/>
    </row>
    <row r="253" ht="15.75" customHeight="1" s="60">
      <c r="A253" s="41" t="n"/>
      <c r="B253" s="41" t="n"/>
    </row>
    <row r="254" ht="15.75" customHeight="1" s="60">
      <c r="A254" s="41" t="n"/>
      <c r="B254" s="41" t="n"/>
    </row>
    <row r="255" ht="15.75" customHeight="1" s="60">
      <c r="A255" s="41" t="n"/>
      <c r="B255" s="41" t="n"/>
    </row>
    <row r="256" ht="15.75" customHeight="1" s="60">
      <c r="A256" s="41" t="n"/>
      <c r="B256" s="41" t="n"/>
    </row>
    <row r="257" ht="15.75" customHeight="1" s="60">
      <c r="A257" s="41" t="n"/>
      <c r="B257" s="41" t="n"/>
    </row>
    <row r="258" ht="15.75" customHeight="1" s="60">
      <c r="A258" s="41" t="n"/>
      <c r="B258" s="41" t="n"/>
    </row>
    <row r="259" ht="15.75" customHeight="1" s="60">
      <c r="A259" s="41" t="n"/>
      <c r="B259" s="41" t="n"/>
    </row>
    <row r="260" ht="15.75" customHeight="1" s="60">
      <c r="A260" s="41" t="n"/>
      <c r="B260" s="41" t="n"/>
    </row>
    <row r="261" ht="15.75" customHeight="1" s="60">
      <c r="A261" s="41" t="n"/>
      <c r="B261" s="41" t="n"/>
    </row>
    <row r="262" ht="15.75" customHeight="1" s="60">
      <c r="A262" s="41" t="n"/>
      <c r="B262" s="41" t="n"/>
    </row>
    <row r="263" ht="15.75" customHeight="1" s="60">
      <c r="A263" s="41" t="n"/>
      <c r="B263" s="41" t="n"/>
    </row>
    <row r="264" ht="15.75" customHeight="1" s="60">
      <c r="A264" s="41" t="n"/>
      <c r="B264" s="41" t="n"/>
    </row>
    <row r="265" ht="15.75" customHeight="1" s="60">
      <c r="A265" s="41" t="n"/>
      <c r="B265" s="41" t="n"/>
    </row>
    <row r="266" ht="15.75" customHeight="1" s="60">
      <c r="A266" s="41" t="n"/>
      <c r="B266" s="41" t="n"/>
    </row>
    <row r="267" ht="15.75" customHeight="1" s="60">
      <c r="A267" s="41" t="n"/>
      <c r="B267" s="41" t="n"/>
    </row>
    <row r="268" ht="15.75" customHeight="1" s="60">
      <c r="A268" s="41" t="n"/>
      <c r="B268" s="41" t="n"/>
    </row>
    <row r="269" ht="15.75" customHeight="1" s="60">
      <c r="A269" s="41" t="n"/>
      <c r="B269" s="41" t="n"/>
    </row>
    <row r="270" ht="15.75" customHeight="1" s="60">
      <c r="A270" s="41" t="n"/>
      <c r="B270" s="41" t="n"/>
    </row>
    <row r="271" ht="15.75" customHeight="1" s="60">
      <c r="A271" s="41" t="n"/>
      <c r="B271" s="41" t="n"/>
    </row>
    <row r="272" ht="15.75" customHeight="1" s="60">
      <c r="A272" s="41" t="n"/>
      <c r="B272" s="41" t="n"/>
    </row>
    <row r="273" ht="15.75" customHeight="1" s="60">
      <c r="A273" s="41" t="n"/>
      <c r="B273" s="41" t="n"/>
    </row>
    <row r="274" ht="15.75" customHeight="1" s="60">
      <c r="A274" s="41" t="n"/>
      <c r="B274" s="41" t="n"/>
    </row>
    <row r="275" ht="15.75" customHeight="1" s="60">
      <c r="A275" s="41" t="n"/>
      <c r="B275" s="41" t="n"/>
    </row>
    <row r="276" ht="15.75" customHeight="1" s="60">
      <c r="A276" s="41" t="n"/>
      <c r="B276" s="41" t="n"/>
    </row>
    <row r="277" ht="15.75" customHeight="1" s="60">
      <c r="A277" s="41" t="n"/>
      <c r="B277" s="41" t="n"/>
    </row>
    <row r="278" ht="15.75" customHeight="1" s="60">
      <c r="A278" s="41" t="n"/>
      <c r="B278" s="41" t="n"/>
    </row>
    <row r="279" ht="15.75" customHeight="1" s="60">
      <c r="A279" s="41" t="n"/>
      <c r="B279" s="41" t="n"/>
    </row>
    <row r="280" ht="15.75" customHeight="1" s="60">
      <c r="A280" s="41" t="n"/>
      <c r="B280" s="41" t="n"/>
    </row>
    <row r="281" ht="15.75" customHeight="1" s="60">
      <c r="A281" s="41" t="n"/>
      <c r="B281" s="41" t="n"/>
    </row>
    <row r="282" ht="15.75" customHeight="1" s="60">
      <c r="A282" s="41" t="n"/>
      <c r="B282" s="41" t="n"/>
    </row>
    <row r="283" ht="15.75" customHeight="1" s="60">
      <c r="A283" s="41" t="n"/>
      <c r="B283" s="41" t="n"/>
    </row>
    <row r="284" ht="15.75" customHeight="1" s="60">
      <c r="A284" s="41" t="n"/>
      <c r="B284" s="41" t="n"/>
    </row>
    <row r="285" ht="15.75" customHeight="1" s="60">
      <c r="A285" s="41" t="n"/>
      <c r="B285" s="41" t="n"/>
    </row>
    <row r="286" ht="15.75" customHeight="1" s="60">
      <c r="A286" s="41" t="n"/>
      <c r="B286" s="41" t="n"/>
    </row>
    <row r="287" ht="15.75" customHeight="1" s="60">
      <c r="A287" s="41" t="n"/>
      <c r="B287" s="41" t="n"/>
    </row>
    <row r="288" ht="15.75" customHeight="1" s="60">
      <c r="A288" s="41" t="n"/>
      <c r="B288" s="41" t="n"/>
    </row>
    <row r="289" ht="15.75" customHeight="1" s="60">
      <c r="A289" s="41" t="n"/>
      <c r="B289" s="41" t="n"/>
    </row>
    <row r="290" ht="15.75" customHeight="1" s="60">
      <c r="A290" s="41" t="n"/>
      <c r="B290" s="41" t="n"/>
    </row>
    <row r="291" ht="15.75" customHeight="1" s="60">
      <c r="A291" s="41" t="n"/>
      <c r="B291" s="41" t="n"/>
    </row>
    <row r="292" ht="15.75" customHeight="1" s="60">
      <c r="A292" s="41" t="n"/>
      <c r="B292" s="41" t="n"/>
    </row>
    <row r="293" ht="15.75" customHeight="1" s="60">
      <c r="A293" s="41" t="n"/>
      <c r="B293" s="41" t="n"/>
    </row>
    <row r="294" ht="15.75" customHeight="1" s="60">
      <c r="A294" s="41" t="n"/>
      <c r="B294" s="41" t="n"/>
    </row>
    <row r="295" ht="15.75" customHeight="1" s="60">
      <c r="A295" s="41" t="n"/>
      <c r="B295" s="41" t="n"/>
    </row>
    <row r="296" ht="15.75" customHeight="1" s="60">
      <c r="A296" s="41" t="n"/>
      <c r="B296" s="41" t="n"/>
    </row>
    <row r="297" ht="15.75" customHeight="1" s="60">
      <c r="A297" s="41" t="n"/>
      <c r="B297" s="41" t="n"/>
    </row>
    <row r="298" ht="15.75" customHeight="1" s="60">
      <c r="A298" s="41" t="n"/>
      <c r="B298" s="41" t="n"/>
    </row>
    <row r="299" ht="15.75" customHeight="1" s="60">
      <c r="A299" s="41" t="n"/>
      <c r="B299" s="41" t="n"/>
    </row>
    <row r="300" ht="15.75" customHeight="1" s="60">
      <c r="A300" s="41" t="n"/>
      <c r="B300" s="41" t="n"/>
    </row>
    <row r="301" ht="15.75" customHeight="1" s="60">
      <c r="A301" s="41" t="n"/>
      <c r="B301" s="41" t="n"/>
    </row>
    <row r="302" ht="15.75" customHeight="1" s="60">
      <c r="A302" s="41" t="n"/>
      <c r="B302" s="41" t="n"/>
    </row>
    <row r="303" ht="15.75" customHeight="1" s="60">
      <c r="A303" s="41" t="n"/>
      <c r="B303" s="41" t="n"/>
    </row>
    <row r="304" ht="15.75" customHeight="1" s="60">
      <c r="A304" s="41" t="n"/>
      <c r="B304" s="41" t="n"/>
    </row>
    <row r="305" ht="15.75" customHeight="1" s="60">
      <c r="A305" s="41" t="n"/>
      <c r="B305" s="41" t="n"/>
    </row>
    <row r="306" ht="15.75" customHeight="1" s="60">
      <c r="A306" s="41" t="n"/>
      <c r="B306" s="41" t="n"/>
    </row>
    <row r="307" ht="15.75" customHeight="1" s="60">
      <c r="A307" s="41" t="n"/>
      <c r="B307" s="41" t="n"/>
    </row>
    <row r="308" ht="15.75" customHeight="1" s="60">
      <c r="A308" s="41" t="n"/>
      <c r="B308" s="41" t="n"/>
    </row>
    <row r="309" ht="15.75" customHeight="1" s="60">
      <c r="A309" s="41" t="n"/>
      <c r="B309" s="41" t="n"/>
    </row>
    <row r="310" ht="15.75" customHeight="1" s="60">
      <c r="A310" s="41" t="n"/>
      <c r="B310" s="41" t="n"/>
    </row>
    <row r="311" ht="15.75" customHeight="1" s="60">
      <c r="A311" s="41" t="n"/>
      <c r="B311" s="41" t="n"/>
    </row>
    <row r="312" ht="15.75" customHeight="1" s="60">
      <c r="A312" s="41" t="n"/>
      <c r="B312" s="41" t="n"/>
    </row>
    <row r="313" ht="15.75" customHeight="1" s="60">
      <c r="A313" s="41" t="n"/>
      <c r="B313" s="41" t="n"/>
    </row>
    <row r="314" ht="15.75" customHeight="1" s="60">
      <c r="A314" s="41" t="n"/>
      <c r="B314" s="41" t="n"/>
    </row>
    <row r="315" ht="15.75" customHeight="1" s="60">
      <c r="A315" s="41" t="n"/>
      <c r="B315" s="41" t="n"/>
    </row>
    <row r="316" ht="15.75" customHeight="1" s="60">
      <c r="A316" s="41" t="n"/>
      <c r="B316" s="41" t="n"/>
    </row>
    <row r="317" ht="15.75" customHeight="1" s="60">
      <c r="A317" s="41" t="n"/>
      <c r="B317" s="41" t="n"/>
    </row>
    <row r="318" ht="15.75" customHeight="1" s="60">
      <c r="A318" s="41" t="n"/>
      <c r="B318" s="41" t="n"/>
    </row>
    <row r="319" ht="15.75" customHeight="1" s="60">
      <c r="A319" s="41" t="n"/>
      <c r="B319" s="41" t="n"/>
    </row>
    <row r="320" ht="15.75" customHeight="1" s="60">
      <c r="A320" s="41" t="n"/>
      <c r="B320" s="41" t="n"/>
    </row>
    <row r="321" ht="15.75" customHeight="1" s="60">
      <c r="A321" s="41" t="n"/>
      <c r="B321" s="41" t="n"/>
    </row>
    <row r="322" ht="15.75" customHeight="1" s="60">
      <c r="A322" s="41" t="n"/>
      <c r="B322" s="41" t="n"/>
    </row>
    <row r="323" ht="15.75" customHeight="1" s="60">
      <c r="A323" s="41" t="n"/>
      <c r="B323" s="41" t="n"/>
    </row>
    <row r="324" ht="15.75" customHeight="1" s="60">
      <c r="A324" s="41" t="n"/>
      <c r="B324" s="41" t="n"/>
    </row>
    <row r="325" ht="15.75" customHeight="1" s="60">
      <c r="A325" s="41" t="n"/>
      <c r="B325" s="41" t="n"/>
    </row>
    <row r="326" ht="15.75" customHeight="1" s="60">
      <c r="A326" s="41" t="n"/>
      <c r="B326" s="41" t="n"/>
    </row>
    <row r="327" ht="15.75" customHeight="1" s="60">
      <c r="A327" s="41" t="n"/>
      <c r="B327" s="41" t="n"/>
    </row>
    <row r="328" ht="15.75" customHeight="1" s="60">
      <c r="A328" s="41" t="n"/>
      <c r="B328" s="41" t="n"/>
    </row>
    <row r="329" ht="15.75" customHeight="1" s="60">
      <c r="A329" s="41" t="n"/>
      <c r="B329" s="41" t="n"/>
    </row>
    <row r="330" ht="15.75" customHeight="1" s="60">
      <c r="A330" s="41" t="n"/>
      <c r="B330" s="41" t="n"/>
    </row>
    <row r="331" ht="15.75" customHeight="1" s="60">
      <c r="A331" s="41" t="n"/>
      <c r="B331" s="41" t="n"/>
    </row>
    <row r="332" ht="15.75" customHeight="1" s="60">
      <c r="A332" s="41" t="n"/>
      <c r="B332" s="41" t="n"/>
    </row>
    <row r="333" ht="15.75" customHeight="1" s="60">
      <c r="A333" s="41" t="n"/>
      <c r="B333" s="41" t="n"/>
    </row>
    <row r="334" ht="15.75" customHeight="1" s="60">
      <c r="A334" s="41" t="n"/>
      <c r="B334" s="41" t="n"/>
    </row>
    <row r="335" ht="15.75" customHeight="1" s="60">
      <c r="A335" s="41" t="n"/>
      <c r="B335" s="41" t="n"/>
    </row>
    <row r="336" ht="15.75" customHeight="1" s="60">
      <c r="A336" s="41" t="n"/>
      <c r="B336" s="41" t="n"/>
    </row>
    <row r="337" ht="15.75" customHeight="1" s="60">
      <c r="A337" s="41" t="n"/>
      <c r="B337" s="41" t="n"/>
    </row>
    <row r="338" ht="15.75" customHeight="1" s="60">
      <c r="A338" s="41" t="n"/>
      <c r="B338" s="41" t="n"/>
    </row>
    <row r="339" ht="15.75" customHeight="1" s="60">
      <c r="A339" s="41" t="n"/>
      <c r="B339" s="41" t="n"/>
    </row>
    <row r="340" ht="15.75" customHeight="1" s="60">
      <c r="A340" s="41" t="n"/>
      <c r="B340" s="41" t="n"/>
    </row>
    <row r="341" ht="15.75" customHeight="1" s="60">
      <c r="A341" s="41" t="n"/>
      <c r="B341" s="41" t="n"/>
    </row>
    <row r="342" ht="15.75" customHeight="1" s="60">
      <c r="A342" s="41" t="n"/>
      <c r="B342" s="41" t="n"/>
    </row>
    <row r="343" ht="15.75" customHeight="1" s="60">
      <c r="A343" s="41" t="n"/>
      <c r="B343" s="41" t="n"/>
    </row>
    <row r="344" ht="15.75" customHeight="1" s="60">
      <c r="A344" s="41" t="n"/>
      <c r="B344" s="41" t="n"/>
    </row>
    <row r="345" ht="15.75" customHeight="1" s="60">
      <c r="A345" s="41" t="n"/>
      <c r="B345" s="41" t="n"/>
    </row>
    <row r="346" ht="15.75" customHeight="1" s="60">
      <c r="A346" s="41" t="n"/>
      <c r="B346" s="41" t="n"/>
    </row>
    <row r="347" ht="15.75" customHeight="1" s="60">
      <c r="A347" s="41" t="n"/>
      <c r="B347" s="41" t="n"/>
    </row>
    <row r="348" ht="15.75" customHeight="1" s="60">
      <c r="A348" s="41" t="n"/>
      <c r="B348" s="41" t="n"/>
    </row>
    <row r="349" ht="15.75" customHeight="1" s="60">
      <c r="A349" s="41" t="n"/>
      <c r="B349" s="41" t="n"/>
    </row>
    <row r="350" ht="15.75" customHeight="1" s="60">
      <c r="A350" s="41" t="n"/>
      <c r="B350" s="41" t="n"/>
    </row>
    <row r="351" ht="15.75" customHeight="1" s="60">
      <c r="A351" s="41" t="n"/>
      <c r="B351" s="41" t="n"/>
    </row>
    <row r="352" ht="15.75" customHeight="1" s="60">
      <c r="A352" s="41" t="n"/>
      <c r="B352" s="41" t="n"/>
    </row>
    <row r="353" ht="15.75" customHeight="1" s="60">
      <c r="A353" s="41" t="n"/>
      <c r="B353" s="41" t="n"/>
    </row>
    <row r="354" ht="15.75" customHeight="1" s="60">
      <c r="A354" s="41" t="n"/>
      <c r="B354" s="41" t="n"/>
    </row>
    <row r="355" ht="15.75" customHeight="1" s="60">
      <c r="A355" s="41" t="n"/>
      <c r="B355" s="41" t="n"/>
    </row>
    <row r="356" ht="15.75" customHeight="1" s="60">
      <c r="A356" s="41" t="n"/>
      <c r="B356" s="41" t="n"/>
    </row>
    <row r="357" ht="15.75" customHeight="1" s="60">
      <c r="A357" s="41" t="n"/>
      <c r="B357" s="41" t="n"/>
    </row>
    <row r="358" ht="15.75" customHeight="1" s="60">
      <c r="A358" s="41" t="n"/>
      <c r="B358" s="41" t="n"/>
    </row>
    <row r="359" ht="15.75" customHeight="1" s="60">
      <c r="A359" s="41" t="n"/>
      <c r="B359" s="41" t="n"/>
    </row>
    <row r="360" ht="15.75" customHeight="1" s="60">
      <c r="A360" s="41" t="n"/>
      <c r="B360" s="41" t="n"/>
    </row>
    <row r="361" ht="15.75" customHeight="1" s="60">
      <c r="A361" s="41" t="n"/>
      <c r="B361" s="41" t="n"/>
    </row>
    <row r="362" ht="15.75" customHeight="1" s="60">
      <c r="A362" s="41" t="n"/>
      <c r="B362" s="41" t="n"/>
    </row>
    <row r="363" ht="15.75" customHeight="1" s="60">
      <c r="A363" s="41" t="n"/>
      <c r="B363" s="41" t="n"/>
    </row>
    <row r="364" ht="15.75" customHeight="1" s="60">
      <c r="A364" s="41" t="n"/>
      <c r="B364" s="41" t="n"/>
    </row>
    <row r="365" ht="15.75" customHeight="1" s="60">
      <c r="A365" s="41" t="n"/>
      <c r="B365" s="41" t="n"/>
    </row>
    <row r="366" ht="15.75" customHeight="1" s="60">
      <c r="A366" s="41" t="n"/>
      <c r="B366" s="41" t="n"/>
    </row>
    <row r="367" ht="15.75" customHeight="1" s="60">
      <c r="A367" s="41" t="n"/>
      <c r="B367" s="41" t="n"/>
    </row>
    <row r="368" ht="15.75" customHeight="1" s="60">
      <c r="A368" s="41" t="n"/>
      <c r="B368" s="41" t="n"/>
    </row>
    <row r="369" ht="15.75" customHeight="1" s="60">
      <c r="A369" s="41" t="n"/>
      <c r="B369" s="41" t="n"/>
    </row>
    <row r="370" ht="15.75" customHeight="1" s="60">
      <c r="A370" s="41" t="n"/>
      <c r="B370" s="41" t="n"/>
    </row>
    <row r="371" ht="15.75" customHeight="1" s="60">
      <c r="A371" s="41" t="n"/>
      <c r="B371" s="41" t="n"/>
    </row>
    <row r="372" ht="15.75" customHeight="1" s="60">
      <c r="A372" s="41" t="n"/>
      <c r="B372" s="41" t="n"/>
    </row>
    <row r="373" ht="15.75" customHeight="1" s="60">
      <c r="A373" s="41" t="n"/>
      <c r="B373" s="41" t="n"/>
    </row>
    <row r="374" ht="15.75" customHeight="1" s="60">
      <c r="A374" s="41" t="n"/>
      <c r="B374" s="41" t="n"/>
    </row>
    <row r="375" ht="15.75" customHeight="1" s="60">
      <c r="A375" s="41" t="n"/>
      <c r="B375" s="41" t="n"/>
    </row>
    <row r="376" ht="15.75" customHeight="1" s="60">
      <c r="A376" s="41" t="n"/>
      <c r="B376" s="41" t="n"/>
    </row>
    <row r="377" ht="15.75" customHeight="1" s="60">
      <c r="A377" s="41" t="n"/>
      <c r="B377" s="41" t="n"/>
    </row>
    <row r="378" ht="15.75" customHeight="1" s="60">
      <c r="A378" s="41" t="n"/>
      <c r="B378" s="41" t="n"/>
    </row>
    <row r="379" ht="15.75" customHeight="1" s="60">
      <c r="A379" s="41" t="n"/>
      <c r="B379" s="41" t="n"/>
    </row>
    <row r="380" ht="15.75" customHeight="1" s="60">
      <c r="A380" s="41" t="n"/>
      <c r="B380" s="41" t="n"/>
    </row>
    <row r="381" ht="15.75" customHeight="1" s="60">
      <c r="A381" s="41" t="n"/>
      <c r="B381" s="41" t="n"/>
    </row>
    <row r="382" ht="15.75" customHeight="1" s="60">
      <c r="A382" s="41" t="n"/>
      <c r="B382" s="41" t="n"/>
    </row>
    <row r="383" ht="15.75" customHeight="1" s="60">
      <c r="A383" s="41" t="n"/>
      <c r="B383" s="41" t="n"/>
    </row>
    <row r="384" ht="15.75" customHeight="1" s="60">
      <c r="A384" s="41" t="n"/>
      <c r="B384" s="41" t="n"/>
    </row>
    <row r="385" ht="15.75" customHeight="1" s="60">
      <c r="A385" s="41" t="n"/>
      <c r="B385" s="41" t="n"/>
    </row>
    <row r="386" ht="15.75" customHeight="1" s="60">
      <c r="A386" s="41" t="n"/>
      <c r="B386" s="41" t="n"/>
    </row>
    <row r="387" ht="15.75" customHeight="1" s="60">
      <c r="A387" s="41" t="n"/>
      <c r="B387" s="41" t="n"/>
    </row>
    <row r="388" ht="15.75" customHeight="1" s="60">
      <c r="A388" s="41" t="n"/>
      <c r="B388" s="41" t="n"/>
    </row>
    <row r="389" ht="15.75" customHeight="1" s="60">
      <c r="A389" s="41" t="n"/>
      <c r="B389" s="41" t="n"/>
    </row>
    <row r="390" ht="15.75" customHeight="1" s="60">
      <c r="A390" s="41" t="n"/>
      <c r="B390" s="41" t="n"/>
    </row>
    <row r="391" ht="15.75" customHeight="1" s="60">
      <c r="A391" s="41" t="n"/>
      <c r="B391" s="41" t="n"/>
    </row>
    <row r="392" ht="15.75" customHeight="1" s="60">
      <c r="A392" s="41" t="n"/>
      <c r="B392" s="41" t="n"/>
    </row>
    <row r="393" ht="15.75" customHeight="1" s="60">
      <c r="A393" s="41" t="n"/>
      <c r="B393" s="41" t="n"/>
    </row>
    <row r="394" ht="15.75" customHeight="1" s="60">
      <c r="A394" s="41" t="n"/>
      <c r="B394" s="41" t="n"/>
    </row>
    <row r="395" ht="15.75" customHeight="1" s="60">
      <c r="A395" s="41" t="n"/>
      <c r="B395" s="41" t="n"/>
    </row>
    <row r="396" ht="15.75" customHeight="1" s="60">
      <c r="A396" s="41" t="n"/>
      <c r="B396" s="41" t="n"/>
    </row>
    <row r="397" ht="15.75" customHeight="1" s="60">
      <c r="A397" s="41" t="n"/>
      <c r="B397" s="41" t="n"/>
    </row>
    <row r="398" ht="15.75" customHeight="1" s="60">
      <c r="A398" s="41" t="n"/>
      <c r="B398" s="41" t="n"/>
    </row>
    <row r="399" ht="15.75" customHeight="1" s="60">
      <c r="A399" s="41" t="n"/>
      <c r="B399" s="41" t="n"/>
    </row>
    <row r="400" ht="15.75" customHeight="1" s="60">
      <c r="A400" s="41" t="n"/>
      <c r="B400" s="41" t="n"/>
    </row>
    <row r="401" ht="15.75" customHeight="1" s="60">
      <c r="A401" s="41" t="n"/>
      <c r="B401" s="41" t="n"/>
    </row>
    <row r="402" ht="15.75" customHeight="1" s="60">
      <c r="A402" s="41" t="n"/>
      <c r="B402" s="41" t="n"/>
    </row>
    <row r="403" ht="15.75" customHeight="1" s="60">
      <c r="A403" s="41" t="n"/>
      <c r="B403" s="41" t="n"/>
    </row>
    <row r="404" ht="15.75" customHeight="1" s="60">
      <c r="A404" s="41" t="n"/>
      <c r="B404" s="41" t="n"/>
    </row>
    <row r="405" ht="15.75" customHeight="1" s="60">
      <c r="A405" s="41" t="n"/>
      <c r="B405" s="41" t="n"/>
    </row>
    <row r="406" ht="15.75" customHeight="1" s="60">
      <c r="A406" s="41" t="n"/>
      <c r="B406" s="41" t="n"/>
    </row>
    <row r="407" ht="15.75" customHeight="1" s="60">
      <c r="A407" s="41" t="n"/>
      <c r="B407" s="41" t="n"/>
    </row>
    <row r="408" ht="15.75" customHeight="1" s="60">
      <c r="A408" s="41" t="n"/>
      <c r="B408" s="41" t="n"/>
    </row>
    <row r="409" ht="15.75" customHeight="1" s="60">
      <c r="A409" s="41" t="n"/>
      <c r="B409" s="41" t="n"/>
    </row>
    <row r="410" ht="15.75" customHeight="1" s="60">
      <c r="A410" s="41" t="n"/>
      <c r="B410" s="41" t="n"/>
    </row>
    <row r="411" ht="15.75" customHeight="1" s="60">
      <c r="A411" s="41" t="n"/>
      <c r="B411" s="41" t="n"/>
    </row>
    <row r="412" ht="15.75" customHeight="1" s="60">
      <c r="A412" s="41" t="n"/>
      <c r="B412" s="41" t="n"/>
    </row>
    <row r="413" ht="15.75" customHeight="1" s="60">
      <c r="A413" s="41" t="n"/>
      <c r="B413" s="41" t="n"/>
    </row>
    <row r="414" ht="15.75" customHeight="1" s="60">
      <c r="A414" s="41" t="n"/>
      <c r="B414" s="41" t="n"/>
    </row>
    <row r="415" ht="15.75" customHeight="1" s="60">
      <c r="A415" s="41" t="n"/>
      <c r="B415" s="41" t="n"/>
    </row>
    <row r="416" ht="15.75" customHeight="1" s="60">
      <c r="A416" s="41" t="n"/>
      <c r="B416" s="41" t="n"/>
    </row>
    <row r="417" ht="15.75" customHeight="1" s="60">
      <c r="A417" s="41" t="n"/>
      <c r="B417" s="41" t="n"/>
    </row>
    <row r="418" ht="15.75" customHeight="1" s="60">
      <c r="A418" s="41" t="n"/>
      <c r="B418" s="41" t="n"/>
    </row>
    <row r="419" ht="15.75" customHeight="1" s="60">
      <c r="A419" s="41" t="n"/>
      <c r="B419" s="41" t="n"/>
    </row>
    <row r="420" ht="15.75" customHeight="1" s="60">
      <c r="A420" s="41" t="n"/>
      <c r="B420" s="41" t="n"/>
    </row>
    <row r="421" ht="15.75" customHeight="1" s="60">
      <c r="A421" s="41" t="n"/>
      <c r="B421" s="41" t="n"/>
    </row>
    <row r="422" ht="15.75" customHeight="1" s="60">
      <c r="A422" s="41" t="n"/>
      <c r="B422" s="41" t="n"/>
    </row>
    <row r="423" ht="15.75" customHeight="1" s="60">
      <c r="A423" s="41" t="n"/>
      <c r="B423" s="41" t="n"/>
    </row>
    <row r="424" ht="15.75" customHeight="1" s="60">
      <c r="A424" s="41" t="n"/>
      <c r="B424" s="41" t="n"/>
    </row>
    <row r="425" ht="15.75" customHeight="1" s="60">
      <c r="A425" s="41" t="n"/>
      <c r="B425" s="41" t="n"/>
    </row>
    <row r="426" ht="15.75" customHeight="1" s="60">
      <c r="A426" s="41" t="n"/>
      <c r="B426" s="41" t="n"/>
    </row>
    <row r="427" ht="15.75" customHeight="1" s="60">
      <c r="A427" s="41" t="n"/>
      <c r="B427" s="41" t="n"/>
    </row>
    <row r="428" ht="15.75" customHeight="1" s="60">
      <c r="A428" s="41" t="n"/>
      <c r="B428" s="41" t="n"/>
    </row>
    <row r="429" ht="15.75" customHeight="1" s="60">
      <c r="A429" s="41" t="n"/>
      <c r="B429" s="41" t="n"/>
    </row>
    <row r="430" ht="15.75" customHeight="1" s="60">
      <c r="A430" s="41" t="n"/>
      <c r="B430" s="41" t="n"/>
    </row>
    <row r="431" ht="15.75" customHeight="1" s="60">
      <c r="A431" s="41" t="n"/>
      <c r="B431" s="41" t="n"/>
    </row>
    <row r="432" ht="15.75" customHeight="1" s="60">
      <c r="A432" s="41" t="n"/>
      <c r="B432" s="41" t="n"/>
    </row>
    <row r="433" ht="15.75" customHeight="1" s="60">
      <c r="A433" s="41" t="n"/>
      <c r="B433" s="41" t="n"/>
    </row>
    <row r="434" ht="15.75" customHeight="1" s="60">
      <c r="A434" s="41" t="n"/>
      <c r="B434" s="41" t="n"/>
    </row>
    <row r="435" ht="15.75" customHeight="1" s="60">
      <c r="A435" s="41" t="n"/>
      <c r="B435" s="41" t="n"/>
    </row>
    <row r="436" ht="15.75" customHeight="1" s="60">
      <c r="A436" s="41" t="n"/>
      <c r="B436" s="41" t="n"/>
    </row>
    <row r="437" ht="15.75" customHeight="1" s="60">
      <c r="A437" s="41" t="n"/>
      <c r="B437" s="41" t="n"/>
    </row>
    <row r="438" ht="15.75" customHeight="1" s="60">
      <c r="A438" s="41" t="n"/>
      <c r="B438" s="41" t="n"/>
    </row>
    <row r="439" ht="15.75" customHeight="1" s="60">
      <c r="A439" s="41" t="n"/>
      <c r="B439" s="41" t="n"/>
    </row>
    <row r="440" ht="15.75" customHeight="1" s="60">
      <c r="A440" s="41" t="n"/>
      <c r="B440" s="41" t="n"/>
    </row>
    <row r="441" ht="15.75" customHeight="1" s="60">
      <c r="A441" s="41" t="n"/>
      <c r="B441" s="41" t="n"/>
    </row>
    <row r="442" ht="15.75" customHeight="1" s="60">
      <c r="A442" s="41" t="n"/>
      <c r="B442" s="41" t="n"/>
    </row>
    <row r="443" ht="15.75" customHeight="1" s="60">
      <c r="A443" s="41" t="n"/>
      <c r="B443" s="41" t="n"/>
    </row>
    <row r="444" ht="15.75" customHeight="1" s="60">
      <c r="A444" s="41" t="n"/>
      <c r="B444" s="41" t="n"/>
    </row>
    <row r="445" ht="15.75" customHeight="1" s="60">
      <c r="A445" s="41" t="n"/>
      <c r="B445" s="41" t="n"/>
    </row>
    <row r="446" ht="15.75" customHeight="1" s="60">
      <c r="A446" s="41" t="n"/>
      <c r="B446" s="41" t="n"/>
    </row>
    <row r="447" ht="15.75" customHeight="1" s="60">
      <c r="A447" s="41" t="n"/>
      <c r="B447" s="41" t="n"/>
    </row>
    <row r="448" ht="15.75" customHeight="1" s="60">
      <c r="A448" s="41" t="n"/>
      <c r="B448" s="41" t="n"/>
    </row>
    <row r="449" ht="15.75" customHeight="1" s="60">
      <c r="A449" s="41" t="n"/>
      <c r="B449" s="41" t="n"/>
    </row>
    <row r="450" ht="15.75" customHeight="1" s="60">
      <c r="A450" s="41" t="n"/>
      <c r="B450" s="41" t="n"/>
    </row>
    <row r="451" ht="15.75" customHeight="1" s="60">
      <c r="A451" s="41" t="n"/>
      <c r="B451" s="41" t="n"/>
    </row>
    <row r="452" ht="15.75" customHeight="1" s="60">
      <c r="A452" s="41" t="n"/>
      <c r="B452" s="41" t="n"/>
    </row>
    <row r="453" ht="15.75" customHeight="1" s="60">
      <c r="A453" s="41" t="n"/>
      <c r="B453" s="41" t="n"/>
    </row>
    <row r="454" ht="15.75" customHeight="1" s="60">
      <c r="A454" s="41" t="n"/>
      <c r="B454" s="41" t="n"/>
    </row>
    <row r="455" ht="15.75" customHeight="1" s="60">
      <c r="A455" s="41" t="n"/>
      <c r="B455" s="41" t="n"/>
    </row>
    <row r="456" ht="15.75" customHeight="1" s="60">
      <c r="A456" s="41" t="n"/>
      <c r="B456" s="41" t="n"/>
    </row>
    <row r="457" ht="15.75" customHeight="1" s="60">
      <c r="A457" s="41" t="n"/>
      <c r="B457" s="41" t="n"/>
    </row>
    <row r="458" ht="15.75" customHeight="1" s="60">
      <c r="A458" s="41" t="n"/>
      <c r="B458" s="41" t="n"/>
    </row>
    <row r="459" ht="15.75" customHeight="1" s="60">
      <c r="A459" s="41" t="n"/>
      <c r="B459" s="41" t="n"/>
    </row>
    <row r="460" ht="15.75" customHeight="1" s="60">
      <c r="A460" s="41" t="n"/>
      <c r="B460" s="41" t="n"/>
    </row>
    <row r="461" ht="15.75" customHeight="1" s="60">
      <c r="A461" s="41" t="n"/>
      <c r="B461" s="41" t="n"/>
    </row>
    <row r="462" ht="15.75" customHeight="1" s="60">
      <c r="A462" s="41" t="n"/>
      <c r="B462" s="41" t="n"/>
    </row>
    <row r="463" ht="15.75" customHeight="1" s="60">
      <c r="A463" s="41" t="n"/>
      <c r="B463" s="41" t="n"/>
    </row>
    <row r="464" ht="15.75" customHeight="1" s="60">
      <c r="A464" s="41" t="n"/>
      <c r="B464" s="41" t="n"/>
    </row>
    <row r="465" ht="15.75" customHeight="1" s="60">
      <c r="A465" s="41" t="n"/>
      <c r="B465" s="41" t="n"/>
    </row>
    <row r="466" ht="15.75" customHeight="1" s="60">
      <c r="A466" s="41" t="n"/>
      <c r="B466" s="41" t="n"/>
    </row>
    <row r="467" ht="15.75" customHeight="1" s="60">
      <c r="A467" s="41" t="n"/>
      <c r="B467" s="41" t="n"/>
    </row>
    <row r="468" ht="15.75" customHeight="1" s="60">
      <c r="A468" s="41" t="n"/>
      <c r="B468" s="41" t="n"/>
    </row>
    <row r="469" ht="15.75" customHeight="1" s="60">
      <c r="A469" s="41" t="n"/>
      <c r="B469" s="41" t="n"/>
    </row>
    <row r="470" ht="15.75" customHeight="1" s="60">
      <c r="A470" s="41" t="n"/>
      <c r="B470" s="41" t="n"/>
    </row>
    <row r="471" ht="15.75" customHeight="1" s="60">
      <c r="A471" s="41" t="n"/>
      <c r="B471" s="41" t="n"/>
    </row>
    <row r="472" ht="15.75" customHeight="1" s="60">
      <c r="A472" s="41" t="n"/>
      <c r="B472" s="41" t="n"/>
    </row>
    <row r="473" ht="15.75" customHeight="1" s="60">
      <c r="A473" s="41" t="n"/>
      <c r="B473" s="41" t="n"/>
    </row>
    <row r="474" ht="15.75" customHeight="1" s="60">
      <c r="A474" s="41" t="n"/>
      <c r="B474" s="41" t="n"/>
    </row>
    <row r="475" ht="15.75" customHeight="1" s="60">
      <c r="A475" s="41" t="n"/>
      <c r="B475" s="41" t="n"/>
    </row>
    <row r="476" ht="15.75" customHeight="1" s="60">
      <c r="A476" s="41" t="n"/>
      <c r="B476" s="41" t="n"/>
    </row>
    <row r="477" ht="15.75" customHeight="1" s="60">
      <c r="A477" s="41" t="n"/>
      <c r="B477" s="41" t="n"/>
    </row>
    <row r="478" ht="15.75" customHeight="1" s="60">
      <c r="A478" s="41" t="n"/>
      <c r="B478" s="41" t="n"/>
    </row>
    <row r="479" ht="15.75" customHeight="1" s="60">
      <c r="A479" s="41" t="n"/>
      <c r="B479" s="41" t="n"/>
    </row>
    <row r="480" ht="15.75" customHeight="1" s="60">
      <c r="A480" s="41" t="n"/>
      <c r="B480" s="41" t="n"/>
    </row>
    <row r="481" ht="15.75" customHeight="1" s="60">
      <c r="A481" s="41" t="n"/>
      <c r="B481" s="41" t="n"/>
    </row>
    <row r="482" ht="15.75" customHeight="1" s="60">
      <c r="A482" s="41" t="n"/>
      <c r="B482" s="41" t="n"/>
    </row>
    <row r="483" ht="15.75" customHeight="1" s="60">
      <c r="A483" s="41" t="n"/>
      <c r="B483" s="41" t="n"/>
    </row>
    <row r="484" ht="15.75" customHeight="1" s="60">
      <c r="A484" s="41" t="n"/>
      <c r="B484" s="41" t="n"/>
    </row>
    <row r="485" ht="15.75" customHeight="1" s="60">
      <c r="A485" s="41" t="n"/>
      <c r="B485" s="41" t="n"/>
    </row>
    <row r="486" ht="15.75" customHeight="1" s="60">
      <c r="A486" s="41" t="n"/>
      <c r="B486" s="41" t="n"/>
    </row>
    <row r="487" ht="15.75" customHeight="1" s="60">
      <c r="A487" s="41" t="n"/>
      <c r="B487" s="41" t="n"/>
    </row>
    <row r="488" ht="15.75" customHeight="1" s="60">
      <c r="A488" s="41" t="n"/>
      <c r="B488" s="41" t="n"/>
    </row>
    <row r="489" ht="15.75" customHeight="1" s="60">
      <c r="A489" s="41" t="n"/>
      <c r="B489" s="41" t="n"/>
    </row>
    <row r="490" ht="15.75" customHeight="1" s="60">
      <c r="A490" s="41" t="n"/>
      <c r="B490" s="41" t="n"/>
    </row>
    <row r="491" ht="15.75" customHeight="1" s="60">
      <c r="A491" s="41" t="n"/>
      <c r="B491" s="41" t="n"/>
    </row>
    <row r="492" ht="15.75" customHeight="1" s="60">
      <c r="A492" s="41" t="n"/>
      <c r="B492" s="41" t="n"/>
    </row>
    <row r="493" ht="15.75" customHeight="1" s="60">
      <c r="A493" s="41" t="n"/>
      <c r="B493" s="41" t="n"/>
    </row>
    <row r="494" ht="15.75" customHeight="1" s="60">
      <c r="A494" s="41" t="n"/>
      <c r="B494" s="41" t="n"/>
    </row>
    <row r="495" ht="15.75" customHeight="1" s="60">
      <c r="A495" s="41" t="n"/>
      <c r="B495" s="41" t="n"/>
    </row>
    <row r="496" ht="15.75" customHeight="1" s="60">
      <c r="A496" s="41" t="n"/>
      <c r="B496" s="41" t="n"/>
    </row>
    <row r="497" ht="15.75" customHeight="1" s="60">
      <c r="A497" s="41" t="n"/>
      <c r="B497" s="41" t="n"/>
    </row>
    <row r="498" ht="15.75" customHeight="1" s="60">
      <c r="A498" s="41" t="n"/>
      <c r="B498" s="41" t="n"/>
    </row>
    <row r="499" ht="15.75" customHeight="1" s="60">
      <c r="A499" s="41" t="n"/>
      <c r="B499" s="41" t="n"/>
    </row>
    <row r="500" ht="15.75" customHeight="1" s="60">
      <c r="A500" s="41" t="n"/>
      <c r="B500" s="41" t="n"/>
    </row>
    <row r="501" ht="15.75" customHeight="1" s="60">
      <c r="A501" s="41" t="n"/>
      <c r="B501" s="41" t="n"/>
    </row>
    <row r="502" ht="15.75" customHeight="1" s="60">
      <c r="A502" s="41" t="n"/>
      <c r="B502" s="41" t="n"/>
    </row>
    <row r="503" ht="15.75" customHeight="1" s="60">
      <c r="A503" s="41" t="n"/>
      <c r="B503" s="41" t="n"/>
    </row>
    <row r="504" ht="15.75" customHeight="1" s="60">
      <c r="A504" s="41" t="n"/>
      <c r="B504" s="41" t="n"/>
    </row>
    <row r="505" ht="15.75" customHeight="1" s="60">
      <c r="A505" s="41" t="n"/>
      <c r="B505" s="41" t="n"/>
    </row>
    <row r="506" ht="15.75" customHeight="1" s="60">
      <c r="A506" s="41" t="n"/>
      <c r="B506" s="41" t="n"/>
    </row>
    <row r="507" ht="15.75" customHeight="1" s="60">
      <c r="A507" s="41" t="n"/>
      <c r="B507" s="41" t="n"/>
    </row>
    <row r="508" ht="15.75" customHeight="1" s="60">
      <c r="A508" s="41" t="n"/>
      <c r="B508" s="41" t="n"/>
    </row>
    <row r="509" ht="15.75" customHeight="1" s="60">
      <c r="A509" s="41" t="n"/>
      <c r="B509" s="41" t="n"/>
    </row>
    <row r="510" ht="15.75" customHeight="1" s="60">
      <c r="A510" s="41" t="n"/>
      <c r="B510" s="41" t="n"/>
    </row>
    <row r="511" ht="15.75" customHeight="1" s="60">
      <c r="A511" s="41" t="n"/>
      <c r="B511" s="41" t="n"/>
    </row>
    <row r="512" ht="15.75" customHeight="1" s="60">
      <c r="A512" s="41" t="n"/>
      <c r="B512" s="41" t="n"/>
    </row>
    <row r="513" ht="15.75" customHeight="1" s="60">
      <c r="A513" s="41" t="n"/>
      <c r="B513" s="41" t="n"/>
    </row>
    <row r="514" ht="15.75" customHeight="1" s="60">
      <c r="A514" s="41" t="n"/>
      <c r="B514" s="41" t="n"/>
    </row>
    <row r="515" ht="15.75" customHeight="1" s="60">
      <c r="A515" s="41" t="n"/>
      <c r="B515" s="41" t="n"/>
    </row>
    <row r="516" ht="15.75" customHeight="1" s="60">
      <c r="A516" s="41" t="n"/>
      <c r="B516" s="41" t="n"/>
    </row>
    <row r="517" ht="15.75" customHeight="1" s="60">
      <c r="A517" s="41" t="n"/>
      <c r="B517" s="41" t="n"/>
    </row>
    <row r="518" ht="15.75" customHeight="1" s="60">
      <c r="A518" s="41" t="n"/>
      <c r="B518" s="41" t="n"/>
    </row>
    <row r="519" ht="15.75" customHeight="1" s="60">
      <c r="A519" s="41" t="n"/>
      <c r="B519" s="41" t="n"/>
    </row>
    <row r="520" ht="15.75" customHeight="1" s="60">
      <c r="A520" s="41" t="n"/>
      <c r="B520" s="41" t="n"/>
    </row>
    <row r="521" ht="15.75" customHeight="1" s="60">
      <c r="A521" s="41" t="n"/>
      <c r="B521" s="41" t="n"/>
    </row>
    <row r="522" ht="15.75" customHeight="1" s="60">
      <c r="A522" s="41" t="n"/>
      <c r="B522" s="41" t="n"/>
    </row>
    <row r="523" ht="15.75" customHeight="1" s="60">
      <c r="A523" s="41" t="n"/>
      <c r="B523" s="41" t="n"/>
    </row>
    <row r="524" ht="15.75" customHeight="1" s="60">
      <c r="A524" s="41" t="n"/>
      <c r="B524" s="41" t="n"/>
    </row>
    <row r="525" ht="15.75" customHeight="1" s="60">
      <c r="A525" s="41" t="n"/>
      <c r="B525" s="41" t="n"/>
    </row>
    <row r="526" ht="15.75" customHeight="1" s="60">
      <c r="A526" s="41" t="n"/>
      <c r="B526" s="41" t="n"/>
    </row>
    <row r="527" ht="15.75" customHeight="1" s="60">
      <c r="A527" s="41" t="n"/>
      <c r="B527" s="41" t="n"/>
    </row>
    <row r="528" ht="15.75" customHeight="1" s="60">
      <c r="A528" s="41" t="n"/>
      <c r="B528" s="41" t="n"/>
    </row>
    <row r="529" ht="15.75" customHeight="1" s="60">
      <c r="A529" s="41" t="n"/>
      <c r="B529" s="41" t="n"/>
    </row>
    <row r="530" ht="15.75" customHeight="1" s="60">
      <c r="A530" s="41" t="n"/>
      <c r="B530" s="41" t="n"/>
    </row>
    <row r="531" ht="15.75" customHeight="1" s="60">
      <c r="A531" s="41" t="n"/>
      <c r="B531" s="41" t="n"/>
    </row>
    <row r="532" ht="15.75" customHeight="1" s="60">
      <c r="A532" s="41" t="n"/>
      <c r="B532" s="41" t="n"/>
    </row>
    <row r="533" ht="15.75" customHeight="1" s="60">
      <c r="A533" s="41" t="n"/>
      <c r="B533" s="41" t="n"/>
    </row>
    <row r="534" ht="15.75" customHeight="1" s="60">
      <c r="A534" s="41" t="n"/>
      <c r="B534" s="41" t="n"/>
    </row>
    <row r="535" ht="15.75" customHeight="1" s="60">
      <c r="A535" s="41" t="n"/>
      <c r="B535" s="41" t="n"/>
    </row>
    <row r="536" ht="15.75" customHeight="1" s="60">
      <c r="A536" s="41" t="n"/>
      <c r="B536" s="41" t="n"/>
    </row>
    <row r="537" ht="15.75" customHeight="1" s="60">
      <c r="A537" s="41" t="n"/>
      <c r="B537" s="41" t="n"/>
    </row>
    <row r="538" ht="15.75" customHeight="1" s="60">
      <c r="A538" s="41" t="n"/>
      <c r="B538" s="41" t="n"/>
    </row>
    <row r="539" ht="15.75" customHeight="1" s="60">
      <c r="A539" s="41" t="n"/>
      <c r="B539" s="41" t="n"/>
    </row>
    <row r="540" ht="15.75" customHeight="1" s="60">
      <c r="A540" s="41" t="n"/>
      <c r="B540" s="41" t="n"/>
    </row>
    <row r="541" ht="15.75" customHeight="1" s="60">
      <c r="A541" s="41" t="n"/>
      <c r="B541" s="41" t="n"/>
    </row>
    <row r="542" ht="15.75" customHeight="1" s="60">
      <c r="A542" s="41" t="n"/>
      <c r="B542" s="41" t="n"/>
    </row>
    <row r="543" ht="15.75" customHeight="1" s="60">
      <c r="A543" s="41" t="n"/>
      <c r="B543" s="41" t="n"/>
    </row>
    <row r="544" ht="15.75" customHeight="1" s="60">
      <c r="A544" s="41" t="n"/>
      <c r="B544" s="41" t="n"/>
    </row>
    <row r="545" ht="15.75" customHeight="1" s="60">
      <c r="A545" s="41" t="n"/>
      <c r="B545" s="41" t="n"/>
    </row>
    <row r="546" ht="15.75" customHeight="1" s="60">
      <c r="A546" s="41" t="n"/>
      <c r="B546" s="41" t="n"/>
    </row>
    <row r="547" ht="15.75" customHeight="1" s="60">
      <c r="A547" s="41" t="n"/>
      <c r="B547" s="41" t="n"/>
    </row>
    <row r="548" ht="15.75" customHeight="1" s="60">
      <c r="A548" s="41" t="n"/>
      <c r="B548" s="41" t="n"/>
    </row>
    <row r="549" ht="15.75" customHeight="1" s="60">
      <c r="A549" s="41" t="n"/>
      <c r="B549" s="41" t="n"/>
    </row>
    <row r="550" ht="15.75" customHeight="1" s="60">
      <c r="A550" s="41" t="n"/>
      <c r="B550" s="41" t="n"/>
    </row>
    <row r="551" ht="15.75" customHeight="1" s="60">
      <c r="A551" s="41" t="n"/>
      <c r="B551" s="41" t="n"/>
    </row>
    <row r="552" ht="15.75" customHeight="1" s="60">
      <c r="A552" s="41" t="n"/>
      <c r="B552" s="41" t="n"/>
    </row>
    <row r="553" ht="15.75" customHeight="1" s="60">
      <c r="A553" s="41" t="n"/>
      <c r="B553" s="41" t="n"/>
    </row>
    <row r="554" ht="15.75" customHeight="1" s="60">
      <c r="A554" s="41" t="n"/>
      <c r="B554" s="41" t="n"/>
    </row>
    <row r="555" ht="15.75" customHeight="1" s="60">
      <c r="A555" s="41" t="n"/>
      <c r="B555" s="41" t="n"/>
    </row>
    <row r="556" ht="15.75" customHeight="1" s="60">
      <c r="A556" s="41" t="n"/>
      <c r="B556" s="41" t="n"/>
    </row>
    <row r="557" ht="15.75" customHeight="1" s="60">
      <c r="A557" s="41" t="n"/>
      <c r="B557" s="41" t="n"/>
    </row>
    <row r="558" ht="15.75" customHeight="1" s="60">
      <c r="A558" s="41" t="n"/>
      <c r="B558" s="41" t="n"/>
    </row>
    <row r="559" ht="15.75" customHeight="1" s="60">
      <c r="A559" s="41" t="n"/>
      <c r="B559" s="41" t="n"/>
    </row>
    <row r="560" ht="15.75" customHeight="1" s="60">
      <c r="A560" s="41" t="n"/>
      <c r="B560" s="41" t="n"/>
    </row>
    <row r="561" ht="15.75" customHeight="1" s="60">
      <c r="A561" s="41" t="n"/>
      <c r="B561" s="41" t="n"/>
    </row>
    <row r="562" ht="15.75" customHeight="1" s="60">
      <c r="A562" s="41" t="n"/>
      <c r="B562" s="41" t="n"/>
    </row>
    <row r="563" ht="15.75" customHeight="1" s="60">
      <c r="A563" s="41" t="n"/>
      <c r="B563" s="41" t="n"/>
    </row>
    <row r="564" ht="15.75" customHeight="1" s="60">
      <c r="A564" s="41" t="n"/>
      <c r="B564" s="41" t="n"/>
    </row>
    <row r="565" ht="15.75" customHeight="1" s="60">
      <c r="A565" s="41" t="n"/>
      <c r="B565" s="41" t="n"/>
    </row>
    <row r="566" ht="15.75" customHeight="1" s="60">
      <c r="A566" s="41" t="n"/>
      <c r="B566" s="41" t="n"/>
    </row>
    <row r="567" ht="15.75" customHeight="1" s="60">
      <c r="A567" s="41" t="n"/>
      <c r="B567" s="41" t="n"/>
    </row>
    <row r="568" ht="15.75" customHeight="1" s="60">
      <c r="A568" s="41" t="n"/>
      <c r="B568" s="41" t="n"/>
    </row>
    <row r="569" ht="15.75" customHeight="1" s="60">
      <c r="A569" s="41" t="n"/>
      <c r="B569" s="41" t="n"/>
    </row>
    <row r="570" ht="15.75" customHeight="1" s="60">
      <c r="A570" s="41" t="n"/>
      <c r="B570" s="41" t="n"/>
    </row>
    <row r="571" ht="15.75" customHeight="1" s="60">
      <c r="A571" s="41" t="n"/>
      <c r="B571" s="41" t="n"/>
    </row>
    <row r="572" ht="15.75" customHeight="1" s="60">
      <c r="A572" s="41" t="n"/>
      <c r="B572" s="41" t="n"/>
    </row>
    <row r="573" ht="15.75" customHeight="1" s="60">
      <c r="A573" s="41" t="n"/>
      <c r="B573" s="41" t="n"/>
    </row>
    <row r="574" ht="15.75" customHeight="1" s="60">
      <c r="A574" s="41" t="n"/>
      <c r="B574" s="41" t="n"/>
    </row>
    <row r="575" ht="15.75" customHeight="1" s="60">
      <c r="A575" s="41" t="n"/>
      <c r="B575" s="41" t="n"/>
    </row>
    <row r="576" ht="15.75" customHeight="1" s="60">
      <c r="A576" s="41" t="n"/>
      <c r="B576" s="41" t="n"/>
    </row>
    <row r="577" ht="15.75" customHeight="1" s="60">
      <c r="A577" s="41" t="n"/>
      <c r="B577" s="41" t="n"/>
    </row>
    <row r="578" ht="15.75" customHeight="1" s="60">
      <c r="A578" s="41" t="n"/>
      <c r="B578" s="41" t="n"/>
    </row>
    <row r="579" ht="15.75" customHeight="1" s="60">
      <c r="A579" s="41" t="n"/>
      <c r="B579" s="41" t="n"/>
    </row>
    <row r="580" ht="15.75" customHeight="1" s="60">
      <c r="A580" s="41" t="n"/>
      <c r="B580" s="41" t="n"/>
    </row>
    <row r="581" ht="15.75" customHeight="1" s="60">
      <c r="A581" s="41" t="n"/>
      <c r="B581" s="41" t="n"/>
    </row>
    <row r="582" ht="15.75" customHeight="1" s="60">
      <c r="A582" s="41" t="n"/>
      <c r="B582" s="41" t="n"/>
    </row>
    <row r="583" ht="15.75" customHeight="1" s="60">
      <c r="A583" s="41" t="n"/>
      <c r="B583" s="41" t="n"/>
    </row>
    <row r="584" ht="15.75" customHeight="1" s="60">
      <c r="A584" s="41" t="n"/>
      <c r="B584" s="41" t="n"/>
    </row>
    <row r="585" ht="15.75" customHeight="1" s="60">
      <c r="A585" s="41" t="n"/>
      <c r="B585" s="41" t="n"/>
    </row>
    <row r="586" ht="15.75" customHeight="1" s="60">
      <c r="A586" s="41" t="n"/>
      <c r="B586" s="41" t="n"/>
    </row>
    <row r="587" ht="15.75" customHeight="1" s="60">
      <c r="A587" s="41" t="n"/>
      <c r="B587" s="41" t="n"/>
    </row>
    <row r="588" ht="15.75" customHeight="1" s="60">
      <c r="A588" s="41" t="n"/>
      <c r="B588" s="41" t="n"/>
    </row>
    <row r="589" ht="15.75" customHeight="1" s="60">
      <c r="A589" s="41" t="n"/>
      <c r="B589" s="41" t="n"/>
    </row>
    <row r="590" ht="15.75" customHeight="1" s="60">
      <c r="A590" s="41" t="n"/>
      <c r="B590" s="41" t="n"/>
    </row>
    <row r="591" ht="15.75" customHeight="1" s="60">
      <c r="A591" s="41" t="n"/>
      <c r="B591" s="41" t="n"/>
    </row>
    <row r="592" ht="15.75" customHeight="1" s="60">
      <c r="A592" s="41" t="n"/>
      <c r="B592" s="41" t="n"/>
    </row>
    <row r="593" ht="15.75" customHeight="1" s="60">
      <c r="A593" s="41" t="n"/>
      <c r="B593" s="41" t="n"/>
    </row>
    <row r="594" ht="15.75" customHeight="1" s="60">
      <c r="A594" s="41" t="n"/>
      <c r="B594" s="41" t="n"/>
    </row>
    <row r="595" ht="15.75" customHeight="1" s="60">
      <c r="A595" s="41" t="n"/>
      <c r="B595" s="41" t="n"/>
    </row>
    <row r="596" ht="15.75" customHeight="1" s="60">
      <c r="A596" s="41" t="n"/>
      <c r="B596" s="41" t="n"/>
    </row>
    <row r="597" ht="15.75" customHeight="1" s="60">
      <c r="A597" s="41" t="n"/>
      <c r="B597" s="41" t="n"/>
    </row>
    <row r="598" ht="15.75" customHeight="1" s="60">
      <c r="A598" s="41" t="n"/>
      <c r="B598" s="41" t="n"/>
    </row>
    <row r="599" ht="15.75" customHeight="1" s="60">
      <c r="A599" s="41" t="n"/>
      <c r="B599" s="41" t="n"/>
    </row>
    <row r="600" ht="15.75" customHeight="1" s="60">
      <c r="A600" s="41" t="n"/>
      <c r="B600" s="41" t="n"/>
    </row>
    <row r="601" ht="15.75" customHeight="1" s="60">
      <c r="A601" s="41" t="n"/>
      <c r="B601" s="41" t="n"/>
    </row>
    <row r="602" ht="15.75" customHeight="1" s="60">
      <c r="A602" s="41" t="n"/>
      <c r="B602" s="41" t="n"/>
    </row>
    <row r="603" ht="15.75" customHeight="1" s="60">
      <c r="A603" s="41" t="n"/>
      <c r="B603" s="41" t="n"/>
    </row>
    <row r="604" ht="15.75" customHeight="1" s="60">
      <c r="A604" s="41" t="n"/>
      <c r="B604" s="41" t="n"/>
    </row>
    <row r="605" ht="15.75" customHeight="1" s="60">
      <c r="A605" s="41" t="n"/>
      <c r="B605" s="41" t="n"/>
    </row>
    <row r="606" ht="15.75" customHeight="1" s="60">
      <c r="A606" s="41" t="n"/>
      <c r="B606" s="41" t="n"/>
    </row>
    <row r="607" ht="15.75" customHeight="1" s="60">
      <c r="A607" s="41" t="n"/>
      <c r="B607" s="41" t="n"/>
    </row>
    <row r="608" ht="15.75" customHeight="1" s="60">
      <c r="A608" s="41" t="n"/>
      <c r="B608" s="41" t="n"/>
    </row>
    <row r="609" ht="15.75" customHeight="1" s="60">
      <c r="A609" s="41" t="n"/>
      <c r="B609" s="41" t="n"/>
    </row>
    <row r="610" ht="15.75" customHeight="1" s="60">
      <c r="A610" s="41" t="n"/>
      <c r="B610" s="41" t="n"/>
    </row>
    <row r="611" ht="15.75" customHeight="1" s="60">
      <c r="A611" s="41" t="n"/>
      <c r="B611" s="41" t="n"/>
    </row>
    <row r="612" ht="15.75" customHeight="1" s="60">
      <c r="A612" s="41" t="n"/>
      <c r="B612" s="41" t="n"/>
    </row>
    <row r="613" ht="15.75" customHeight="1" s="60">
      <c r="A613" s="41" t="n"/>
      <c r="B613" s="41" t="n"/>
    </row>
    <row r="614" ht="15.75" customHeight="1" s="60">
      <c r="A614" s="41" t="n"/>
      <c r="B614" s="41" t="n"/>
    </row>
    <row r="615" ht="15.75" customHeight="1" s="60">
      <c r="A615" s="41" t="n"/>
      <c r="B615" s="41" t="n"/>
    </row>
    <row r="616" ht="15.75" customHeight="1" s="60">
      <c r="A616" s="41" t="n"/>
      <c r="B616" s="41" t="n"/>
    </row>
    <row r="617" ht="15.75" customHeight="1" s="60">
      <c r="A617" s="41" t="n"/>
      <c r="B617" s="41" t="n"/>
    </row>
    <row r="618" ht="15.75" customHeight="1" s="60">
      <c r="A618" s="41" t="n"/>
      <c r="B618" s="41" t="n"/>
    </row>
    <row r="619" ht="15.75" customHeight="1" s="60">
      <c r="A619" s="41" t="n"/>
      <c r="B619" s="41" t="n"/>
    </row>
    <row r="620" ht="15.75" customHeight="1" s="60">
      <c r="A620" s="41" t="n"/>
      <c r="B620" s="41" t="n"/>
    </row>
    <row r="621" ht="15.75" customHeight="1" s="60">
      <c r="A621" s="41" t="n"/>
      <c r="B621" s="41" t="n"/>
    </row>
    <row r="622" ht="15.75" customHeight="1" s="60">
      <c r="A622" s="41" t="n"/>
      <c r="B622" s="41" t="n"/>
    </row>
    <row r="623" ht="15.75" customHeight="1" s="60">
      <c r="A623" s="41" t="n"/>
      <c r="B623" s="41" t="n"/>
    </row>
    <row r="624" ht="15.75" customHeight="1" s="60">
      <c r="A624" s="41" t="n"/>
      <c r="B624" s="41" t="n"/>
    </row>
    <row r="625" ht="15.75" customHeight="1" s="60">
      <c r="A625" s="41" t="n"/>
      <c r="B625" s="41" t="n"/>
    </row>
    <row r="626" ht="15.75" customHeight="1" s="60">
      <c r="A626" s="41" t="n"/>
      <c r="B626" s="41" t="n"/>
    </row>
    <row r="627" ht="15.75" customHeight="1" s="60">
      <c r="A627" s="41" t="n"/>
      <c r="B627" s="41" t="n"/>
    </row>
    <row r="628" ht="15.75" customHeight="1" s="60">
      <c r="A628" s="41" t="n"/>
      <c r="B628" s="41" t="n"/>
    </row>
    <row r="629" ht="15.75" customHeight="1" s="60">
      <c r="A629" s="41" t="n"/>
      <c r="B629" s="41" t="n"/>
    </row>
    <row r="630" ht="15.75" customHeight="1" s="60">
      <c r="A630" s="41" t="n"/>
      <c r="B630" s="41" t="n"/>
    </row>
    <row r="631" ht="15.75" customHeight="1" s="60">
      <c r="A631" s="41" t="n"/>
      <c r="B631" s="41" t="n"/>
    </row>
    <row r="632" ht="15.75" customHeight="1" s="60">
      <c r="A632" s="41" t="n"/>
      <c r="B632" s="41" t="n"/>
    </row>
    <row r="633" ht="15.75" customHeight="1" s="60">
      <c r="A633" s="41" t="n"/>
      <c r="B633" s="41" t="n"/>
    </row>
    <row r="634" ht="15.75" customHeight="1" s="60">
      <c r="A634" s="41" t="n"/>
      <c r="B634" s="41" t="n"/>
    </row>
    <row r="635" ht="15.75" customHeight="1" s="60">
      <c r="A635" s="41" t="n"/>
      <c r="B635" s="41" t="n"/>
    </row>
    <row r="636" ht="15.75" customHeight="1" s="60">
      <c r="A636" s="41" t="n"/>
      <c r="B636" s="41" t="n"/>
    </row>
    <row r="637" ht="15.75" customHeight="1" s="60">
      <c r="A637" s="41" t="n"/>
      <c r="B637" s="41" t="n"/>
    </row>
    <row r="638" ht="15.75" customHeight="1" s="60">
      <c r="A638" s="41" t="n"/>
      <c r="B638" s="41" t="n"/>
    </row>
    <row r="639" ht="15.75" customHeight="1" s="60">
      <c r="A639" s="41" t="n"/>
      <c r="B639" s="41" t="n"/>
    </row>
    <row r="640" ht="15.75" customHeight="1" s="60">
      <c r="A640" s="41" t="n"/>
      <c r="B640" s="41" t="n"/>
    </row>
    <row r="641" ht="15.75" customHeight="1" s="60">
      <c r="A641" s="41" t="n"/>
      <c r="B641" s="41" t="n"/>
    </row>
    <row r="642" ht="15.75" customHeight="1" s="60">
      <c r="A642" s="41" t="n"/>
      <c r="B642" s="41" t="n"/>
    </row>
    <row r="643" ht="15.75" customHeight="1" s="60">
      <c r="A643" s="41" t="n"/>
      <c r="B643" s="41" t="n"/>
    </row>
    <row r="644" ht="15.75" customHeight="1" s="60">
      <c r="A644" s="41" t="n"/>
      <c r="B644" s="41" t="n"/>
    </row>
    <row r="645" ht="15.75" customHeight="1" s="60">
      <c r="A645" s="41" t="n"/>
      <c r="B645" s="41" t="n"/>
    </row>
    <row r="646" ht="15.75" customHeight="1" s="60">
      <c r="A646" s="41" t="n"/>
      <c r="B646" s="41" t="n"/>
    </row>
    <row r="647" ht="15.75" customHeight="1" s="60">
      <c r="A647" s="41" t="n"/>
      <c r="B647" s="41" t="n"/>
    </row>
    <row r="648" ht="15.75" customHeight="1" s="60">
      <c r="A648" s="41" t="n"/>
      <c r="B648" s="41" t="n"/>
    </row>
    <row r="649" ht="15.75" customHeight="1" s="60">
      <c r="A649" s="41" t="n"/>
      <c r="B649" s="41" t="n"/>
    </row>
    <row r="650" ht="15.75" customHeight="1" s="60">
      <c r="A650" s="41" t="n"/>
      <c r="B650" s="41" t="n"/>
    </row>
    <row r="651" ht="15.75" customHeight="1" s="60">
      <c r="A651" s="41" t="n"/>
      <c r="B651" s="41" t="n"/>
    </row>
    <row r="652" ht="15.75" customHeight="1" s="60">
      <c r="A652" s="41" t="n"/>
      <c r="B652" s="41" t="n"/>
    </row>
    <row r="653" ht="15.75" customHeight="1" s="60">
      <c r="A653" s="41" t="n"/>
      <c r="B653" s="41" t="n"/>
    </row>
    <row r="654" ht="15.75" customHeight="1" s="60">
      <c r="A654" s="41" t="n"/>
      <c r="B654" s="41" t="n"/>
    </row>
    <row r="655" ht="15.75" customHeight="1" s="60">
      <c r="A655" s="41" t="n"/>
      <c r="B655" s="41" t="n"/>
    </row>
    <row r="656" ht="15.75" customHeight="1" s="60">
      <c r="A656" s="41" t="n"/>
      <c r="B656" s="41" t="n"/>
    </row>
    <row r="657" ht="15.75" customHeight="1" s="60">
      <c r="A657" s="41" t="n"/>
      <c r="B657" s="41" t="n"/>
    </row>
    <row r="658" ht="15.75" customHeight="1" s="60">
      <c r="A658" s="41" t="n"/>
      <c r="B658" s="41" t="n"/>
    </row>
    <row r="659" ht="15.75" customHeight="1" s="60">
      <c r="A659" s="41" t="n"/>
      <c r="B659" s="41" t="n"/>
    </row>
    <row r="660" ht="15.75" customHeight="1" s="60">
      <c r="A660" s="41" t="n"/>
      <c r="B660" s="41" t="n"/>
    </row>
    <row r="661" ht="15.75" customHeight="1" s="60">
      <c r="A661" s="41" t="n"/>
      <c r="B661" s="41" t="n"/>
    </row>
    <row r="662" ht="15.75" customHeight="1" s="60">
      <c r="A662" s="41" t="n"/>
      <c r="B662" s="41" t="n"/>
    </row>
    <row r="663" ht="15.75" customHeight="1" s="60">
      <c r="A663" s="41" t="n"/>
      <c r="B663" s="41" t="n"/>
    </row>
    <row r="664" ht="15.75" customHeight="1" s="60">
      <c r="A664" s="41" t="n"/>
      <c r="B664" s="41" t="n"/>
    </row>
    <row r="665" ht="15.75" customHeight="1" s="60">
      <c r="A665" s="41" t="n"/>
      <c r="B665" s="41" t="n"/>
    </row>
    <row r="666" ht="15.75" customHeight="1" s="60">
      <c r="A666" s="41" t="n"/>
      <c r="B666" s="41" t="n"/>
    </row>
    <row r="667" ht="15.75" customHeight="1" s="60">
      <c r="A667" s="41" t="n"/>
      <c r="B667" s="41" t="n"/>
    </row>
    <row r="668" ht="15.75" customHeight="1" s="60">
      <c r="A668" s="41" t="n"/>
      <c r="B668" s="41" t="n"/>
    </row>
    <row r="669" ht="15.75" customHeight="1" s="60">
      <c r="A669" s="41" t="n"/>
      <c r="B669" s="41" t="n"/>
    </row>
    <row r="670" ht="15.75" customHeight="1" s="60">
      <c r="A670" s="41" t="n"/>
      <c r="B670" s="41" t="n"/>
    </row>
    <row r="671" ht="15.75" customHeight="1" s="60">
      <c r="A671" s="41" t="n"/>
      <c r="B671" s="41" t="n"/>
    </row>
    <row r="672" ht="15.75" customHeight="1" s="60">
      <c r="A672" s="41" t="n"/>
      <c r="B672" s="41" t="n"/>
    </row>
    <row r="673" ht="15.75" customHeight="1" s="60">
      <c r="A673" s="41" t="n"/>
      <c r="B673" s="41" t="n"/>
    </row>
    <row r="674" ht="15.75" customHeight="1" s="60">
      <c r="A674" s="41" t="n"/>
      <c r="B674" s="41" t="n"/>
    </row>
    <row r="675" ht="15.75" customHeight="1" s="60">
      <c r="A675" s="41" t="n"/>
      <c r="B675" s="41" t="n"/>
    </row>
    <row r="676" ht="15.75" customHeight="1" s="60">
      <c r="A676" s="41" t="n"/>
      <c r="B676" s="41" t="n"/>
    </row>
    <row r="677" ht="15.75" customHeight="1" s="60">
      <c r="A677" s="41" t="n"/>
      <c r="B677" s="41" t="n"/>
    </row>
    <row r="678" ht="15.75" customHeight="1" s="60">
      <c r="A678" s="41" t="n"/>
      <c r="B678" s="41" t="n"/>
    </row>
    <row r="679" ht="15.75" customHeight="1" s="60">
      <c r="A679" s="41" t="n"/>
      <c r="B679" s="41" t="n"/>
    </row>
    <row r="680" ht="15.75" customHeight="1" s="60">
      <c r="A680" s="41" t="n"/>
      <c r="B680" s="41" t="n"/>
    </row>
    <row r="681" ht="15.75" customHeight="1" s="60">
      <c r="A681" s="41" t="n"/>
      <c r="B681" s="41" t="n"/>
    </row>
    <row r="682" ht="15.75" customHeight="1" s="60">
      <c r="A682" s="41" t="n"/>
      <c r="B682" s="41" t="n"/>
    </row>
    <row r="683" ht="15.75" customHeight="1" s="60">
      <c r="A683" s="41" t="n"/>
      <c r="B683" s="41" t="n"/>
    </row>
    <row r="684" ht="15.75" customHeight="1" s="60">
      <c r="A684" s="41" t="n"/>
      <c r="B684" s="41" t="n"/>
    </row>
    <row r="685" ht="15.75" customHeight="1" s="60">
      <c r="A685" s="41" t="n"/>
      <c r="B685" s="41" t="n"/>
    </row>
    <row r="686" ht="15.75" customHeight="1" s="60">
      <c r="A686" s="41" t="n"/>
      <c r="B686" s="41" t="n"/>
    </row>
    <row r="687" ht="15.75" customHeight="1" s="60">
      <c r="A687" s="41" t="n"/>
      <c r="B687" s="41" t="n"/>
    </row>
    <row r="688" ht="15.75" customHeight="1" s="60">
      <c r="A688" s="41" t="n"/>
      <c r="B688" s="41" t="n"/>
    </row>
    <row r="689" ht="15.75" customHeight="1" s="60">
      <c r="A689" s="41" t="n"/>
      <c r="B689" s="41" t="n"/>
    </row>
    <row r="690" ht="15.75" customHeight="1" s="60">
      <c r="A690" s="41" t="n"/>
      <c r="B690" s="41" t="n"/>
    </row>
    <row r="691" ht="15.75" customHeight="1" s="60">
      <c r="A691" s="41" t="n"/>
      <c r="B691" s="41" t="n"/>
    </row>
    <row r="692" ht="15.75" customHeight="1" s="60">
      <c r="A692" s="41" t="n"/>
      <c r="B692" s="41" t="n"/>
    </row>
    <row r="693" ht="15.75" customHeight="1" s="60">
      <c r="A693" s="41" t="n"/>
      <c r="B693" s="41" t="n"/>
    </row>
    <row r="694" ht="15.75" customHeight="1" s="60">
      <c r="A694" s="41" t="n"/>
      <c r="B694" s="41" t="n"/>
    </row>
    <row r="695" ht="15.75" customHeight="1" s="60">
      <c r="A695" s="41" t="n"/>
      <c r="B695" s="41" t="n"/>
    </row>
    <row r="696" ht="15.75" customHeight="1" s="60">
      <c r="A696" s="41" t="n"/>
      <c r="B696" s="41" t="n"/>
    </row>
    <row r="697" ht="15.75" customHeight="1" s="60">
      <c r="A697" s="41" t="n"/>
      <c r="B697" s="41" t="n"/>
    </row>
    <row r="698" ht="15.75" customHeight="1" s="60">
      <c r="A698" s="41" t="n"/>
      <c r="B698" s="41" t="n"/>
    </row>
    <row r="699" ht="15.75" customHeight="1" s="60">
      <c r="A699" s="41" t="n"/>
      <c r="B699" s="41" t="n"/>
    </row>
    <row r="700" ht="15.75" customHeight="1" s="60">
      <c r="A700" s="41" t="n"/>
      <c r="B700" s="41" t="n"/>
    </row>
    <row r="701" ht="15.75" customHeight="1" s="60">
      <c r="A701" s="41" t="n"/>
      <c r="B701" s="41" t="n"/>
    </row>
    <row r="702" ht="15.75" customHeight="1" s="60">
      <c r="A702" s="41" t="n"/>
      <c r="B702" s="41" t="n"/>
    </row>
    <row r="703" ht="15.75" customHeight="1" s="60">
      <c r="A703" s="41" t="n"/>
      <c r="B703" s="41" t="n"/>
    </row>
    <row r="704" ht="15.75" customHeight="1" s="60">
      <c r="A704" s="41" t="n"/>
      <c r="B704" s="41" t="n"/>
    </row>
    <row r="705" ht="15.75" customHeight="1" s="60">
      <c r="A705" s="41" t="n"/>
      <c r="B705" s="41" t="n"/>
    </row>
    <row r="706" ht="15.75" customHeight="1" s="60">
      <c r="A706" s="41" t="n"/>
      <c r="B706" s="41" t="n"/>
    </row>
    <row r="707" ht="15.75" customHeight="1" s="60">
      <c r="A707" s="41" t="n"/>
      <c r="B707" s="41" t="n"/>
    </row>
    <row r="708" ht="15.75" customHeight="1" s="60">
      <c r="A708" s="41" t="n"/>
      <c r="B708" s="41" t="n"/>
    </row>
    <row r="709" ht="15.75" customHeight="1" s="60">
      <c r="A709" s="41" t="n"/>
      <c r="B709" s="41" t="n"/>
    </row>
    <row r="710" ht="15.75" customHeight="1" s="60">
      <c r="A710" s="41" t="n"/>
      <c r="B710" s="41" t="n"/>
    </row>
    <row r="711" ht="15.75" customHeight="1" s="60">
      <c r="A711" s="41" t="n"/>
      <c r="B711" s="41" t="n"/>
    </row>
    <row r="712" ht="15.75" customHeight="1" s="60">
      <c r="A712" s="41" t="n"/>
      <c r="B712" s="41" t="n"/>
    </row>
    <row r="713" ht="15.75" customHeight="1" s="60">
      <c r="A713" s="41" t="n"/>
      <c r="B713" s="41" t="n"/>
    </row>
    <row r="714" ht="15.75" customHeight="1" s="60">
      <c r="A714" s="41" t="n"/>
      <c r="B714" s="41" t="n"/>
    </row>
    <row r="715" ht="15.75" customHeight="1" s="60">
      <c r="A715" s="41" t="n"/>
      <c r="B715" s="41" t="n"/>
    </row>
    <row r="716" ht="15.75" customHeight="1" s="60">
      <c r="A716" s="41" t="n"/>
      <c r="B716" s="41" t="n"/>
    </row>
    <row r="717" ht="15.75" customHeight="1" s="60">
      <c r="A717" s="41" t="n"/>
      <c r="B717" s="41" t="n"/>
    </row>
    <row r="718" ht="15.75" customHeight="1" s="60">
      <c r="A718" s="41" t="n"/>
      <c r="B718" s="41" t="n"/>
    </row>
    <row r="719" ht="15.75" customHeight="1" s="60">
      <c r="A719" s="41" t="n"/>
      <c r="B719" s="41" t="n"/>
    </row>
    <row r="720" ht="15.75" customHeight="1" s="60">
      <c r="A720" s="41" t="n"/>
      <c r="B720" s="41" t="n"/>
    </row>
    <row r="721" ht="15.75" customHeight="1" s="60">
      <c r="A721" s="41" t="n"/>
      <c r="B721" s="41" t="n"/>
    </row>
    <row r="722" ht="15.75" customHeight="1" s="60">
      <c r="A722" s="41" t="n"/>
      <c r="B722" s="41" t="n"/>
    </row>
    <row r="723" ht="15.75" customHeight="1" s="60">
      <c r="A723" s="41" t="n"/>
      <c r="B723" s="41" t="n"/>
    </row>
    <row r="724" ht="15.75" customHeight="1" s="60">
      <c r="A724" s="41" t="n"/>
      <c r="B724" s="41" t="n"/>
    </row>
    <row r="725" ht="15.75" customHeight="1" s="60">
      <c r="A725" s="41" t="n"/>
      <c r="B725" s="41" t="n"/>
    </row>
    <row r="726" ht="15.75" customHeight="1" s="60">
      <c r="A726" s="41" t="n"/>
      <c r="B726" s="41" t="n"/>
    </row>
    <row r="727" ht="15.75" customHeight="1" s="60">
      <c r="A727" s="41" t="n"/>
      <c r="B727" s="41" t="n"/>
    </row>
    <row r="728" ht="15.75" customHeight="1" s="60">
      <c r="A728" s="41" t="n"/>
      <c r="B728" s="41" t="n"/>
    </row>
    <row r="729" ht="15.75" customHeight="1" s="60">
      <c r="A729" s="41" t="n"/>
      <c r="B729" s="41" t="n"/>
    </row>
    <row r="730" ht="15.75" customHeight="1" s="60">
      <c r="A730" s="41" t="n"/>
      <c r="B730" s="41" t="n"/>
    </row>
    <row r="731" ht="15.75" customHeight="1" s="60">
      <c r="A731" s="41" t="n"/>
      <c r="B731" s="41" t="n"/>
    </row>
    <row r="732" ht="15.75" customHeight="1" s="60">
      <c r="A732" s="41" t="n"/>
      <c r="B732" s="41" t="n"/>
    </row>
    <row r="733" ht="15.75" customHeight="1" s="60">
      <c r="A733" s="41" t="n"/>
      <c r="B733" s="41" t="n"/>
    </row>
    <row r="734" ht="15.75" customHeight="1" s="60">
      <c r="A734" s="41" t="n"/>
      <c r="B734" s="41" t="n"/>
    </row>
    <row r="735" ht="15.75" customHeight="1" s="60">
      <c r="A735" s="41" t="n"/>
      <c r="B735" s="41" t="n"/>
    </row>
    <row r="736" ht="15.75" customHeight="1" s="60">
      <c r="A736" s="41" t="n"/>
      <c r="B736" s="41" t="n"/>
    </row>
    <row r="737" ht="15.75" customHeight="1" s="60">
      <c r="A737" s="41" t="n"/>
      <c r="B737" s="41" t="n"/>
    </row>
    <row r="738" ht="15.75" customHeight="1" s="60">
      <c r="A738" s="41" t="n"/>
      <c r="B738" s="41" t="n"/>
    </row>
    <row r="739" ht="15.75" customHeight="1" s="60">
      <c r="A739" s="41" t="n"/>
      <c r="B739" s="41" t="n"/>
    </row>
    <row r="740" ht="15.75" customHeight="1" s="60">
      <c r="A740" s="41" t="n"/>
      <c r="B740" s="41" t="n"/>
    </row>
    <row r="741" ht="15.75" customHeight="1" s="60">
      <c r="A741" s="41" t="n"/>
      <c r="B741" s="41" t="n"/>
    </row>
    <row r="742" ht="15.75" customHeight="1" s="60">
      <c r="A742" s="41" t="n"/>
      <c r="B742" s="41" t="n"/>
    </row>
    <row r="743" ht="15.75" customHeight="1" s="60">
      <c r="A743" s="41" t="n"/>
      <c r="B743" s="41" t="n"/>
    </row>
    <row r="744" ht="15.75" customHeight="1" s="60">
      <c r="A744" s="41" t="n"/>
      <c r="B744" s="41" t="n"/>
    </row>
    <row r="745" ht="15.75" customHeight="1" s="60">
      <c r="A745" s="41" t="n"/>
      <c r="B745" s="41" t="n"/>
    </row>
    <row r="746" ht="15.75" customHeight="1" s="60">
      <c r="A746" s="41" t="n"/>
      <c r="B746" s="41" t="n"/>
    </row>
    <row r="747" ht="15.75" customHeight="1" s="60">
      <c r="A747" s="41" t="n"/>
      <c r="B747" s="41" t="n"/>
    </row>
    <row r="748" ht="15.75" customHeight="1" s="60">
      <c r="A748" s="41" t="n"/>
      <c r="B748" s="41" t="n"/>
    </row>
    <row r="749" ht="15.75" customHeight="1" s="60">
      <c r="A749" s="41" t="n"/>
      <c r="B749" s="41" t="n"/>
    </row>
    <row r="750" ht="15.75" customHeight="1" s="60">
      <c r="A750" s="41" t="n"/>
      <c r="B750" s="41" t="n"/>
    </row>
    <row r="751" ht="15.75" customHeight="1" s="60">
      <c r="A751" s="41" t="n"/>
      <c r="B751" s="41" t="n"/>
    </row>
    <row r="752" ht="15.75" customHeight="1" s="60">
      <c r="A752" s="41" t="n"/>
      <c r="B752" s="41" t="n"/>
    </row>
    <row r="753" ht="15.75" customHeight="1" s="60">
      <c r="A753" s="41" t="n"/>
      <c r="B753" s="41" t="n"/>
    </row>
    <row r="754" ht="15.75" customHeight="1" s="60">
      <c r="A754" s="41" t="n"/>
      <c r="B754" s="41" t="n"/>
    </row>
    <row r="755" ht="15.75" customHeight="1" s="60">
      <c r="A755" s="41" t="n"/>
      <c r="B755" s="41" t="n"/>
    </row>
    <row r="756" ht="15.75" customHeight="1" s="60">
      <c r="A756" s="41" t="n"/>
      <c r="B756" s="41" t="n"/>
    </row>
    <row r="757" ht="15.75" customHeight="1" s="60">
      <c r="A757" s="41" t="n"/>
      <c r="B757" s="41" t="n"/>
    </row>
    <row r="758" ht="15.75" customHeight="1" s="60">
      <c r="A758" s="41" t="n"/>
      <c r="B758" s="41" t="n"/>
    </row>
    <row r="759" ht="15.75" customHeight="1" s="60">
      <c r="A759" s="41" t="n"/>
      <c r="B759" s="41" t="n"/>
    </row>
    <row r="760" ht="15.75" customHeight="1" s="60">
      <c r="A760" s="41" t="n"/>
      <c r="B760" s="41" t="n"/>
    </row>
    <row r="761" ht="15.75" customHeight="1" s="60">
      <c r="A761" s="41" t="n"/>
      <c r="B761" s="41" t="n"/>
    </row>
    <row r="762" ht="15.75" customHeight="1" s="60">
      <c r="A762" s="41" t="n"/>
      <c r="B762" s="41" t="n"/>
    </row>
    <row r="763" ht="15.75" customHeight="1" s="60">
      <c r="A763" s="41" t="n"/>
      <c r="B763" s="41" t="n"/>
    </row>
    <row r="764" ht="15.75" customHeight="1" s="60">
      <c r="A764" s="41" t="n"/>
      <c r="B764" s="41" t="n"/>
    </row>
    <row r="765" ht="15.75" customHeight="1" s="60">
      <c r="A765" s="41" t="n"/>
      <c r="B765" s="41" t="n"/>
    </row>
    <row r="766" ht="15.75" customHeight="1" s="60">
      <c r="A766" s="41" t="n"/>
      <c r="B766" s="41" t="n"/>
    </row>
    <row r="767" ht="15.75" customHeight="1" s="60">
      <c r="A767" s="41" t="n"/>
      <c r="B767" s="41" t="n"/>
    </row>
    <row r="768" ht="15.75" customHeight="1" s="60">
      <c r="A768" s="41" t="n"/>
      <c r="B768" s="41" t="n"/>
    </row>
    <row r="769" ht="15.75" customHeight="1" s="60">
      <c r="A769" s="41" t="n"/>
      <c r="B769" s="41" t="n"/>
    </row>
    <row r="770" ht="15.75" customHeight="1" s="60">
      <c r="A770" s="41" t="n"/>
      <c r="B770" s="41" t="n"/>
    </row>
    <row r="771" ht="15.75" customHeight="1" s="60">
      <c r="A771" s="41" t="n"/>
      <c r="B771" s="41" t="n"/>
    </row>
    <row r="772" ht="15.75" customHeight="1" s="60">
      <c r="A772" s="41" t="n"/>
      <c r="B772" s="41" t="n"/>
    </row>
    <row r="773" ht="15.75" customHeight="1" s="60">
      <c r="A773" s="41" t="n"/>
      <c r="B773" s="41" t="n"/>
    </row>
    <row r="774" ht="15.75" customHeight="1" s="60">
      <c r="A774" s="41" t="n"/>
      <c r="B774" s="41" t="n"/>
    </row>
    <row r="775" ht="15.75" customHeight="1" s="60">
      <c r="A775" s="41" t="n"/>
      <c r="B775" s="41" t="n"/>
    </row>
    <row r="776" ht="15.75" customHeight="1" s="60">
      <c r="A776" s="41" t="n"/>
      <c r="B776" s="41" t="n"/>
    </row>
    <row r="777" ht="15.75" customHeight="1" s="60">
      <c r="A777" s="41" t="n"/>
      <c r="B777" s="41" t="n"/>
    </row>
    <row r="778" ht="15.75" customHeight="1" s="60">
      <c r="A778" s="41" t="n"/>
      <c r="B778" s="41" t="n"/>
    </row>
    <row r="779" ht="15.75" customHeight="1" s="60">
      <c r="A779" s="41" t="n"/>
      <c r="B779" s="41" t="n"/>
    </row>
    <row r="780" ht="15.75" customHeight="1" s="60">
      <c r="A780" s="41" t="n"/>
      <c r="B780" s="41" t="n"/>
    </row>
    <row r="781" ht="15.75" customHeight="1" s="60">
      <c r="A781" s="41" t="n"/>
      <c r="B781" s="41" t="n"/>
    </row>
    <row r="782" ht="15.75" customHeight="1" s="60">
      <c r="A782" s="41" t="n"/>
      <c r="B782" s="41" t="n"/>
    </row>
    <row r="783" ht="15.75" customHeight="1" s="60">
      <c r="A783" s="41" t="n"/>
      <c r="B783" s="41" t="n"/>
    </row>
    <row r="784" ht="15.75" customHeight="1" s="60">
      <c r="A784" s="41" t="n"/>
      <c r="B784" s="41" t="n"/>
    </row>
    <row r="785" ht="15.75" customHeight="1" s="60">
      <c r="A785" s="41" t="n"/>
      <c r="B785" s="41" t="n"/>
    </row>
    <row r="786" ht="15.75" customHeight="1" s="60">
      <c r="A786" s="41" t="n"/>
      <c r="B786" s="41" t="n"/>
    </row>
    <row r="787" ht="15.75" customHeight="1" s="60">
      <c r="A787" s="41" t="n"/>
      <c r="B787" s="41" t="n"/>
    </row>
    <row r="788" ht="15.75" customHeight="1" s="60">
      <c r="A788" s="41" t="n"/>
      <c r="B788" s="41" t="n"/>
    </row>
    <row r="789" ht="15.75" customHeight="1" s="60">
      <c r="A789" s="41" t="n"/>
      <c r="B789" s="41" t="n"/>
    </row>
    <row r="790" ht="15.75" customHeight="1" s="60">
      <c r="A790" s="41" t="n"/>
      <c r="B790" s="41" t="n"/>
    </row>
    <row r="791" ht="15.75" customHeight="1" s="60">
      <c r="A791" s="41" t="n"/>
      <c r="B791" s="41" t="n"/>
    </row>
    <row r="792" ht="15.75" customHeight="1" s="60">
      <c r="A792" s="41" t="n"/>
      <c r="B792" s="41" t="n"/>
    </row>
    <row r="793" ht="15.75" customHeight="1" s="60">
      <c r="A793" s="41" t="n"/>
      <c r="B793" s="41" t="n"/>
    </row>
    <row r="794" ht="15.75" customHeight="1" s="60">
      <c r="A794" s="41" t="n"/>
      <c r="B794" s="41" t="n"/>
    </row>
    <row r="795" ht="15.75" customHeight="1" s="60">
      <c r="A795" s="41" t="n"/>
      <c r="B795" s="41" t="n"/>
    </row>
    <row r="796" ht="15.75" customHeight="1" s="60">
      <c r="A796" s="41" t="n"/>
      <c r="B796" s="41" t="n"/>
    </row>
    <row r="797" ht="15.75" customHeight="1" s="60">
      <c r="A797" s="41" t="n"/>
      <c r="B797" s="41" t="n"/>
    </row>
    <row r="798" ht="15.75" customHeight="1" s="60">
      <c r="A798" s="41" t="n"/>
      <c r="B798" s="41" t="n"/>
    </row>
    <row r="799" ht="15.75" customHeight="1" s="60">
      <c r="A799" s="41" t="n"/>
      <c r="B799" s="41" t="n"/>
    </row>
    <row r="800" ht="15.75" customHeight="1" s="60">
      <c r="A800" s="41" t="n"/>
      <c r="B800" s="41" t="n"/>
    </row>
    <row r="801" ht="15.75" customHeight="1" s="60">
      <c r="A801" s="41" t="n"/>
      <c r="B801" s="41" t="n"/>
    </row>
    <row r="802" ht="15.75" customHeight="1" s="60">
      <c r="A802" s="41" t="n"/>
      <c r="B802" s="41" t="n"/>
    </row>
    <row r="803" ht="15.75" customHeight="1" s="60">
      <c r="A803" s="41" t="n"/>
      <c r="B803" s="41" t="n"/>
    </row>
    <row r="804" ht="15.75" customHeight="1" s="60">
      <c r="A804" s="41" t="n"/>
      <c r="B804" s="41" t="n"/>
    </row>
    <row r="805" ht="15.75" customHeight="1" s="60">
      <c r="A805" s="41" t="n"/>
      <c r="B805" s="41" t="n"/>
    </row>
    <row r="806" ht="15.75" customHeight="1" s="60">
      <c r="A806" s="41" t="n"/>
      <c r="B806" s="41" t="n"/>
    </row>
    <row r="807" ht="15.75" customHeight="1" s="60">
      <c r="A807" s="41" t="n"/>
      <c r="B807" s="41" t="n"/>
    </row>
    <row r="808" ht="15.75" customHeight="1" s="60">
      <c r="A808" s="41" t="n"/>
      <c r="B808" s="41" t="n"/>
    </row>
    <row r="809" ht="15.75" customHeight="1" s="60">
      <c r="A809" s="41" t="n"/>
      <c r="B809" s="41" t="n"/>
    </row>
    <row r="810" ht="15.75" customHeight="1" s="60">
      <c r="A810" s="41" t="n"/>
      <c r="B810" s="41" t="n"/>
    </row>
    <row r="811" ht="15.75" customHeight="1" s="60">
      <c r="A811" s="41" t="n"/>
      <c r="B811" s="41" t="n"/>
    </row>
    <row r="812" ht="15.75" customHeight="1" s="60">
      <c r="A812" s="41" t="n"/>
      <c r="B812" s="41" t="n"/>
    </row>
    <row r="813" ht="15.75" customHeight="1" s="60">
      <c r="A813" s="41" t="n"/>
      <c r="B813" s="41" t="n"/>
    </row>
    <row r="814" ht="15.75" customHeight="1" s="60">
      <c r="A814" s="41" t="n"/>
      <c r="B814" s="41" t="n"/>
    </row>
    <row r="815" ht="15.75" customHeight="1" s="60">
      <c r="A815" s="41" t="n"/>
      <c r="B815" s="41" t="n"/>
    </row>
    <row r="816" ht="15.75" customHeight="1" s="60">
      <c r="A816" s="41" t="n"/>
      <c r="B816" s="41" t="n"/>
    </row>
    <row r="817" ht="15.75" customHeight="1" s="60">
      <c r="A817" s="41" t="n"/>
      <c r="B817" s="41" t="n"/>
    </row>
    <row r="818" ht="15.75" customHeight="1" s="60">
      <c r="A818" s="41" t="n"/>
      <c r="B818" s="41" t="n"/>
    </row>
    <row r="819" ht="15.75" customHeight="1" s="60">
      <c r="A819" s="41" t="n"/>
      <c r="B819" s="41" t="n"/>
    </row>
    <row r="820" ht="15.75" customHeight="1" s="60">
      <c r="A820" s="41" t="n"/>
      <c r="B820" s="41" t="n"/>
    </row>
    <row r="821" ht="15.75" customHeight="1" s="60">
      <c r="A821" s="41" t="n"/>
      <c r="B821" s="41" t="n"/>
    </row>
    <row r="822" ht="15.75" customHeight="1" s="60">
      <c r="A822" s="41" t="n"/>
      <c r="B822" s="41" t="n"/>
    </row>
    <row r="823" ht="15.75" customHeight="1" s="60">
      <c r="A823" s="41" t="n"/>
      <c r="B823" s="41" t="n"/>
    </row>
    <row r="824" ht="15.75" customHeight="1" s="60">
      <c r="A824" s="41" t="n"/>
      <c r="B824" s="41" t="n"/>
    </row>
    <row r="825" ht="15.75" customHeight="1" s="60">
      <c r="A825" s="41" t="n"/>
      <c r="B825" s="41" t="n"/>
    </row>
    <row r="826" ht="15.75" customHeight="1" s="60">
      <c r="A826" s="41" t="n"/>
      <c r="B826" s="41" t="n"/>
    </row>
    <row r="827" ht="15.75" customHeight="1" s="60">
      <c r="A827" s="41" t="n"/>
      <c r="B827" s="41" t="n"/>
    </row>
    <row r="828" ht="15.75" customHeight="1" s="60">
      <c r="A828" s="41" t="n"/>
      <c r="B828" s="41" t="n"/>
    </row>
    <row r="829" ht="15.75" customHeight="1" s="60">
      <c r="A829" s="41" t="n"/>
      <c r="B829" s="41" t="n"/>
    </row>
    <row r="830" ht="15.75" customHeight="1" s="60">
      <c r="A830" s="41" t="n"/>
      <c r="B830" s="41" t="n"/>
    </row>
    <row r="831" ht="15.75" customHeight="1" s="60">
      <c r="A831" s="41" t="n"/>
      <c r="B831" s="41" t="n"/>
    </row>
    <row r="832" ht="15.75" customHeight="1" s="60">
      <c r="A832" s="41" t="n"/>
      <c r="B832" s="41" t="n"/>
    </row>
    <row r="833" ht="15.75" customHeight="1" s="60">
      <c r="A833" s="41" t="n"/>
      <c r="B833" s="41" t="n"/>
    </row>
    <row r="834" ht="15.75" customHeight="1" s="60">
      <c r="A834" s="41" t="n"/>
      <c r="B834" s="41" t="n"/>
    </row>
    <row r="835" ht="15.75" customHeight="1" s="60">
      <c r="A835" s="41" t="n"/>
      <c r="B835" s="41" t="n"/>
    </row>
    <row r="836" ht="15.75" customHeight="1" s="60">
      <c r="A836" s="41" t="n"/>
      <c r="B836" s="41" t="n"/>
    </row>
    <row r="837" ht="15.75" customHeight="1" s="60">
      <c r="A837" s="41" t="n"/>
      <c r="B837" s="41" t="n"/>
    </row>
    <row r="838" ht="15.75" customHeight="1" s="60">
      <c r="A838" s="41" t="n"/>
      <c r="B838" s="41" t="n"/>
    </row>
    <row r="839" ht="15.75" customHeight="1" s="60">
      <c r="A839" s="41" t="n"/>
      <c r="B839" s="41" t="n"/>
    </row>
    <row r="840" ht="15.75" customHeight="1" s="60">
      <c r="A840" s="41" t="n"/>
      <c r="B840" s="41" t="n"/>
    </row>
    <row r="841" ht="15.75" customHeight="1" s="60">
      <c r="A841" s="41" t="n"/>
      <c r="B841" s="41" t="n"/>
    </row>
    <row r="842" ht="15.75" customHeight="1" s="60">
      <c r="A842" s="41" t="n"/>
      <c r="B842" s="41" t="n"/>
    </row>
    <row r="843" ht="15.75" customHeight="1" s="60">
      <c r="A843" s="41" t="n"/>
      <c r="B843" s="41" t="n"/>
    </row>
    <row r="844" ht="15.75" customHeight="1" s="60">
      <c r="A844" s="41" t="n"/>
      <c r="B844" s="41" t="n"/>
    </row>
    <row r="845" ht="15.75" customHeight="1" s="60">
      <c r="A845" s="41" t="n"/>
      <c r="B845" s="41" t="n"/>
    </row>
    <row r="846" ht="15.75" customHeight="1" s="60">
      <c r="A846" s="41" t="n"/>
      <c r="B846" s="41" t="n"/>
    </row>
    <row r="847" ht="15.75" customHeight="1" s="60">
      <c r="A847" s="41" t="n"/>
      <c r="B847" s="41" t="n"/>
    </row>
    <row r="848" ht="15.75" customHeight="1" s="60">
      <c r="A848" s="41" t="n"/>
      <c r="B848" s="41" t="n"/>
    </row>
    <row r="849" ht="15.75" customHeight="1" s="60">
      <c r="A849" s="41" t="n"/>
      <c r="B849" s="41" t="n"/>
    </row>
    <row r="850" ht="15.75" customHeight="1" s="60">
      <c r="A850" s="41" t="n"/>
      <c r="B850" s="41" t="n"/>
    </row>
    <row r="851" ht="15.75" customHeight="1" s="60">
      <c r="A851" s="41" t="n"/>
      <c r="B851" s="41" t="n"/>
    </row>
    <row r="852" ht="15.75" customHeight="1" s="60">
      <c r="A852" s="41" t="n"/>
      <c r="B852" s="41" t="n"/>
    </row>
    <row r="853" ht="15.75" customHeight="1" s="60">
      <c r="A853" s="41" t="n"/>
      <c r="B853" s="41" t="n"/>
    </row>
    <row r="854" ht="15.75" customHeight="1" s="60">
      <c r="A854" s="41" t="n"/>
      <c r="B854" s="41" t="n"/>
    </row>
    <row r="855" ht="15.75" customHeight="1" s="60">
      <c r="A855" s="41" t="n"/>
      <c r="B855" s="41" t="n"/>
    </row>
    <row r="856" ht="15.75" customHeight="1" s="60">
      <c r="A856" s="41" t="n"/>
      <c r="B856" s="41" t="n"/>
    </row>
    <row r="857" ht="15.75" customHeight="1" s="60">
      <c r="A857" s="41" t="n"/>
      <c r="B857" s="41" t="n"/>
    </row>
    <row r="858" ht="15.75" customHeight="1" s="60">
      <c r="A858" s="41" t="n"/>
      <c r="B858" s="41" t="n"/>
    </row>
    <row r="859" ht="15.75" customHeight="1" s="60">
      <c r="A859" s="41" t="n"/>
      <c r="B859" s="41" t="n"/>
    </row>
    <row r="860" ht="15.75" customHeight="1" s="60">
      <c r="A860" s="41" t="n"/>
      <c r="B860" s="41" t="n"/>
    </row>
    <row r="861" ht="15.75" customHeight="1" s="60">
      <c r="A861" s="41" t="n"/>
      <c r="B861" s="41" t="n"/>
    </row>
    <row r="862" ht="15.75" customHeight="1" s="60">
      <c r="A862" s="41" t="n"/>
      <c r="B862" s="41" t="n"/>
    </row>
    <row r="863" ht="15.75" customHeight="1" s="60">
      <c r="A863" s="41" t="n"/>
      <c r="B863" s="41" t="n"/>
    </row>
    <row r="864" ht="15.75" customHeight="1" s="60">
      <c r="A864" s="41" t="n"/>
      <c r="B864" s="41" t="n"/>
    </row>
    <row r="865" ht="15.75" customHeight="1" s="60">
      <c r="A865" s="41" t="n"/>
      <c r="B865" s="41" t="n"/>
    </row>
    <row r="866" ht="15.75" customHeight="1" s="60">
      <c r="A866" s="41" t="n"/>
      <c r="B866" s="41" t="n"/>
    </row>
    <row r="867" ht="15.75" customHeight="1" s="60">
      <c r="A867" s="41" t="n"/>
      <c r="B867" s="41" t="n"/>
    </row>
    <row r="868" ht="15.75" customHeight="1" s="60">
      <c r="A868" s="41" t="n"/>
      <c r="B868" s="41" t="n"/>
    </row>
    <row r="869" ht="15.75" customHeight="1" s="60">
      <c r="A869" s="41" t="n"/>
      <c r="B869" s="41" t="n"/>
    </row>
    <row r="870" ht="15.75" customHeight="1" s="60">
      <c r="A870" s="41" t="n"/>
      <c r="B870" s="41" t="n"/>
    </row>
    <row r="871" ht="15.75" customHeight="1" s="60">
      <c r="A871" s="41" t="n"/>
      <c r="B871" s="41" t="n"/>
    </row>
    <row r="872" ht="15.75" customHeight="1" s="60">
      <c r="A872" s="41" t="n"/>
      <c r="B872" s="41" t="n"/>
    </row>
    <row r="873" ht="15.75" customHeight="1" s="60">
      <c r="A873" s="41" t="n"/>
      <c r="B873" s="41" t="n"/>
    </row>
    <row r="874" ht="15.75" customHeight="1" s="60">
      <c r="A874" s="41" t="n"/>
      <c r="B874" s="41" t="n"/>
    </row>
    <row r="875" ht="15.75" customHeight="1" s="60">
      <c r="A875" s="41" t="n"/>
      <c r="B875" s="41" t="n"/>
    </row>
    <row r="876" ht="15.75" customHeight="1" s="60">
      <c r="A876" s="41" t="n"/>
      <c r="B876" s="41" t="n"/>
    </row>
    <row r="877" ht="15.75" customHeight="1" s="60">
      <c r="A877" s="41" t="n"/>
      <c r="B877" s="41" t="n"/>
    </row>
    <row r="878" ht="15.75" customHeight="1" s="60">
      <c r="A878" s="41" t="n"/>
      <c r="B878" s="41" t="n"/>
    </row>
    <row r="879" ht="15.75" customHeight="1" s="60">
      <c r="A879" s="41" t="n"/>
      <c r="B879" s="41" t="n"/>
    </row>
    <row r="880" ht="15.75" customHeight="1" s="60">
      <c r="A880" s="41" t="n"/>
      <c r="B880" s="41" t="n"/>
    </row>
    <row r="881" ht="15.75" customHeight="1" s="60">
      <c r="A881" s="41" t="n"/>
      <c r="B881" s="41" t="n"/>
    </row>
    <row r="882" ht="15.75" customHeight="1" s="60">
      <c r="A882" s="41" t="n"/>
      <c r="B882" s="41" t="n"/>
    </row>
    <row r="883" ht="15.75" customHeight="1" s="60">
      <c r="A883" s="41" t="n"/>
      <c r="B883" s="41" t="n"/>
    </row>
    <row r="884" ht="15.75" customHeight="1" s="60">
      <c r="A884" s="41" t="n"/>
      <c r="B884" s="41" t="n"/>
    </row>
    <row r="885" ht="15.75" customHeight="1" s="60">
      <c r="A885" s="41" t="n"/>
      <c r="B885" s="41" t="n"/>
    </row>
    <row r="886" ht="15.75" customHeight="1" s="60">
      <c r="A886" s="41" t="n"/>
      <c r="B886" s="41" t="n"/>
    </row>
    <row r="887" ht="15.75" customHeight="1" s="60">
      <c r="A887" s="41" t="n"/>
      <c r="B887" s="41" t="n"/>
    </row>
    <row r="888" ht="15.75" customHeight="1" s="60">
      <c r="A888" s="41" t="n"/>
      <c r="B888" s="41" t="n"/>
    </row>
    <row r="889" ht="15.75" customHeight="1" s="60">
      <c r="A889" s="41" t="n"/>
      <c r="B889" s="41" t="n"/>
    </row>
    <row r="890" ht="15.75" customHeight="1" s="60">
      <c r="A890" s="41" t="n"/>
      <c r="B890" s="41" t="n"/>
    </row>
    <row r="891" ht="15.75" customHeight="1" s="60">
      <c r="A891" s="41" t="n"/>
      <c r="B891" s="41" t="n"/>
    </row>
    <row r="892" ht="15.75" customHeight="1" s="60">
      <c r="A892" s="41" t="n"/>
      <c r="B892" s="41" t="n"/>
    </row>
    <row r="893" ht="15.75" customHeight="1" s="60">
      <c r="A893" s="41" t="n"/>
      <c r="B893" s="41" t="n"/>
    </row>
    <row r="894" ht="15.75" customHeight="1" s="60">
      <c r="A894" s="41" t="n"/>
      <c r="B894" s="41" t="n"/>
    </row>
    <row r="895" ht="15.75" customHeight="1" s="60">
      <c r="A895" s="41" t="n"/>
      <c r="B895" s="41" t="n"/>
    </row>
    <row r="896" ht="15.75" customHeight="1" s="60">
      <c r="A896" s="41" t="n"/>
      <c r="B896" s="41" t="n"/>
    </row>
    <row r="897" ht="15.75" customHeight="1" s="60">
      <c r="A897" s="41" t="n"/>
      <c r="B897" s="41" t="n"/>
    </row>
    <row r="898" ht="15.75" customHeight="1" s="60">
      <c r="A898" s="41" t="n"/>
      <c r="B898" s="41" t="n"/>
    </row>
    <row r="899" ht="15.75" customHeight="1" s="60">
      <c r="A899" s="41" t="n"/>
      <c r="B899" s="41" t="n"/>
    </row>
    <row r="900" ht="15.75" customHeight="1" s="60">
      <c r="A900" s="41" t="n"/>
      <c r="B900" s="41" t="n"/>
    </row>
    <row r="901" ht="15.75" customHeight="1" s="60">
      <c r="A901" s="41" t="n"/>
      <c r="B901" s="41" t="n"/>
    </row>
    <row r="902" ht="15.75" customHeight="1" s="60">
      <c r="A902" s="41" t="n"/>
      <c r="B902" s="41" t="n"/>
    </row>
    <row r="903" ht="15.75" customHeight="1" s="60">
      <c r="A903" s="41" t="n"/>
      <c r="B903" s="41" t="n"/>
    </row>
    <row r="904" ht="15.75" customHeight="1" s="60">
      <c r="A904" s="41" t="n"/>
      <c r="B904" s="41" t="n"/>
    </row>
    <row r="905" ht="15.75" customHeight="1" s="60">
      <c r="A905" s="41" t="n"/>
      <c r="B905" s="41" t="n"/>
    </row>
    <row r="906" ht="15.75" customHeight="1" s="60">
      <c r="A906" s="41" t="n"/>
      <c r="B906" s="41" t="n"/>
    </row>
    <row r="907" ht="15.75" customHeight="1" s="60">
      <c r="A907" s="41" t="n"/>
      <c r="B907" s="41" t="n"/>
    </row>
    <row r="908" ht="15.75" customHeight="1" s="60">
      <c r="A908" s="41" t="n"/>
      <c r="B908" s="41" t="n"/>
    </row>
    <row r="909" ht="15.75" customHeight="1" s="60">
      <c r="A909" s="41" t="n"/>
      <c r="B909" s="41" t="n"/>
    </row>
    <row r="910" ht="15.75" customHeight="1" s="60">
      <c r="A910" s="41" t="n"/>
      <c r="B910" s="41" t="n"/>
    </row>
    <row r="911" ht="15.75" customHeight="1" s="60">
      <c r="A911" s="41" t="n"/>
      <c r="B911" s="41" t="n"/>
    </row>
    <row r="912" ht="15.75" customHeight="1" s="60">
      <c r="A912" s="41" t="n"/>
      <c r="B912" s="41" t="n"/>
    </row>
    <row r="913" ht="15.75" customHeight="1" s="60">
      <c r="A913" s="41" t="n"/>
      <c r="B913" s="41" t="n"/>
    </row>
    <row r="914" ht="15.75" customHeight="1" s="60">
      <c r="A914" s="41" t="n"/>
      <c r="B914" s="41" t="n"/>
    </row>
    <row r="915" ht="15.75" customHeight="1" s="60">
      <c r="A915" s="41" t="n"/>
      <c r="B915" s="41" t="n"/>
    </row>
    <row r="916" ht="15.75" customHeight="1" s="60">
      <c r="A916" s="41" t="n"/>
      <c r="B916" s="41" t="n"/>
    </row>
    <row r="917" ht="15.75" customHeight="1" s="60">
      <c r="A917" s="41" t="n"/>
      <c r="B917" s="41" t="n"/>
    </row>
    <row r="918" ht="15.75" customHeight="1" s="60">
      <c r="A918" s="41" t="n"/>
      <c r="B918" s="41" t="n"/>
    </row>
    <row r="919" ht="15.75" customHeight="1" s="60">
      <c r="A919" s="41" t="n"/>
      <c r="B919" s="41" t="n"/>
    </row>
    <row r="920" ht="15.75" customHeight="1" s="60">
      <c r="A920" s="41" t="n"/>
      <c r="B920" s="41" t="n"/>
    </row>
    <row r="921" ht="15.75" customHeight="1" s="60">
      <c r="A921" s="41" t="n"/>
      <c r="B921" s="41" t="n"/>
    </row>
    <row r="922" ht="15.75" customHeight="1" s="60">
      <c r="A922" s="41" t="n"/>
      <c r="B922" s="41" t="n"/>
    </row>
    <row r="923" ht="15.75" customHeight="1" s="60">
      <c r="A923" s="41" t="n"/>
      <c r="B923" s="41" t="n"/>
    </row>
    <row r="924" ht="15.75" customHeight="1" s="60">
      <c r="A924" s="41" t="n"/>
      <c r="B924" s="41" t="n"/>
    </row>
    <row r="925" ht="15.75" customHeight="1" s="60">
      <c r="A925" s="41" t="n"/>
      <c r="B925" s="41" t="n"/>
    </row>
    <row r="926" ht="15.75" customHeight="1" s="60">
      <c r="A926" s="41" t="n"/>
      <c r="B926" s="41" t="n"/>
    </row>
    <row r="927" ht="15.75" customHeight="1" s="60">
      <c r="A927" s="41" t="n"/>
      <c r="B927" s="41" t="n"/>
    </row>
    <row r="928" ht="15.75" customHeight="1" s="60">
      <c r="A928" s="41" t="n"/>
      <c r="B928" s="41" t="n"/>
    </row>
    <row r="929" ht="15.75" customHeight="1" s="60">
      <c r="A929" s="41" t="n"/>
      <c r="B929" s="41" t="n"/>
    </row>
    <row r="930" ht="15.75" customHeight="1" s="60">
      <c r="A930" s="41" t="n"/>
      <c r="B930" s="41" t="n"/>
    </row>
    <row r="931" ht="15.75" customHeight="1" s="60">
      <c r="A931" s="41" t="n"/>
      <c r="B931" s="41" t="n"/>
    </row>
    <row r="932" ht="15.75" customHeight="1" s="60">
      <c r="A932" s="41" t="n"/>
      <c r="B932" s="41" t="n"/>
    </row>
    <row r="933" ht="15.75" customHeight="1" s="60">
      <c r="A933" s="41" t="n"/>
      <c r="B933" s="41" t="n"/>
    </row>
    <row r="934" ht="15.75" customHeight="1" s="60">
      <c r="A934" s="41" t="n"/>
      <c r="B934" s="41" t="n"/>
    </row>
    <row r="935" ht="15.75" customHeight="1" s="60">
      <c r="A935" s="41" t="n"/>
      <c r="B935" s="41" t="n"/>
    </row>
    <row r="936" ht="15.75" customHeight="1" s="60">
      <c r="A936" s="41" t="n"/>
      <c r="B936" s="41" t="n"/>
    </row>
    <row r="937" ht="15.75" customHeight="1" s="60">
      <c r="A937" s="41" t="n"/>
      <c r="B937" s="41" t="n"/>
    </row>
    <row r="938" ht="15.75" customHeight="1" s="60">
      <c r="A938" s="41" t="n"/>
      <c r="B938" s="41" t="n"/>
    </row>
    <row r="939" ht="15.75" customHeight="1" s="60">
      <c r="A939" s="41" t="n"/>
      <c r="B939" s="41" t="n"/>
    </row>
    <row r="940" ht="15.75" customHeight="1" s="60">
      <c r="A940" s="41" t="n"/>
      <c r="B940" s="41" t="n"/>
    </row>
    <row r="941" ht="15.75" customHeight="1" s="60">
      <c r="A941" s="41" t="n"/>
      <c r="B941" s="41" t="n"/>
    </row>
    <row r="942" ht="15.75" customHeight="1" s="60">
      <c r="A942" s="41" t="n"/>
      <c r="B942" s="41" t="n"/>
    </row>
    <row r="943" ht="15.75" customHeight="1" s="60">
      <c r="A943" s="41" t="n"/>
      <c r="B943" s="41" t="n"/>
    </row>
    <row r="944" ht="15.75" customHeight="1" s="60">
      <c r="A944" s="41" t="n"/>
      <c r="B944" s="41" t="n"/>
    </row>
    <row r="945" ht="15.75" customHeight="1" s="60">
      <c r="A945" s="41" t="n"/>
      <c r="B945" s="41" t="n"/>
    </row>
    <row r="946" ht="15.75" customHeight="1" s="60">
      <c r="A946" s="41" t="n"/>
      <c r="B946" s="41" t="n"/>
    </row>
    <row r="947" ht="15.75" customHeight="1" s="60">
      <c r="A947" s="41" t="n"/>
      <c r="B947" s="41" t="n"/>
    </row>
    <row r="948" ht="15.75" customHeight="1" s="60">
      <c r="A948" s="41" t="n"/>
      <c r="B948" s="41" t="n"/>
    </row>
    <row r="949" ht="15.75" customHeight="1" s="60">
      <c r="A949" s="41" t="n"/>
      <c r="B949" s="41" t="n"/>
    </row>
    <row r="950" ht="15.75" customHeight="1" s="60">
      <c r="A950" s="41" t="n"/>
      <c r="B950" s="41" t="n"/>
    </row>
    <row r="951" ht="15.75" customHeight="1" s="60">
      <c r="A951" s="41" t="n"/>
      <c r="B951" s="41" t="n"/>
    </row>
    <row r="952" ht="15.75" customHeight="1" s="60">
      <c r="A952" s="41" t="n"/>
      <c r="B952" s="41" t="n"/>
    </row>
    <row r="953" ht="15.75" customHeight="1" s="60">
      <c r="A953" s="41" t="n"/>
      <c r="B953" s="41" t="n"/>
    </row>
    <row r="954" ht="15.75" customHeight="1" s="60">
      <c r="A954" s="41" t="n"/>
      <c r="B954" s="41" t="n"/>
    </row>
    <row r="955" ht="15.75" customHeight="1" s="60">
      <c r="A955" s="41" t="n"/>
      <c r="B955" s="41" t="n"/>
    </row>
    <row r="956" ht="15.75" customHeight="1" s="60">
      <c r="A956" s="41" t="n"/>
      <c r="B956" s="41" t="n"/>
    </row>
    <row r="957" ht="15.75" customHeight="1" s="60">
      <c r="A957" s="41" t="n"/>
      <c r="B957" s="41" t="n"/>
    </row>
    <row r="958" ht="15.75" customHeight="1" s="60">
      <c r="A958" s="41" t="n"/>
      <c r="B958" s="41" t="n"/>
    </row>
    <row r="959" ht="15.75" customHeight="1" s="60">
      <c r="A959" s="41" t="n"/>
      <c r="B959" s="41" t="n"/>
    </row>
    <row r="960" ht="15.75" customHeight="1" s="60">
      <c r="A960" s="41" t="n"/>
      <c r="B960" s="41" t="n"/>
    </row>
    <row r="961" ht="15.75" customHeight="1" s="60">
      <c r="A961" s="41" t="n"/>
      <c r="B961" s="41" t="n"/>
    </row>
    <row r="962" ht="15.75" customHeight="1" s="60">
      <c r="A962" s="41" t="n"/>
      <c r="B962" s="41" t="n"/>
    </row>
    <row r="963" ht="15.75" customHeight="1" s="60">
      <c r="A963" s="41" t="n"/>
      <c r="B963" s="41" t="n"/>
    </row>
    <row r="964" ht="15.75" customHeight="1" s="60">
      <c r="A964" s="41" t="n"/>
      <c r="B964" s="41" t="n"/>
    </row>
    <row r="965" ht="15.75" customHeight="1" s="60">
      <c r="A965" s="41" t="n"/>
      <c r="B965" s="41" t="n"/>
    </row>
    <row r="966" ht="15.75" customHeight="1" s="60">
      <c r="A966" s="41" t="n"/>
      <c r="B966" s="41" t="n"/>
    </row>
    <row r="967" ht="15.75" customHeight="1" s="60">
      <c r="A967" s="41" t="n"/>
      <c r="B967" s="41" t="n"/>
    </row>
    <row r="968" ht="15.75" customHeight="1" s="60">
      <c r="A968" s="41" t="n"/>
      <c r="B968" s="41" t="n"/>
    </row>
    <row r="969" ht="15.75" customHeight="1" s="60">
      <c r="A969" s="41" t="n"/>
      <c r="B969" s="41" t="n"/>
    </row>
    <row r="970" ht="15.75" customHeight="1" s="60">
      <c r="A970" s="41" t="n"/>
      <c r="B970" s="41" t="n"/>
    </row>
    <row r="971" ht="15.75" customHeight="1" s="60">
      <c r="A971" s="41" t="n"/>
      <c r="B971" s="41" t="n"/>
    </row>
    <row r="972" ht="15.75" customHeight="1" s="60">
      <c r="A972" s="41" t="n"/>
      <c r="B972" s="41" t="n"/>
    </row>
    <row r="973" ht="15.75" customHeight="1" s="60">
      <c r="A973" s="41" t="n"/>
      <c r="B973" s="41" t="n"/>
    </row>
    <row r="974" ht="15.75" customHeight="1" s="60">
      <c r="A974" s="41" t="n"/>
      <c r="B974" s="41" t="n"/>
    </row>
    <row r="975" ht="15.75" customHeight="1" s="60">
      <c r="A975" s="41" t="n"/>
      <c r="B975" s="41" t="n"/>
    </row>
    <row r="976" ht="15.75" customHeight="1" s="60">
      <c r="A976" s="41" t="n"/>
      <c r="B976" s="41" t="n"/>
    </row>
    <row r="977" ht="15.75" customHeight="1" s="60">
      <c r="A977" s="41" t="n"/>
      <c r="B977" s="41" t="n"/>
    </row>
    <row r="978" ht="15.75" customHeight="1" s="60">
      <c r="A978" s="41" t="n"/>
      <c r="B978" s="41" t="n"/>
    </row>
    <row r="979" ht="15.75" customHeight="1" s="60">
      <c r="A979" s="41" t="n"/>
      <c r="B979" s="41" t="n"/>
    </row>
    <row r="980" ht="15.75" customHeight="1" s="60">
      <c r="A980" s="41" t="n"/>
      <c r="B980" s="41" t="n"/>
    </row>
    <row r="981" ht="15.75" customHeight="1" s="60">
      <c r="A981" s="41" t="n"/>
      <c r="B981" s="41" t="n"/>
    </row>
    <row r="982" ht="15.75" customHeight="1" s="60">
      <c r="A982" s="41" t="n"/>
      <c r="B982" s="41" t="n"/>
    </row>
    <row r="983" ht="15.75" customHeight="1" s="60">
      <c r="A983" s="41" t="n"/>
      <c r="B983" s="41" t="n"/>
    </row>
    <row r="984" ht="15.75" customHeight="1" s="60">
      <c r="A984" s="41" t="n"/>
      <c r="B984" s="41" t="n"/>
    </row>
    <row r="985" ht="15.75" customHeight="1" s="60">
      <c r="A985" s="41" t="n"/>
      <c r="B985" s="41" t="n"/>
    </row>
    <row r="986" ht="15.75" customHeight="1" s="60">
      <c r="A986" s="41" t="n"/>
      <c r="B986" s="41" t="n"/>
    </row>
    <row r="987" ht="15.75" customHeight="1" s="60">
      <c r="A987" s="41" t="n"/>
      <c r="B987" s="41" t="n"/>
    </row>
    <row r="988" ht="15.75" customHeight="1" s="60">
      <c r="A988" s="41" t="n"/>
      <c r="B988" s="41" t="n"/>
    </row>
    <row r="989" ht="15.75" customHeight="1" s="60">
      <c r="A989" s="41" t="n"/>
      <c r="B989" s="41" t="n"/>
    </row>
    <row r="990" ht="15.75" customHeight="1" s="60">
      <c r="A990" s="41" t="n"/>
      <c r="B990" s="41" t="n"/>
    </row>
    <row r="991" ht="15.75" customHeight="1" s="60">
      <c r="A991" s="41" t="n"/>
      <c r="B991" s="41" t="n"/>
    </row>
    <row r="992" ht="15.75" customHeight="1" s="60">
      <c r="A992" s="41" t="n"/>
      <c r="B992" s="41" t="n"/>
    </row>
    <row r="993" ht="15.75" customHeight="1" s="60">
      <c r="A993" s="41" t="n"/>
      <c r="B993" s="41" t="n"/>
    </row>
    <row r="994" ht="15.75" customHeight="1" s="60">
      <c r="A994" s="41" t="n"/>
      <c r="B994" s="41" t="n"/>
    </row>
    <row r="995" ht="15.75" customHeight="1" s="60">
      <c r="A995" s="41" t="n"/>
      <c r="B995" s="41" t="n"/>
    </row>
    <row r="996" ht="15.75" customHeight="1" s="60">
      <c r="A996" s="41" t="n"/>
      <c r="B996" s="41" t="n"/>
    </row>
    <row r="997" ht="15.75" customHeight="1" s="60">
      <c r="A997" s="41" t="n"/>
      <c r="B997" s="41" t="n"/>
    </row>
    <row r="998" ht="15.75" customHeight="1" s="60">
      <c r="A998" s="41" t="n"/>
      <c r="B998" s="41" t="n"/>
    </row>
    <row r="999" ht="15.75" customHeight="1" s="60">
      <c r="A999" s="41" t="n"/>
      <c r="B999" s="41" t="n"/>
    </row>
    <row r="1000" ht="15.75" customHeight="1" s="60">
      <c r="A1000" s="41" t="n"/>
      <c r="B1000" s="41" t="n"/>
    </row>
  </sheetData>
  <pageMargins left="0.75" right="0.75" top="1" bottom="1" header="0" footer="0"/>
  <pageSetup orientation="portrait" paperSize="9"/>
</worksheet>
</file>

<file path=xl/worksheets/sheet13.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42" customWidth="1" style="60" min="1" max="1"/>
    <col width="18" customWidth="1" style="60" min="2" max="2"/>
    <col width="8.710000000000001" customWidth="1" style="60" min="3" max="26"/>
  </cols>
  <sheetData>
    <row r="1" ht="17.25" customHeight="1" s="60">
      <c r="A1" s="1" t="inlineStr">
        <is>
          <t>KUNCI KIRA-KIRA (BALANCE SHEET)</t>
        </is>
      </c>
      <c r="B1" s="16" t="n"/>
    </row>
    <row r="2" ht="15" customHeight="1" s="60">
      <c r="A2" s="5" t="inlineStr">
        <is>
          <t>Setakat 31 Januari 2026 (data contoh)</t>
        </is>
      </c>
      <c r="B2" s="16" t="n"/>
    </row>
    <row r="3" ht="15" customHeight="1" s="60">
      <c r="A3" s="16" t="n"/>
      <c r="B3" s="16" t="n"/>
    </row>
    <row r="4" ht="15" customHeight="1" s="60">
      <c r="A4" s="45" t="inlineStr">
        <is>
          <t>ASET</t>
        </is>
      </c>
      <c r="B4" s="16" t="n"/>
    </row>
    <row r="5" ht="15" customHeight="1" s="60">
      <c r="A5" s="38" t="inlineStr">
        <is>
          <t>Wang Di Tangan</t>
        </is>
      </c>
      <c r="B5" s="40">
        <f>SUMIF(Imbangan_Duga!$A$5:$A$150,1010,Imbangan_Duga!$H$5:$H$150)</f>
        <v/>
      </c>
    </row>
    <row r="6" ht="15" customHeight="1" s="60">
      <c r="A6" s="38" t="inlineStr">
        <is>
          <t>Bank</t>
        </is>
      </c>
      <c r="B6" s="40">
        <f>SUMIF(Imbangan_Duga!$A$5:$A$150,1020,Imbangan_Duga!$H$5:$H$150)</f>
        <v/>
      </c>
    </row>
    <row r="7" ht="15" customHeight="1" s="60">
      <c r="A7" s="38" t="inlineStr">
        <is>
          <t>Deposit Tetap</t>
        </is>
      </c>
      <c r="B7" s="40">
        <f>SUMIF(Imbangan_Duga!$A$5:$A$150,1030,Imbangan_Duga!$H$5:$H$150)</f>
        <v/>
      </c>
    </row>
    <row r="8" ht="15" customHeight="1" s="60">
      <c r="A8" s="38" t="inlineStr">
        <is>
          <t>Aset Tetap</t>
        </is>
      </c>
      <c r="B8" s="40">
        <f>SUMIF(Imbangan_Duga!$A$5:$A$150,1040,Imbangan_Duga!$H$5:$H$150)</f>
        <v/>
      </c>
    </row>
    <row r="9" ht="15" customHeight="1" s="60">
      <c r="A9" s="38" t="inlineStr">
        <is>
          <t>Akaun Deposit Koperasi</t>
        </is>
      </c>
      <c r="B9" s="40">
        <f>SUMIF(Imbangan_Duga!$A$5:$A$150,1050,Imbangan_Duga!$H$5:$H$150)</f>
        <v/>
      </c>
    </row>
    <row r="10" ht="15" customHeight="1" s="60">
      <c r="A10" s="38" t="inlineStr">
        <is>
          <t>Inventori Runcit</t>
        </is>
      </c>
      <c r="B10" s="40">
        <f>SUMIF(Imbangan_Duga!$A$5:$A$150,1060,Imbangan_Duga!$H$5:$H$150)</f>
        <v/>
      </c>
    </row>
    <row r="11" ht="15" customHeight="1" s="60">
      <c r="A11" s="38" t="inlineStr">
        <is>
          <t>Inventori Ayam &amp; Produk Sembelihan</t>
        </is>
      </c>
      <c r="B11" s="40">
        <f>SUMIF(Imbangan_Duga!$A$5:$A$150,1070,Imbangan_Duga!$H$5:$H$150)</f>
        <v/>
      </c>
    </row>
    <row r="12" ht="15" customHeight="1" s="60">
      <c r="A12" s="46" t="inlineStr">
        <is>
          <t>JUMLAH ASET</t>
        </is>
      </c>
      <c r="B12" s="47">
        <f>SUMIF(Imbangan_Duga!$C$5:$C$150,"Aset",Imbangan_Duga!$H$5:$H$150)</f>
        <v/>
      </c>
    </row>
    <row r="13" ht="15" customHeight="1" s="60">
      <c r="A13" s="16" t="n"/>
      <c r="B13" s="48" t="n"/>
    </row>
    <row r="14" ht="15" customHeight="1" s="60">
      <c r="A14" s="45" t="inlineStr">
        <is>
          <t>LIABILITI</t>
        </is>
      </c>
      <c r="B14" s="48" t="n"/>
    </row>
    <row r="15" ht="15" customHeight="1" s="60">
      <c r="A15" s="38" t="inlineStr">
        <is>
          <t>Pelbagai Pemiutang</t>
        </is>
      </c>
      <c r="B15" s="40">
        <f>SUMIF(Imbangan_Duga!$A$5:$A$150,2010,Imbangan_Duga!$H$5:$H$150)</f>
        <v/>
      </c>
    </row>
    <row r="16" ht="15" customHeight="1" s="60">
      <c r="A16" s="38" t="inlineStr">
        <is>
          <t>Dividen Diisytiharkan</t>
        </is>
      </c>
      <c r="B16" s="40">
        <f>SUMIF(Imbangan_Duga!$A$5:$A$150,2020,Imbangan_Duga!$H$5:$H$150)</f>
        <v/>
      </c>
    </row>
    <row r="17" ht="15" customHeight="1" s="60">
      <c r="A17" s="46" t="inlineStr">
        <is>
          <t>JUMLAH LIABILITI</t>
        </is>
      </c>
      <c r="B17" s="47">
        <f>SUMIF(Imbangan_Duga!$C$5:$C$150,"Liabiliti",Imbangan_Duga!$H$5:$H$150)</f>
        <v/>
      </c>
    </row>
    <row r="18" ht="15" customHeight="1" s="60">
      <c r="A18" s="16" t="n"/>
      <c r="B18" s="48" t="n"/>
    </row>
    <row r="19" ht="15" customHeight="1" s="60">
      <c r="A19" s="45" t="inlineStr">
        <is>
          <t>EKUITI AHLI</t>
        </is>
      </c>
      <c r="B19" s="48" t="n"/>
    </row>
    <row r="20" ht="15" customHeight="1" s="60">
      <c r="A20" s="38" t="inlineStr">
        <is>
          <t>Modal Syer Ahli</t>
        </is>
      </c>
      <c r="B20" s="40">
        <f>SUMIF(Imbangan_Duga!$A$5:$A$150,3010,Imbangan_Duga!$H$5:$H$150)</f>
        <v/>
      </c>
    </row>
    <row r="21" ht="15" customHeight="1" s="60">
      <c r="A21" s="38" t="inlineStr">
        <is>
          <t>Rizab Statutori</t>
        </is>
      </c>
      <c r="B21" s="40">
        <f>SUMIF(Imbangan_Duga!$A$5:$A$150,3020,Imbangan_Duga!$H$5:$H$150)</f>
        <v/>
      </c>
    </row>
    <row r="22" ht="15" customHeight="1" s="60">
      <c r="A22" s="38" t="inlineStr">
        <is>
          <t>Lebihan Terkumpul (Tahun Lepas)</t>
        </is>
      </c>
      <c r="B22" s="40">
        <f>SUMIF(Imbangan_Duga!$A$5:$A$150,3030,Imbangan_Duga!$H$5:$H$150)</f>
        <v/>
      </c>
    </row>
    <row r="23" ht="15" customHeight="1" s="60">
      <c r="A23" s="38" t="inlineStr">
        <is>
          <t>Lebihan Tahun Semasa</t>
        </is>
      </c>
      <c r="B23" s="40">
        <f>UR!B36</f>
        <v/>
      </c>
    </row>
    <row r="24" ht="15" customHeight="1" s="60">
      <c r="A24" s="46" t="inlineStr">
        <is>
          <t>JUMLAH EKUITI AHLI</t>
        </is>
      </c>
      <c r="B24" s="47">
        <f>SUM(B20:B23)</f>
        <v/>
      </c>
    </row>
    <row r="25" ht="15" customHeight="1" s="60">
      <c r="A25" s="16" t="n"/>
      <c r="B25" s="48" t="n"/>
    </row>
    <row r="26" ht="15" customHeight="1" s="60">
      <c r="A26" s="32" t="inlineStr">
        <is>
          <t>JUMLAH LIABILITI + EKUITI</t>
        </is>
      </c>
      <c r="B26" s="47">
        <f>B17+B24</f>
        <v/>
      </c>
    </row>
    <row r="27" ht="15" customHeight="1" s="60">
      <c r="A27" s="16" t="n"/>
      <c r="B27" s="16" t="n"/>
    </row>
    <row r="28" ht="15" customHeight="1" s="60">
      <c r="A28" s="32" t="inlineStr">
        <is>
          <t>Semakan:</t>
        </is>
      </c>
      <c r="B28" s="50">
        <f>IF(ROUND(B12-B26,2)=0,"SEIMBANG","TIDAK SEIMBANG - beza RM"&amp;TEXT(B12-B26,"#,##0.00"))</f>
        <v/>
      </c>
    </row>
    <row r="29" ht="15" customHeight="1" s="60">
      <c r="A29" s="16" t="n"/>
      <c r="B29" s="16" t="n"/>
    </row>
    <row r="30" ht="15" customHeight="1" s="60">
      <c r="A30" s="16" t="n"/>
      <c r="B30" s="16" t="n"/>
    </row>
    <row r="31" ht="15" customHeight="1" s="60">
      <c r="A31" s="16" t="n"/>
      <c r="B31" s="16" t="n"/>
    </row>
    <row r="32" ht="15" customHeight="1" s="60">
      <c r="A32" s="16" t="n"/>
      <c r="B32" s="16" t="n"/>
    </row>
    <row r="33" ht="15" customHeight="1" s="60">
      <c r="A33" s="16" t="n"/>
      <c r="B33" s="16" t="n"/>
    </row>
    <row r="34" ht="15" customHeight="1" s="60">
      <c r="A34" s="16" t="n"/>
      <c r="B34" s="16" t="n"/>
    </row>
    <row r="35" ht="15" customHeight="1" s="60">
      <c r="A35" s="16" t="n"/>
      <c r="B35" s="16" t="n"/>
    </row>
    <row r="36" ht="15" customHeight="1" s="60">
      <c r="A36" s="16" t="n"/>
      <c r="B36" s="16" t="n"/>
    </row>
    <row r="37" ht="15" customHeight="1" s="60">
      <c r="A37" s="16" t="n"/>
      <c r="B37" s="16" t="n"/>
    </row>
    <row r="38" ht="15" customHeight="1" s="60">
      <c r="A38" s="16" t="n"/>
      <c r="B38" s="16" t="n"/>
    </row>
    <row r="39" ht="15" customHeight="1" s="60">
      <c r="A39" s="16" t="n"/>
      <c r="B39" s="16" t="n"/>
    </row>
    <row r="40" ht="15" customHeight="1" s="60">
      <c r="A40" s="16" t="n"/>
      <c r="B40" s="16" t="n"/>
    </row>
    <row r="41" ht="15" customHeight="1" s="60">
      <c r="A41" s="16" t="n"/>
      <c r="B41" s="16" t="n"/>
    </row>
    <row r="42" ht="15" customHeight="1" s="60">
      <c r="A42" s="16" t="n"/>
      <c r="B42" s="16" t="n"/>
    </row>
    <row r="43" ht="15" customHeight="1" s="60">
      <c r="A43" s="16" t="n"/>
      <c r="B43" s="16" t="n"/>
    </row>
    <row r="44" ht="15" customHeight="1" s="60">
      <c r="A44" s="16" t="n"/>
      <c r="B44" s="16" t="n"/>
    </row>
    <row r="45" ht="15" customHeight="1" s="60">
      <c r="A45" s="16" t="n"/>
      <c r="B45" s="16" t="n"/>
    </row>
    <row r="46" ht="15" customHeight="1" s="60">
      <c r="A46" s="16" t="n"/>
      <c r="B46" s="16" t="n"/>
    </row>
    <row r="47" ht="15" customHeight="1" s="60">
      <c r="A47" s="16" t="n"/>
      <c r="B47" s="16" t="n"/>
    </row>
    <row r="48" ht="15" customHeight="1" s="60">
      <c r="A48" s="16" t="n"/>
      <c r="B48" s="16" t="n"/>
    </row>
    <row r="49" ht="15" customHeight="1" s="60">
      <c r="A49" s="16" t="n"/>
      <c r="B49" s="16" t="n"/>
    </row>
    <row r="50" ht="15" customHeight="1" s="60">
      <c r="A50" s="16" t="n"/>
      <c r="B50" s="16" t="n"/>
    </row>
    <row r="51" ht="15" customHeight="1" s="60">
      <c r="A51" s="16" t="n"/>
      <c r="B51" s="16" t="n"/>
    </row>
    <row r="52" ht="15" customHeight="1" s="60">
      <c r="A52" s="16" t="n"/>
      <c r="B52" s="16" t="n"/>
    </row>
    <row r="53" ht="15" customHeight="1" s="60">
      <c r="A53" s="16" t="n"/>
      <c r="B53" s="16" t="n"/>
    </row>
    <row r="54" ht="15" customHeight="1" s="60">
      <c r="A54" s="16" t="n"/>
      <c r="B54" s="16" t="n"/>
    </row>
    <row r="55" ht="15" customHeight="1" s="60">
      <c r="A55" s="16" t="n"/>
      <c r="B55" s="16" t="n"/>
    </row>
    <row r="56" ht="15" customHeight="1" s="60">
      <c r="A56" s="16" t="n"/>
      <c r="B56" s="16" t="n"/>
    </row>
    <row r="57" ht="15" customHeight="1" s="60">
      <c r="A57" s="16" t="n"/>
      <c r="B57" s="16" t="n"/>
    </row>
    <row r="58" ht="15" customHeight="1" s="60">
      <c r="A58" s="16" t="n"/>
      <c r="B58" s="16" t="n"/>
    </row>
    <row r="59" ht="15" customHeight="1" s="60">
      <c r="A59" s="16" t="n"/>
      <c r="B59" s="16" t="n"/>
    </row>
    <row r="60" ht="15" customHeight="1" s="60">
      <c r="A60" s="16" t="n"/>
      <c r="B60" s="16" t="n"/>
    </row>
    <row r="61" ht="15.75" customHeight="1" s="60">
      <c r="A61" s="41" t="n"/>
      <c r="B61" s="41" t="n"/>
    </row>
    <row r="62" ht="15.75" customHeight="1" s="60">
      <c r="A62" s="41" t="n"/>
      <c r="B62" s="41" t="n"/>
    </row>
    <row r="63" ht="15.75" customHeight="1" s="60">
      <c r="A63" s="41" t="n"/>
      <c r="B63" s="41" t="n"/>
    </row>
    <row r="64" ht="15.75" customHeight="1" s="60">
      <c r="A64" s="41" t="n"/>
      <c r="B64" s="41" t="n"/>
    </row>
    <row r="65" ht="15.75" customHeight="1" s="60">
      <c r="A65" s="41" t="n"/>
      <c r="B65" s="41" t="n"/>
    </row>
    <row r="66" ht="15.75" customHeight="1" s="60">
      <c r="A66" s="41" t="n"/>
      <c r="B66" s="41" t="n"/>
    </row>
    <row r="67" ht="15.75" customHeight="1" s="60">
      <c r="A67" s="41" t="n"/>
      <c r="B67" s="41" t="n"/>
    </row>
    <row r="68" ht="15.75" customHeight="1" s="60">
      <c r="A68" s="41" t="n"/>
      <c r="B68" s="41" t="n"/>
    </row>
    <row r="69" ht="15.75" customHeight="1" s="60">
      <c r="A69" s="41" t="n"/>
      <c r="B69" s="41" t="n"/>
    </row>
    <row r="70" ht="15.75" customHeight="1" s="60">
      <c r="A70" s="41" t="n"/>
      <c r="B70" s="41" t="n"/>
    </row>
    <row r="71" ht="15.75" customHeight="1" s="60">
      <c r="A71" s="41" t="n"/>
      <c r="B71" s="41" t="n"/>
    </row>
    <row r="72" ht="15.75" customHeight="1" s="60">
      <c r="A72" s="41" t="n"/>
      <c r="B72" s="41" t="n"/>
    </row>
    <row r="73" ht="15.75" customHeight="1" s="60">
      <c r="A73" s="41" t="n"/>
      <c r="B73" s="41" t="n"/>
    </row>
    <row r="74" ht="15.75" customHeight="1" s="60">
      <c r="A74" s="41" t="n"/>
      <c r="B74" s="41" t="n"/>
    </row>
    <row r="75" ht="15.75" customHeight="1" s="60">
      <c r="A75" s="41" t="n"/>
      <c r="B75" s="41" t="n"/>
    </row>
    <row r="76" ht="15.75" customHeight="1" s="60">
      <c r="A76" s="41" t="n"/>
      <c r="B76" s="41" t="n"/>
    </row>
    <row r="77" ht="15.75" customHeight="1" s="60">
      <c r="A77" s="41" t="n"/>
      <c r="B77" s="41" t="n"/>
    </row>
    <row r="78" ht="15.75" customHeight="1" s="60">
      <c r="A78" s="41" t="n"/>
      <c r="B78" s="41" t="n"/>
    </row>
    <row r="79" ht="15.75" customHeight="1" s="60">
      <c r="A79" s="41" t="n"/>
      <c r="B79" s="41" t="n"/>
    </row>
    <row r="80" ht="15.75" customHeight="1" s="60">
      <c r="A80" s="41" t="n"/>
      <c r="B80" s="41" t="n"/>
    </row>
    <row r="81" ht="15.75" customHeight="1" s="60">
      <c r="A81" s="41" t="n"/>
      <c r="B81" s="41" t="n"/>
    </row>
    <row r="82" ht="15.75" customHeight="1" s="60">
      <c r="A82" s="41" t="n"/>
      <c r="B82" s="41" t="n"/>
    </row>
    <row r="83" ht="15.75" customHeight="1" s="60">
      <c r="A83" s="41" t="n"/>
      <c r="B83" s="41" t="n"/>
    </row>
    <row r="84" ht="15.75" customHeight="1" s="60">
      <c r="A84" s="41" t="n"/>
      <c r="B84" s="41" t="n"/>
    </row>
    <row r="85" ht="15.75" customHeight="1" s="60">
      <c r="A85" s="41" t="n"/>
      <c r="B85" s="41" t="n"/>
    </row>
    <row r="86" ht="15.75" customHeight="1" s="60">
      <c r="A86" s="41" t="n"/>
      <c r="B86" s="41" t="n"/>
    </row>
    <row r="87" ht="15.75" customHeight="1" s="60">
      <c r="A87" s="41" t="n"/>
      <c r="B87" s="41" t="n"/>
    </row>
    <row r="88" ht="15.75" customHeight="1" s="60">
      <c r="A88" s="41" t="n"/>
      <c r="B88" s="41" t="n"/>
    </row>
    <row r="89" ht="15.75" customHeight="1" s="60">
      <c r="A89" s="41" t="n"/>
      <c r="B89" s="41" t="n"/>
    </row>
    <row r="90" ht="15.75" customHeight="1" s="60">
      <c r="A90" s="41" t="n"/>
      <c r="B90" s="41" t="n"/>
    </row>
    <row r="91" ht="15.75" customHeight="1" s="60">
      <c r="A91" s="41" t="n"/>
      <c r="B91" s="41" t="n"/>
    </row>
    <row r="92" ht="15.75" customHeight="1" s="60">
      <c r="A92" s="41" t="n"/>
      <c r="B92" s="41" t="n"/>
    </row>
    <row r="93" ht="15.75" customHeight="1" s="60">
      <c r="A93" s="41" t="n"/>
      <c r="B93" s="41" t="n"/>
    </row>
    <row r="94" ht="15.75" customHeight="1" s="60">
      <c r="A94" s="41" t="n"/>
      <c r="B94" s="41" t="n"/>
    </row>
    <row r="95" ht="15.75" customHeight="1" s="60">
      <c r="A95" s="41" t="n"/>
      <c r="B95" s="41" t="n"/>
    </row>
    <row r="96" ht="15.75" customHeight="1" s="60">
      <c r="A96" s="41" t="n"/>
      <c r="B96" s="41" t="n"/>
    </row>
    <row r="97" ht="15.75" customHeight="1" s="60">
      <c r="A97" s="41" t="n"/>
      <c r="B97" s="41" t="n"/>
    </row>
    <row r="98" ht="15.75" customHeight="1" s="60">
      <c r="A98" s="41" t="n"/>
      <c r="B98" s="41" t="n"/>
    </row>
    <row r="99" ht="15.75" customHeight="1" s="60">
      <c r="A99" s="41" t="n"/>
      <c r="B99" s="41" t="n"/>
    </row>
    <row r="100" ht="15.75" customHeight="1" s="60">
      <c r="A100" s="41" t="n"/>
      <c r="B100" s="41" t="n"/>
    </row>
    <row r="101" ht="15.75" customHeight="1" s="60">
      <c r="A101" s="41" t="n"/>
      <c r="B101" s="41" t="n"/>
    </row>
    <row r="102" ht="15.75" customHeight="1" s="60">
      <c r="A102" s="41" t="n"/>
      <c r="B102" s="41" t="n"/>
    </row>
    <row r="103" ht="15.75" customHeight="1" s="60">
      <c r="A103" s="41" t="n"/>
      <c r="B103" s="41" t="n"/>
    </row>
    <row r="104" ht="15.75" customHeight="1" s="60">
      <c r="A104" s="41" t="n"/>
      <c r="B104" s="41" t="n"/>
    </row>
    <row r="105" ht="15.75" customHeight="1" s="60">
      <c r="A105" s="41" t="n"/>
      <c r="B105" s="41" t="n"/>
    </row>
    <row r="106" ht="15.75" customHeight="1" s="60">
      <c r="A106" s="41" t="n"/>
      <c r="B106" s="41" t="n"/>
    </row>
    <row r="107" ht="15.75" customHeight="1" s="60">
      <c r="A107" s="41" t="n"/>
      <c r="B107" s="41" t="n"/>
    </row>
    <row r="108" ht="15.75" customHeight="1" s="60">
      <c r="A108" s="41" t="n"/>
      <c r="B108" s="41" t="n"/>
    </row>
    <row r="109" ht="15.75" customHeight="1" s="60">
      <c r="A109" s="41" t="n"/>
      <c r="B109" s="41" t="n"/>
    </row>
    <row r="110" ht="15.75" customHeight="1" s="60">
      <c r="A110" s="41" t="n"/>
      <c r="B110" s="41" t="n"/>
    </row>
    <row r="111" ht="15.75" customHeight="1" s="60">
      <c r="A111" s="41" t="n"/>
      <c r="B111" s="41" t="n"/>
    </row>
    <row r="112" ht="15.75" customHeight="1" s="60">
      <c r="A112" s="41" t="n"/>
      <c r="B112" s="41" t="n"/>
    </row>
    <row r="113" ht="15.75" customHeight="1" s="60">
      <c r="A113" s="41" t="n"/>
      <c r="B113" s="41" t="n"/>
    </row>
    <row r="114" ht="15.75" customHeight="1" s="60">
      <c r="A114" s="41" t="n"/>
      <c r="B114" s="41" t="n"/>
    </row>
    <row r="115" ht="15.75" customHeight="1" s="60">
      <c r="A115" s="41" t="n"/>
      <c r="B115" s="41" t="n"/>
    </row>
    <row r="116" ht="15.75" customHeight="1" s="60">
      <c r="A116" s="41" t="n"/>
      <c r="B116" s="41" t="n"/>
    </row>
    <row r="117" ht="15.75" customHeight="1" s="60">
      <c r="A117" s="41" t="n"/>
      <c r="B117" s="41" t="n"/>
    </row>
    <row r="118" ht="15.75" customHeight="1" s="60">
      <c r="A118" s="41" t="n"/>
      <c r="B118" s="41" t="n"/>
    </row>
    <row r="119" ht="15.75" customHeight="1" s="60">
      <c r="A119" s="41" t="n"/>
      <c r="B119" s="41" t="n"/>
    </row>
    <row r="120" ht="15.75" customHeight="1" s="60">
      <c r="A120" s="41" t="n"/>
      <c r="B120" s="41" t="n"/>
    </row>
    <row r="121" ht="15.75" customHeight="1" s="60">
      <c r="A121" s="41" t="n"/>
      <c r="B121" s="41" t="n"/>
    </row>
    <row r="122" ht="15.75" customHeight="1" s="60">
      <c r="A122" s="41" t="n"/>
      <c r="B122" s="41" t="n"/>
    </row>
    <row r="123" ht="15.75" customHeight="1" s="60">
      <c r="A123" s="41" t="n"/>
      <c r="B123" s="41" t="n"/>
    </row>
    <row r="124" ht="15.75" customHeight="1" s="60">
      <c r="A124" s="41" t="n"/>
      <c r="B124" s="41" t="n"/>
    </row>
    <row r="125" ht="15.75" customHeight="1" s="60">
      <c r="A125" s="41" t="n"/>
      <c r="B125" s="41" t="n"/>
    </row>
    <row r="126" ht="15.75" customHeight="1" s="60">
      <c r="A126" s="41" t="n"/>
      <c r="B126" s="41" t="n"/>
    </row>
    <row r="127" ht="15.75" customHeight="1" s="60">
      <c r="A127" s="41" t="n"/>
      <c r="B127" s="41" t="n"/>
    </row>
    <row r="128" ht="15.75" customHeight="1" s="60">
      <c r="A128" s="41" t="n"/>
      <c r="B128" s="41" t="n"/>
    </row>
    <row r="129" ht="15.75" customHeight="1" s="60">
      <c r="A129" s="41" t="n"/>
      <c r="B129" s="41" t="n"/>
    </row>
    <row r="130" ht="15.75" customHeight="1" s="60">
      <c r="A130" s="41" t="n"/>
      <c r="B130" s="41" t="n"/>
    </row>
    <row r="131" ht="15.75" customHeight="1" s="60">
      <c r="A131" s="41" t="n"/>
      <c r="B131" s="41" t="n"/>
    </row>
    <row r="132" ht="15.75" customHeight="1" s="60">
      <c r="A132" s="41" t="n"/>
      <c r="B132" s="41" t="n"/>
    </row>
    <row r="133" ht="15.75" customHeight="1" s="60">
      <c r="A133" s="41" t="n"/>
      <c r="B133" s="41" t="n"/>
    </row>
    <row r="134" ht="15.75" customHeight="1" s="60">
      <c r="A134" s="41" t="n"/>
      <c r="B134" s="41" t="n"/>
    </row>
    <row r="135" ht="15.75" customHeight="1" s="60">
      <c r="A135" s="41" t="n"/>
      <c r="B135" s="41" t="n"/>
    </row>
    <row r="136" ht="15.75" customHeight="1" s="60">
      <c r="A136" s="41" t="n"/>
      <c r="B136" s="41" t="n"/>
    </row>
    <row r="137" ht="15.75" customHeight="1" s="60">
      <c r="A137" s="41" t="n"/>
      <c r="B137" s="41" t="n"/>
    </row>
    <row r="138" ht="15.75" customHeight="1" s="60">
      <c r="A138" s="41" t="n"/>
      <c r="B138" s="41" t="n"/>
    </row>
    <row r="139" ht="15.75" customHeight="1" s="60">
      <c r="A139" s="41" t="n"/>
      <c r="B139" s="41" t="n"/>
    </row>
    <row r="140" ht="15.75" customHeight="1" s="60">
      <c r="A140" s="41" t="n"/>
      <c r="B140" s="41" t="n"/>
    </row>
    <row r="141" ht="15.75" customHeight="1" s="60">
      <c r="A141" s="41" t="n"/>
      <c r="B141" s="41" t="n"/>
    </row>
    <row r="142" ht="15.75" customHeight="1" s="60">
      <c r="A142" s="41" t="n"/>
      <c r="B142" s="41" t="n"/>
    </row>
    <row r="143" ht="15.75" customHeight="1" s="60">
      <c r="A143" s="41" t="n"/>
      <c r="B143" s="41" t="n"/>
    </row>
    <row r="144" ht="15.75" customHeight="1" s="60">
      <c r="A144" s="41" t="n"/>
      <c r="B144" s="41" t="n"/>
    </row>
    <row r="145" ht="15.75" customHeight="1" s="60">
      <c r="A145" s="41" t="n"/>
      <c r="B145" s="41" t="n"/>
    </row>
    <row r="146" ht="15.75" customHeight="1" s="60">
      <c r="A146" s="41" t="n"/>
      <c r="B146" s="41" t="n"/>
    </row>
    <row r="147" ht="15.75" customHeight="1" s="60">
      <c r="A147" s="41" t="n"/>
      <c r="B147" s="41" t="n"/>
    </row>
    <row r="148" ht="15.75" customHeight="1" s="60">
      <c r="A148" s="41" t="n"/>
      <c r="B148" s="41" t="n"/>
    </row>
    <row r="149" ht="15.75" customHeight="1" s="60">
      <c r="A149" s="41" t="n"/>
      <c r="B149" s="41" t="n"/>
    </row>
    <row r="150" ht="15.75" customHeight="1" s="60">
      <c r="A150" s="41" t="n"/>
      <c r="B150" s="41" t="n"/>
    </row>
    <row r="151" ht="15.75" customHeight="1" s="60">
      <c r="A151" s="41" t="n"/>
      <c r="B151" s="41" t="n"/>
    </row>
    <row r="152" ht="15.75" customHeight="1" s="60">
      <c r="A152" s="41" t="n"/>
      <c r="B152" s="41" t="n"/>
    </row>
    <row r="153" ht="15.75" customHeight="1" s="60">
      <c r="A153" s="41" t="n"/>
      <c r="B153" s="41" t="n"/>
    </row>
    <row r="154" ht="15.75" customHeight="1" s="60">
      <c r="A154" s="41" t="n"/>
      <c r="B154" s="41" t="n"/>
    </row>
    <row r="155" ht="15.75" customHeight="1" s="60">
      <c r="A155" s="41" t="n"/>
      <c r="B155" s="41" t="n"/>
    </row>
    <row r="156" ht="15.75" customHeight="1" s="60">
      <c r="A156" s="41" t="n"/>
      <c r="B156" s="41" t="n"/>
    </row>
    <row r="157" ht="15.75" customHeight="1" s="60">
      <c r="A157" s="41" t="n"/>
      <c r="B157" s="41" t="n"/>
    </row>
    <row r="158" ht="15.75" customHeight="1" s="60">
      <c r="A158" s="41" t="n"/>
      <c r="B158" s="41" t="n"/>
    </row>
    <row r="159" ht="15.75" customHeight="1" s="60">
      <c r="A159" s="41" t="n"/>
      <c r="B159" s="41" t="n"/>
    </row>
    <row r="160" ht="15.75" customHeight="1" s="60">
      <c r="A160" s="41" t="n"/>
      <c r="B160" s="41" t="n"/>
    </row>
    <row r="161" ht="15.75" customHeight="1" s="60">
      <c r="A161" s="41" t="n"/>
      <c r="B161" s="41" t="n"/>
    </row>
    <row r="162" ht="15.75" customHeight="1" s="60">
      <c r="A162" s="41" t="n"/>
      <c r="B162" s="41" t="n"/>
    </row>
    <row r="163" ht="15.75" customHeight="1" s="60">
      <c r="A163" s="41" t="n"/>
      <c r="B163" s="41" t="n"/>
    </row>
    <row r="164" ht="15.75" customHeight="1" s="60">
      <c r="A164" s="41" t="n"/>
      <c r="B164" s="41" t="n"/>
    </row>
    <row r="165" ht="15.75" customHeight="1" s="60">
      <c r="A165" s="41" t="n"/>
      <c r="B165" s="41" t="n"/>
    </row>
    <row r="166" ht="15.75" customHeight="1" s="60">
      <c r="A166" s="41" t="n"/>
      <c r="B166" s="41" t="n"/>
    </row>
    <row r="167" ht="15.75" customHeight="1" s="60">
      <c r="A167" s="41" t="n"/>
      <c r="B167" s="41" t="n"/>
    </row>
    <row r="168" ht="15.75" customHeight="1" s="60">
      <c r="A168" s="41" t="n"/>
      <c r="B168" s="41" t="n"/>
    </row>
    <row r="169" ht="15.75" customHeight="1" s="60">
      <c r="A169" s="41" t="n"/>
      <c r="B169" s="41" t="n"/>
    </row>
    <row r="170" ht="15.75" customHeight="1" s="60">
      <c r="A170" s="41" t="n"/>
      <c r="B170" s="41" t="n"/>
    </row>
    <row r="171" ht="15.75" customHeight="1" s="60">
      <c r="A171" s="41" t="n"/>
      <c r="B171" s="41" t="n"/>
    </row>
    <row r="172" ht="15.75" customHeight="1" s="60">
      <c r="A172" s="41" t="n"/>
      <c r="B172" s="41" t="n"/>
    </row>
    <row r="173" ht="15.75" customHeight="1" s="60">
      <c r="A173" s="41" t="n"/>
      <c r="B173" s="41" t="n"/>
    </row>
    <row r="174" ht="15.75" customHeight="1" s="60">
      <c r="A174" s="41" t="n"/>
      <c r="B174" s="41" t="n"/>
    </row>
    <row r="175" ht="15.75" customHeight="1" s="60">
      <c r="A175" s="41" t="n"/>
      <c r="B175" s="41" t="n"/>
    </row>
    <row r="176" ht="15.75" customHeight="1" s="60">
      <c r="A176" s="41" t="n"/>
      <c r="B176" s="41" t="n"/>
    </row>
    <row r="177" ht="15.75" customHeight="1" s="60">
      <c r="A177" s="41" t="n"/>
      <c r="B177" s="41" t="n"/>
    </row>
    <row r="178" ht="15.75" customHeight="1" s="60">
      <c r="A178" s="41" t="n"/>
      <c r="B178" s="41" t="n"/>
    </row>
    <row r="179" ht="15.75" customHeight="1" s="60">
      <c r="A179" s="41" t="n"/>
      <c r="B179" s="41" t="n"/>
    </row>
    <row r="180" ht="15.75" customHeight="1" s="60">
      <c r="A180" s="41" t="n"/>
      <c r="B180" s="41" t="n"/>
    </row>
    <row r="181" ht="15.75" customHeight="1" s="60">
      <c r="A181" s="41" t="n"/>
      <c r="B181" s="41" t="n"/>
    </row>
    <row r="182" ht="15.75" customHeight="1" s="60">
      <c r="A182" s="41" t="n"/>
      <c r="B182" s="41" t="n"/>
    </row>
    <row r="183" ht="15.75" customHeight="1" s="60">
      <c r="A183" s="41" t="n"/>
      <c r="B183" s="41" t="n"/>
    </row>
    <row r="184" ht="15.75" customHeight="1" s="60">
      <c r="A184" s="41" t="n"/>
      <c r="B184" s="41" t="n"/>
    </row>
    <row r="185" ht="15.75" customHeight="1" s="60">
      <c r="A185" s="41" t="n"/>
      <c r="B185" s="41" t="n"/>
    </row>
    <row r="186" ht="15.75" customHeight="1" s="60">
      <c r="A186" s="41" t="n"/>
      <c r="B186" s="41" t="n"/>
    </row>
    <row r="187" ht="15.75" customHeight="1" s="60">
      <c r="A187" s="41" t="n"/>
      <c r="B187" s="41" t="n"/>
    </row>
    <row r="188" ht="15.75" customHeight="1" s="60">
      <c r="A188" s="41" t="n"/>
      <c r="B188" s="41" t="n"/>
    </row>
    <row r="189" ht="15.75" customHeight="1" s="60">
      <c r="A189" s="41" t="n"/>
      <c r="B189" s="41" t="n"/>
    </row>
    <row r="190" ht="15.75" customHeight="1" s="60">
      <c r="A190" s="41" t="n"/>
      <c r="B190" s="41" t="n"/>
    </row>
    <row r="191" ht="15.75" customHeight="1" s="60">
      <c r="A191" s="41" t="n"/>
      <c r="B191" s="41" t="n"/>
    </row>
    <row r="192" ht="15.75" customHeight="1" s="60">
      <c r="A192" s="41" t="n"/>
      <c r="B192" s="41" t="n"/>
    </row>
    <row r="193" ht="15.75" customHeight="1" s="60">
      <c r="A193" s="41" t="n"/>
      <c r="B193" s="41" t="n"/>
    </row>
    <row r="194" ht="15.75" customHeight="1" s="60">
      <c r="A194" s="41" t="n"/>
      <c r="B194" s="41" t="n"/>
    </row>
    <row r="195" ht="15.75" customHeight="1" s="60">
      <c r="A195" s="41" t="n"/>
      <c r="B195" s="41" t="n"/>
    </row>
    <row r="196" ht="15.75" customHeight="1" s="60">
      <c r="A196" s="41" t="n"/>
      <c r="B196" s="41" t="n"/>
    </row>
    <row r="197" ht="15.75" customHeight="1" s="60">
      <c r="A197" s="41" t="n"/>
      <c r="B197" s="41" t="n"/>
    </row>
    <row r="198" ht="15.75" customHeight="1" s="60">
      <c r="A198" s="41" t="n"/>
      <c r="B198" s="41" t="n"/>
    </row>
    <row r="199" ht="15.75" customHeight="1" s="60">
      <c r="A199" s="41" t="n"/>
      <c r="B199" s="41" t="n"/>
    </row>
    <row r="200" ht="15.75" customHeight="1" s="60">
      <c r="A200" s="41" t="n"/>
      <c r="B200" s="41" t="n"/>
    </row>
    <row r="201" ht="15.75" customHeight="1" s="60">
      <c r="A201" s="41" t="n"/>
      <c r="B201" s="41" t="n"/>
    </row>
    <row r="202" ht="15.75" customHeight="1" s="60">
      <c r="A202" s="41" t="n"/>
      <c r="B202" s="41" t="n"/>
    </row>
    <row r="203" ht="15.75" customHeight="1" s="60">
      <c r="A203" s="41" t="n"/>
      <c r="B203" s="41" t="n"/>
    </row>
    <row r="204" ht="15.75" customHeight="1" s="60">
      <c r="A204" s="41" t="n"/>
      <c r="B204" s="41" t="n"/>
    </row>
    <row r="205" ht="15.75" customHeight="1" s="60">
      <c r="A205" s="41" t="n"/>
      <c r="B205" s="41" t="n"/>
    </row>
    <row r="206" ht="15.75" customHeight="1" s="60">
      <c r="A206" s="41" t="n"/>
      <c r="B206" s="41" t="n"/>
    </row>
    <row r="207" ht="15.75" customHeight="1" s="60">
      <c r="A207" s="41" t="n"/>
      <c r="B207" s="41" t="n"/>
    </row>
    <row r="208" ht="15.75" customHeight="1" s="60">
      <c r="A208" s="41" t="n"/>
      <c r="B208" s="41" t="n"/>
    </row>
    <row r="209" ht="15.75" customHeight="1" s="60">
      <c r="A209" s="41" t="n"/>
      <c r="B209" s="41" t="n"/>
    </row>
    <row r="210" ht="15.75" customHeight="1" s="60">
      <c r="A210" s="41" t="n"/>
      <c r="B210" s="41" t="n"/>
    </row>
    <row r="211" ht="15.75" customHeight="1" s="60">
      <c r="A211" s="41" t="n"/>
      <c r="B211" s="41" t="n"/>
    </row>
    <row r="212" ht="15.75" customHeight="1" s="60">
      <c r="A212" s="41" t="n"/>
      <c r="B212" s="41" t="n"/>
    </row>
    <row r="213" ht="15.75" customHeight="1" s="60">
      <c r="A213" s="41" t="n"/>
      <c r="B213" s="41" t="n"/>
    </row>
    <row r="214" ht="15.75" customHeight="1" s="60">
      <c r="A214" s="41" t="n"/>
      <c r="B214" s="41" t="n"/>
    </row>
    <row r="215" ht="15.75" customHeight="1" s="60">
      <c r="A215" s="41" t="n"/>
      <c r="B215" s="41" t="n"/>
    </row>
    <row r="216" ht="15.75" customHeight="1" s="60">
      <c r="A216" s="41" t="n"/>
      <c r="B216" s="41" t="n"/>
    </row>
    <row r="217" ht="15.75" customHeight="1" s="60">
      <c r="A217" s="41" t="n"/>
      <c r="B217" s="41" t="n"/>
    </row>
    <row r="218" ht="15.75" customHeight="1" s="60">
      <c r="A218" s="41" t="n"/>
      <c r="B218" s="41" t="n"/>
    </row>
    <row r="219" ht="15.75" customHeight="1" s="60">
      <c r="A219" s="41" t="n"/>
      <c r="B219" s="41" t="n"/>
    </row>
    <row r="220" ht="15.75" customHeight="1" s="60">
      <c r="A220" s="41" t="n"/>
      <c r="B220" s="41" t="n"/>
    </row>
    <row r="221" ht="15.75" customHeight="1" s="60">
      <c r="A221" s="41" t="n"/>
      <c r="B221" s="41" t="n"/>
    </row>
    <row r="222" ht="15.75" customHeight="1" s="60">
      <c r="A222" s="41" t="n"/>
      <c r="B222" s="41" t="n"/>
    </row>
    <row r="223" ht="15.75" customHeight="1" s="60">
      <c r="A223" s="41" t="n"/>
      <c r="B223" s="41" t="n"/>
    </row>
    <row r="224" ht="15.75" customHeight="1" s="60">
      <c r="A224" s="41" t="n"/>
      <c r="B224" s="41" t="n"/>
    </row>
    <row r="225" ht="15.75" customHeight="1" s="60">
      <c r="A225" s="41" t="n"/>
      <c r="B225" s="41" t="n"/>
    </row>
    <row r="226" ht="15.75" customHeight="1" s="60">
      <c r="A226" s="41" t="n"/>
      <c r="B226" s="41" t="n"/>
    </row>
    <row r="227" ht="15.75" customHeight="1" s="60">
      <c r="A227" s="41" t="n"/>
      <c r="B227" s="41" t="n"/>
    </row>
    <row r="228" ht="15.75" customHeight="1" s="60">
      <c r="A228" s="41" t="n"/>
      <c r="B228" s="41" t="n"/>
    </row>
    <row r="229" ht="15.75" customHeight="1" s="60">
      <c r="A229" s="41" t="n"/>
      <c r="B229" s="41" t="n"/>
    </row>
    <row r="230" ht="15.75" customHeight="1" s="60">
      <c r="A230" s="41" t="n"/>
      <c r="B230" s="41" t="n"/>
    </row>
    <row r="231" ht="15.75" customHeight="1" s="60">
      <c r="A231" s="41" t="n"/>
      <c r="B231" s="41" t="n"/>
    </row>
    <row r="232" ht="15.75" customHeight="1" s="60">
      <c r="A232" s="41" t="n"/>
      <c r="B232" s="41" t="n"/>
    </row>
    <row r="233" ht="15.75" customHeight="1" s="60">
      <c r="A233" s="41" t="n"/>
      <c r="B233" s="41" t="n"/>
    </row>
    <row r="234" ht="15.75" customHeight="1" s="60">
      <c r="A234" s="41" t="n"/>
      <c r="B234" s="41" t="n"/>
    </row>
    <row r="235" ht="15.75" customHeight="1" s="60">
      <c r="A235" s="41" t="n"/>
      <c r="B235" s="41" t="n"/>
    </row>
    <row r="236" ht="15.75" customHeight="1" s="60">
      <c r="A236" s="41" t="n"/>
      <c r="B236" s="41" t="n"/>
    </row>
    <row r="237" ht="15.75" customHeight="1" s="60">
      <c r="A237" s="41" t="n"/>
      <c r="B237" s="41" t="n"/>
    </row>
    <row r="238" ht="15.75" customHeight="1" s="60">
      <c r="A238" s="41" t="n"/>
      <c r="B238" s="41" t="n"/>
    </row>
    <row r="239" ht="15.75" customHeight="1" s="60">
      <c r="A239" s="41" t="n"/>
      <c r="B239" s="41" t="n"/>
    </row>
    <row r="240" ht="15.75" customHeight="1" s="60">
      <c r="A240" s="41" t="n"/>
      <c r="B240" s="41" t="n"/>
    </row>
    <row r="241" ht="15.75" customHeight="1" s="60">
      <c r="A241" s="41" t="n"/>
      <c r="B241" s="41" t="n"/>
    </row>
    <row r="242" ht="15.75" customHeight="1" s="60">
      <c r="A242" s="41" t="n"/>
      <c r="B242" s="41" t="n"/>
    </row>
    <row r="243" ht="15.75" customHeight="1" s="60">
      <c r="A243" s="41" t="n"/>
      <c r="B243" s="41" t="n"/>
    </row>
    <row r="244" ht="15.75" customHeight="1" s="60">
      <c r="A244" s="41" t="n"/>
      <c r="B244" s="41" t="n"/>
    </row>
    <row r="245" ht="15.75" customHeight="1" s="60">
      <c r="A245" s="41" t="n"/>
      <c r="B245" s="41" t="n"/>
    </row>
    <row r="246" ht="15.75" customHeight="1" s="60">
      <c r="A246" s="41" t="n"/>
      <c r="B246" s="41" t="n"/>
    </row>
    <row r="247" ht="15.75" customHeight="1" s="60">
      <c r="A247" s="41" t="n"/>
      <c r="B247" s="41" t="n"/>
    </row>
    <row r="248" ht="15.75" customHeight="1" s="60">
      <c r="A248" s="41" t="n"/>
      <c r="B248" s="41" t="n"/>
    </row>
    <row r="249" ht="15.75" customHeight="1" s="60">
      <c r="A249" s="41" t="n"/>
      <c r="B249" s="41" t="n"/>
    </row>
    <row r="250" ht="15.75" customHeight="1" s="60">
      <c r="A250" s="41" t="n"/>
      <c r="B250" s="41" t="n"/>
    </row>
    <row r="251" ht="15.75" customHeight="1" s="60">
      <c r="A251" s="41" t="n"/>
      <c r="B251" s="41" t="n"/>
    </row>
    <row r="252" ht="15.75" customHeight="1" s="60">
      <c r="A252" s="41" t="n"/>
      <c r="B252" s="41" t="n"/>
    </row>
    <row r="253" ht="15.75" customHeight="1" s="60">
      <c r="A253" s="41" t="n"/>
      <c r="B253" s="41" t="n"/>
    </row>
    <row r="254" ht="15.75" customHeight="1" s="60">
      <c r="A254" s="41" t="n"/>
      <c r="B254" s="41" t="n"/>
    </row>
    <row r="255" ht="15.75" customHeight="1" s="60">
      <c r="A255" s="41" t="n"/>
      <c r="B255" s="41" t="n"/>
    </row>
    <row r="256" ht="15.75" customHeight="1" s="60">
      <c r="A256" s="41" t="n"/>
      <c r="B256" s="41" t="n"/>
    </row>
    <row r="257" ht="15.75" customHeight="1" s="60">
      <c r="A257" s="41" t="n"/>
      <c r="B257" s="41" t="n"/>
    </row>
    <row r="258" ht="15.75" customHeight="1" s="60">
      <c r="A258" s="41" t="n"/>
      <c r="B258" s="41" t="n"/>
    </row>
    <row r="259" ht="15.75" customHeight="1" s="60">
      <c r="A259" s="41" t="n"/>
      <c r="B259" s="41" t="n"/>
    </row>
    <row r="260" ht="15.75" customHeight="1" s="60">
      <c r="A260" s="41" t="n"/>
      <c r="B260" s="41" t="n"/>
    </row>
    <row r="261" ht="15.75" customHeight="1" s="60">
      <c r="A261" s="41" t="n"/>
      <c r="B261" s="41" t="n"/>
    </row>
    <row r="262" ht="15.75" customHeight="1" s="60">
      <c r="A262" s="41" t="n"/>
      <c r="B262" s="41" t="n"/>
    </row>
    <row r="263" ht="15.75" customHeight="1" s="60">
      <c r="A263" s="41" t="n"/>
      <c r="B263" s="41" t="n"/>
    </row>
    <row r="264" ht="15.75" customHeight="1" s="60">
      <c r="A264" s="41" t="n"/>
      <c r="B264" s="41" t="n"/>
    </row>
    <row r="265" ht="15.75" customHeight="1" s="60">
      <c r="A265" s="41" t="n"/>
      <c r="B265" s="41" t="n"/>
    </row>
    <row r="266" ht="15.75" customHeight="1" s="60">
      <c r="A266" s="41" t="n"/>
      <c r="B266" s="41" t="n"/>
    </row>
    <row r="267" ht="15.75" customHeight="1" s="60">
      <c r="A267" s="41" t="n"/>
      <c r="B267" s="41" t="n"/>
    </row>
    <row r="268" ht="15.75" customHeight="1" s="60">
      <c r="A268" s="41" t="n"/>
      <c r="B268" s="41" t="n"/>
    </row>
    <row r="269" ht="15.75" customHeight="1" s="60">
      <c r="A269" s="41" t="n"/>
      <c r="B269" s="41" t="n"/>
    </row>
    <row r="270" ht="15.75" customHeight="1" s="60">
      <c r="A270" s="41" t="n"/>
      <c r="B270" s="41" t="n"/>
    </row>
    <row r="271" ht="15.75" customHeight="1" s="60">
      <c r="A271" s="41" t="n"/>
      <c r="B271" s="41" t="n"/>
    </row>
    <row r="272" ht="15.75" customHeight="1" s="60">
      <c r="A272" s="41" t="n"/>
      <c r="B272" s="41" t="n"/>
    </row>
    <row r="273" ht="15.75" customHeight="1" s="60">
      <c r="A273" s="41" t="n"/>
      <c r="B273" s="41" t="n"/>
    </row>
    <row r="274" ht="15.75" customHeight="1" s="60">
      <c r="A274" s="41" t="n"/>
      <c r="B274" s="41" t="n"/>
    </row>
    <row r="275" ht="15.75" customHeight="1" s="60">
      <c r="A275" s="41" t="n"/>
      <c r="B275" s="41" t="n"/>
    </row>
    <row r="276" ht="15.75" customHeight="1" s="60">
      <c r="A276" s="41" t="n"/>
      <c r="B276" s="41" t="n"/>
    </row>
    <row r="277" ht="15.75" customHeight="1" s="60">
      <c r="A277" s="41" t="n"/>
      <c r="B277" s="41" t="n"/>
    </row>
    <row r="278" ht="15.75" customHeight="1" s="60">
      <c r="A278" s="41" t="n"/>
      <c r="B278" s="41" t="n"/>
    </row>
    <row r="279" ht="15.75" customHeight="1" s="60">
      <c r="A279" s="41" t="n"/>
      <c r="B279" s="41" t="n"/>
    </row>
    <row r="280" ht="15.75" customHeight="1" s="60">
      <c r="A280" s="41" t="n"/>
      <c r="B280" s="41" t="n"/>
    </row>
    <row r="281" ht="15.75" customHeight="1" s="60">
      <c r="A281" s="41" t="n"/>
      <c r="B281" s="41" t="n"/>
    </row>
    <row r="282" ht="15.75" customHeight="1" s="60">
      <c r="A282" s="41" t="n"/>
      <c r="B282" s="41" t="n"/>
    </row>
    <row r="283" ht="15.75" customHeight="1" s="60">
      <c r="A283" s="41" t="n"/>
      <c r="B283" s="41" t="n"/>
    </row>
    <row r="284" ht="15.75" customHeight="1" s="60">
      <c r="A284" s="41" t="n"/>
      <c r="B284" s="41" t="n"/>
    </row>
    <row r="285" ht="15.75" customHeight="1" s="60">
      <c r="A285" s="41" t="n"/>
      <c r="B285" s="41" t="n"/>
    </row>
    <row r="286" ht="15.75" customHeight="1" s="60">
      <c r="A286" s="41" t="n"/>
      <c r="B286" s="41" t="n"/>
    </row>
    <row r="287" ht="15.75" customHeight="1" s="60">
      <c r="A287" s="41" t="n"/>
      <c r="B287" s="41" t="n"/>
    </row>
    <row r="288" ht="15.75" customHeight="1" s="60">
      <c r="A288" s="41" t="n"/>
      <c r="B288" s="41" t="n"/>
    </row>
    <row r="289" ht="15.75" customHeight="1" s="60">
      <c r="A289" s="41" t="n"/>
      <c r="B289" s="41" t="n"/>
    </row>
    <row r="290" ht="15.75" customHeight="1" s="60">
      <c r="A290" s="41" t="n"/>
      <c r="B290" s="41" t="n"/>
    </row>
    <row r="291" ht="15.75" customHeight="1" s="60">
      <c r="A291" s="41" t="n"/>
      <c r="B291" s="41" t="n"/>
    </row>
    <row r="292" ht="15.75" customHeight="1" s="60">
      <c r="A292" s="41" t="n"/>
      <c r="B292" s="41" t="n"/>
    </row>
    <row r="293" ht="15.75" customHeight="1" s="60">
      <c r="A293" s="41" t="n"/>
      <c r="B293" s="41" t="n"/>
    </row>
    <row r="294" ht="15.75" customHeight="1" s="60">
      <c r="A294" s="41" t="n"/>
      <c r="B294" s="41" t="n"/>
    </row>
    <row r="295" ht="15.75" customHeight="1" s="60">
      <c r="A295" s="41" t="n"/>
      <c r="B295" s="41" t="n"/>
    </row>
    <row r="296" ht="15.75" customHeight="1" s="60">
      <c r="A296" s="41" t="n"/>
      <c r="B296" s="41" t="n"/>
    </row>
    <row r="297" ht="15.75" customHeight="1" s="60">
      <c r="A297" s="41" t="n"/>
      <c r="B297" s="41" t="n"/>
    </row>
    <row r="298" ht="15.75" customHeight="1" s="60">
      <c r="A298" s="41" t="n"/>
      <c r="B298" s="41" t="n"/>
    </row>
    <row r="299" ht="15.75" customHeight="1" s="60">
      <c r="A299" s="41" t="n"/>
      <c r="B299" s="41" t="n"/>
    </row>
    <row r="300" ht="15.75" customHeight="1" s="60">
      <c r="A300" s="41" t="n"/>
      <c r="B300" s="41" t="n"/>
    </row>
    <row r="301" ht="15.75" customHeight="1" s="60">
      <c r="A301" s="41" t="n"/>
      <c r="B301" s="41" t="n"/>
    </row>
    <row r="302" ht="15.75" customHeight="1" s="60">
      <c r="A302" s="41" t="n"/>
      <c r="B302" s="41" t="n"/>
    </row>
    <row r="303" ht="15.75" customHeight="1" s="60">
      <c r="A303" s="41" t="n"/>
      <c r="B303" s="41" t="n"/>
    </row>
    <row r="304" ht="15.75" customHeight="1" s="60">
      <c r="A304" s="41" t="n"/>
      <c r="B304" s="41" t="n"/>
    </row>
    <row r="305" ht="15.75" customHeight="1" s="60">
      <c r="A305" s="41" t="n"/>
      <c r="B305" s="41" t="n"/>
    </row>
    <row r="306" ht="15.75" customHeight="1" s="60">
      <c r="A306" s="41" t="n"/>
      <c r="B306" s="41" t="n"/>
    </row>
    <row r="307" ht="15.75" customHeight="1" s="60">
      <c r="A307" s="41" t="n"/>
      <c r="B307" s="41" t="n"/>
    </row>
    <row r="308" ht="15.75" customHeight="1" s="60">
      <c r="A308" s="41" t="n"/>
      <c r="B308" s="41" t="n"/>
    </row>
    <row r="309" ht="15.75" customHeight="1" s="60">
      <c r="A309" s="41" t="n"/>
      <c r="B309" s="41" t="n"/>
    </row>
    <row r="310" ht="15.75" customHeight="1" s="60">
      <c r="A310" s="41" t="n"/>
      <c r="B310" s="41" t="n"/>
    </row>
    <row r="311" ht="15.75" customHeight="1" s="60">
      <c r="A311" s="41" t="n"/>
      <c r="B311" s="41" t="n"/>
    </row>
    <row r="312" ht="15.75" customHeight="1" s="60">
      <c r="A312" s="41" t="n"/>
      <c r="B312" s="41" t="n"/>
    </row>
    <row r="313" ht="15.75" customHeight="1" s="60">
      <c r="A313" s="41" t="n"/>
      <c r="B313" s="41" t="n"/>
    </row>
    <row r="314" ht="15.75" customHeight="1" s="60">
      <c r="A314" s="41" t="n"/>
      <c r="B314" s="41" t="n"/>
    </row>
    <row r="315" ht="15.75" customHeight="1" s="60">
      <c r="A315" s="41" t="n"/>
      <c r="B315" s="41" t="n"/>
    </row>
    <row r="316" ht="15.75" customHeight="1" s="60">
      <c r="A316" s="41" t="n"/>
      <c r="B316" s="41" t="n"/>
    </row>
    <row r="317" ht="15.75" customHeight="1" s="60">
      <c r="A317" s="41" t="n"/>
      <c r="B317" s="41" t="n"/>
    </row>
    <row r="318" ht="15.75" customHeight="1" s="60">
      <c r="A318" s="41" t="n"/>
      <c r="B318" s="41" t="n"/>
    </row>
    <row r="319" ht="15.75" customHeight="1" s="60">
      <c r="A319" s="41" t="n"/>
      <c r="B319" s="41" t="n"/>
    </row>
    <row r="320" ht="15.75" customHeight="1" s="60">
      <c r="A320" s="41" t="n"/>
      <c r="B320" s="41" t="n"/>
    </row>
    <row r="321" ht="15.75" customHeight="1" s="60">
      <c r="A321" s="41" t="n"/>
      <c r="B321" s="41" t="n"/>
    </row>
    <row r="322" ht="15.75" customHeight="1" s="60">
      <c r="A322" s="41" t="n"/>
      <c r="B322" s="41" t="n"/>
    </row>
    <row r="323" ht="15.75" customHeight="1" s="60">
      <c r="A323" s="41" t="n"/>
      <c r="B323" s="41" t="n"/>
    </row>
    <row r="324" ht="15.75" customHeight="1" s="60">
      <c r="A324" s="41" t="n"/>
      <c r="B324" s="41" t="n"/>
    </row>
    <row r="325" ht="15.75" customHeight="1" s="60">
      <c r="A325" s="41" t="n"/>
      <c r="B325" s="41" t="n"/>
    </row>
    <row r="326" ht="15.75" customHeight="1" s="60">
      <c r="A326" s="41" t="n"/>
      <c r="B326" s="41" t="n"/>
    </row>
    <row r="327" ht="15.75" customHeight="1" s="60">
      <c r="A327" s="41" t="n"/>
      <c r="B327" s="41" t="n"/>
    </row>
    <row r="328" ht="15.75" customHeight="1" s="60">
      <c r="A328" s="41" t="n"/>
      <c r="B328" s="41" t="n"/>
    </row>
    <row r="329" ht="15.75" customHeight="1" s="60">
      <c r="A329" s="41" t="n"/>
      <c r="B329" s="41" t="n"/>
    </row>
    <row r="330" ht="15.75" customHeight="1" s="60">
      <c r="A330" s="41" t="n"/>
      <c r="B330" s="41" t="n"/>
    </row>
    <row r="331" ht="15.75" customHeight="1" s="60">
      <c r="A331" s="41" t="n"/>
      <c r="B331" s="41" t="n"/>
    </row>
    <row r="332" ht="15.75" customHeight="1" s="60">
      <c r="A332" s="41" t="n"/>
      <c r="B332" s="41" t="n"/>
    </row>
    <row r="333" ht="15.75" customHeight="1" s="60">
      <c r="A333" s="41" t="n"/>
      <c r="B333" s="41" t="n"/>
    </row>
    <row r="334" ht="15.75" customHeight="1" s="60">
      <c r="A334" s="41" t="n"/>
      <c r="B334" s="41" t="n"/>
    </row>
    <row r="335" ht="15.75" customHeight="1" s="60">
      <c r="A335" s="41" t="n"/>
      <c r="B335" s="41" t="n"/>
    </row>
    <row r="336" ht="15.75" customHeight="1" s="60">
      <c r="A336" s="41" t="n"/>
      <c r="B336" s="41" t="n"/>
    </row>
    <row r="337" ht="15.75" customHeight="1" s="60">
      <c r="A337" s="41" t="n"/>
      <c r="B337" s="41" t="n"/>
    </row>
    <row r="338" ht="15.75" customHeight="1" s="60">
      <c r="A338" s="41" t="n"/>
      <c r="B338" s="41" t="n"/>
    </row>
    <row r="339" ht="15.75" customHeight="1" s="60">
      <c r="A339" s="41" t="n"/>
      <c r="B339" s="41" t="n"/>
    </row>
    <row r="340" ht="15.75" customHeight="1" s="60">
      <c r="A340" s="41" t="n"/>
      <c r="B340" s="41" t="n"/>
    </row>
    <row r="341" ht="15.75" customHeight="1" s="60">
      <c r="A341" s="41" t="n"/>
      <c r="B341" s="41" t="n"/>
    </row>
    <row r="342" ht="15.75" customHeight="1" s="60">
      <c r="A342" s="41" t="n"/>
      <c r="B342" s="41" t="n"/>
    </row>
    <row r="343" ht="15.75" customHeight="1" s="60">
      <c r="A343" s="41" t="n"/>
      <c r="B343" s="41" t="n"/>
    </row>
    <row r="344" ht="15.75" customHeight="1" s="60">
      <c r="A344" s="41" t="n"/>
      <c r="B344" s="41" t="n"/>
    </row>
    <row r="345" ht="15.75" customHeight="1" s="60">
      <c r="A345" s="41" t="n"/>
      <c r="B345" s="41" t="n"/>
    </row>
    <row r="346" ht="15.75" customHeight="1" s="60">
      <c r="A346" s="41" t="n"/>
      <c r="B346" s="41" t="n"/>
    </row>
    <row r="347" ht="15.75" customHeight="1" s="60">
      <c r="A347" s="41" t="n"/>
      <c r="B347" s="41" t="n"/>
    </row>
    <row r="348" ht="15.75" customHeight="1" s="60">
      <c r="A348" s="41" t="n"/>
      <c r="B348" s="41" t="n"/>
    </row>
    <row r="349" ht="15.75" customHeight="1" s="60">
      <c r="A349" s="41" t="n"/>
      <c r="B349" s="41" t="n"/>
    </row>
    <row r="350" ht="15.75" customHeight="1" s="60">
      <c r="A350" s="41" t="n"/>
      <c r="B350" s="41" t="n"/>
    </row>
    <row r="351" ht="15.75" customHeight="1" s="60">
      <c r="A351" s="41" t="n"/>
      <c r="B351" s="41" t="n"/>
    </row>
    <row r="352" ht="15.75" customHeight="1" s="60">
      <c r="A352" s="41" t="n"/>
      <c r="B352" s="41" t="n"/>
    </row>
    <row r="353" ht="15.75" customHeight="1" s="60">
      <c r="A353" s="41" t="n"/>
      <c r="B353" s="41" t="n"/>
    </row>
    <row r="354" ht="15.75" customHeight="1" s="60">
      <c r="A354" s="41" t="n"/>
      <c r="B354" s="41" t="n"/>
    </row>
    <row r="355" ht="15.75" customHeight="1" s="60">
      <c r="A355" s="41" t="n"/>
      <c r="B355" s="41" t="n"/>
    </row>
    <row r="356" ht="15.75" customHeight="1" s="60">
      <c r="A356" s="41" t="n"/>
      <c r="B356" s="41" t="n"/>
    </row>
    <row r="357" ht="15.75" customHeight="1" s="60">
      <c r="A357" s="41" t="n"/>
      <c r="B357" s="41" t="n"/>
    </row>
    <row r="358" ht="15.75" customHeight="1" s="60">
      <c r="A358" s="41" t="n"/>
      <c r="B358" s="41" t="n"/>
    </row>
    <row r="359" ht="15.75" customHeight="1" s="60">
      <c r="A359" s="41" t="n"/>
      <c r="B359" s="41" t="n"/>
    </row>
    <row r="360" ht="15.75" customHeight="1" s="60">
      <c r="A360" s="41" t="n"/>
      <c r="B360" s="41" t="n"/>
    </row>
    <row r="361" ht="15.75" customHeight="1" s="60">
      <c r="A361" s="41" t="n"/>
      <c r="B361" s="41" t="n"/>
    </row>
    <row r="362" ht="15.75" customHeight="1" s="60">
      <c r="A362" s="41" t="n"/>
      <c r="B362" s="41" t="n"/>
    </row>
    <row r="363" ht="15.75" customHeight="1" s="60">
      <c r="A363" s="41" t="n"/>
      <c r="B363" s="41" t="n"/>
    </row>
    <row r="364" ht="15.75" customHeight="1" s="60">
      <c r="A364" s="41" t="n"/>
      <c r="B364" s="41" t="n"/>
    </row>
    <row r="365" ht="15.75" customHeight="1" s="60">
      <c r="A365" s="41" t="n"/>
      <c r="B365" s="41" t="n"/>
    </row>
    <row r="366" ht="15.75" customHeight="1" s="60">
      <c r="A366" s="41" t="n"/>
      <c r="B366" s="41" t="n"/>
    </row>
    <row r="367" ht="15.75" customHeight="1" s="60">
      <c r="A367" s="41" t="n"/>
      <c r="B367" s="41" t="n"/>
    </row>
    <row r="368" ht="15.75" customHeight="1" s="60">
      <c r="A368" s="41" t="n"/>
      <c r="B368" s="41" t="n"/>
    </row>
    <row r="369" ht="15.75" customHeight="1" s="60">
      <c r="A369" s="41" t="n"/>
      <c r="B369" s="41" t="n"/>
    </row>
    <row r="370" ht="15.75" customHeight="1" s="60">
      <c r="A370" s="41" t="n"/>
      <c r="B370" s="41" t="n"/>
    </row>
    <row r="371" ht="15.75" customHeight="1" s="60">
      <c r="A371" s="41" t="n"/>
      <c r="B371" s="41" t="n"/>
    </row>
    <row r="372" ht="15.75" customHeight="1" s="60">
      <c r="A372" s="41" t="n"/>
      <c r="B372" s="41" t="n"/>
    </row>
    <row r="373" ht="15.75" customHeight="1" s="60">
      <c r="A373" s="41" t="n"/>
      <c r="B373" s="41" t="n"/>
    </row>
    <row r="374" ht="15.75" customHeight="1" s="60">
      <c r="A374" s="41" t="n"/>
      <c r="B374" s="41" t="n"/>
    </row>
    <row r="375" ht="15.75" customHeight="1" s="60">
      <c r="A375" s="41" t="n"/>
      <c r="B375" s="41" t="n"/>
    </row>
    <row r="376" ht="15.75" customHeight="1" s="60">
      <c r="A376" s="41" t="n"/>
      <c r="B376" s="41" t="n"/>
    </row>
    <row r="377" ht="15.75" customHeight="1" s="60">
      <c r="A377" s="41" t="n"/>
      <c r="B377" s="41" t="n"/>
    </row>
    <row r="378" ht="15.75" customHeight="1" s="60">
      <c r="A378" s="41" t="n"/>
      <c r="B378" s="41" t="n"/>
    </row>
    <row r="379" ht="15.75" customHeight="1" s="60">
      <c r="A379" s="41" t="n"/>
      <c r="B379" s="41" t="n"/>
    </row>
    <row r="380" ht="15.75" customHeight="1" s="60">
      <c r="A380" s="41" t="n"/>
      <c r="B380" s="41" t="n"/>
    </row>
    <row r="381" ht="15.75" customHeight="1" s="60">
      <c r="A381" s="41" t="n"/>
      <c r="B381" s="41" t="n"/>
    </row>
    <row r="382" ht="15.75" customHeight="1" s="60">
      <c r="A382" s="41" t="n"/>
      <c r="B382" s="41" t="n"/>
    </row>
    <row r="383" ht="15.75" customHeight="1" s="60">
      <c r="A383" s="41" t="n"/>
      <c r="B383" s="41" t="n"/>
    </row>
    <row r="384" ht="15.75" customHeight="1" s="60">
      <c r="A384" s="41" t="n"/>
      <c r="B384" s="41" t="n"/>
    </row>
    <row r="385" ht="15.75" customHeight="1" s="60">
      <c r="A385" s="41" t="n"/>
      <c r="B385" s="41" t="n"/>
    </row>
    <row r="386" ht="15.75" customHeight="1" s="60">
      <c r="A386" s="41" t="n"/>
      <c r="B386" s="41" t="n"/>
    </row>
    <row r="387" ht="15.75" customHeight="1" s="60">
      <c r="A387" s="41" t="n"/>
      <c r="B387" s="41" t="n"/>
    </row>
    <row r="388" ht="15.75" customHeight="1" s="60">
      <c r="A388" s="41" t="n"/>
      <c r="B388" s="41" t="n"/>
    </row>
    <row r="389" ht="15.75" customHeight="1" s="60">
      <c r="A389" s="41" t="n"/>
      <c r="B389" s="41" t="n"/>
    </row>
    <row r="390" ht="15.75" customHeight="1" s="60">
      <c r="A390" s="41" t="n"/>
      <c r="B390" s="41" t="n"/>
    </row>
    <row r="391" ht="15.75" customHeight="1" s="60">
      <c r="A391" s="41" t="n"/>
      <c r="B391" s="41" t="n"/>
    </row>
    <row r="392" ht="15.75" customHeight="1" s="60">
      <c r="A392" s="41" t="n"/>
      <c r="B392" s="41" t="n"/>
    </row>
    <row r="393" ht="15.75" customHeight="1" s="60">
      <c r="A393" s="41" t="n"/>
      <c r="B393" s="41" t="n"/>
    </row>
    <row r="394" ht="15.75" customHeight="1" s="60">
      <c r="A394" s="41" t="n"/>
      <c r="B394" s="41" t="n"/>
    </row>
    <row r="395" ht="15.75" customHeight="1" s="60">
      <c r="A395" s="41" t="n"/>
      <c r="B395" s="41" t="n"/>
    </row>
    <row r="396" ht="15.75" customHeight="1" s="60">
      <c r="A396" s="41" t="n"/>
      <c r="B396" s="41" t="n"/>
    </row>
    <row r="397" ht="15.75" customHeight="1" s="60">
      <c r="A397" s="41" t="n"/>
      <c r="B397" s="41" t="n"/>
    </row>
    <row r="398" ht="15.75" customHeight="1" s="60">
      <c r="A398" s="41" t="n"/>
      <c r="B398" s="41" t="n"/>
    </row>
    <row r="399" ht="15.75" customHeight="1" s="60">
      <c r="A399" s="41" t="n"/>
      <c r="B399" s="41" t="n"/>
    </row>
    <row r="400" ht="15.75" customHeight="1" s="60">
      <c r="A400" s="41" t="n"/>
      <c r="B400" s="41" t="n"/>
    </row>
    <row r="401" ht="15.75" customHeight="1" s="60">
      <c r="A401" s="41" t="n"/>
      <c r="B401" s="41" t="n"/>
    </row>
    <row r="402" ht="15.75" customHeight="1" s="60">
      <c r="A402" s="41" t="n"/>
      <c r="B402" s="41" t="n"/>
    </row>
    <row r="403" ht="15.75" customHeight="1" s="60">
      <c r="A403" s="41" t="n"/>
      <c r="B403" s="41" t="n"/>
    </row>
    <row r="404" ht="15.75" customHeight="1" s="60">
      <c r="A404" s="41" t="n"/>
      <c r="B404" s="41" t="n"/>
    </row>
    <row r="405" ht="15.75" customHeight="1" s="60">
      <c r="A405" s="41" t="n"/>
      <c r="B405" s="41" t="n"/>
    </row>
    <row r="406" ht="15.75" customHeight="1" s="60">
      <c r="A406" s="41" t="n"/>
      <c r="B406" s="41" t="n"/>
    </row>
    <row r="407" ht="15.75" customHeight="1" s="60">
      <c r="A407" s="41" t="n"/>
      <c r="B407" s="41" t="n"/>
    </row>
    <row r="408" ht="15.75" customHeight="1" s="60">
      <c r="A408" s="41" t="n"/>
      <c r="B408" s="41" t="n"/>
    </row>
    <row r="409" ht="15.75" customHeight="1" s="60">
      <c r="A409" s="41" t="n"/>
      <c r="B409" s="41" t="n"/>
    </row>
    <row r="410" ht="15.75" customHeight="1" s="60">
      <c r="A410" s="41" t="n"/>
      <c r="B410" s="41" t="n"/>
    </row>
    <row r="411" ht="15.75" customHeight="1" s="60">
      <c r="A411" s="41" t="n"/>
      <c r="B411" s="41" t="n"/>
    </row>
    <row r="412" ht="15.75" customHeight="1" s="60">
      <c r="A412" s="41" t="n"/>
      <c r="B412" s="41" t="n"/>
    </row>
    <row r="413" ht="15.75" customHeight="1" s="60">
      <c r="A413" s="41" t="n"/>
      <c r="B413" s="41" t="n"/>
    </row>
    <row r="414" ht="15.75" customHeight="1" s="60">
      <c r="A414" s="41" t="n"/>
      <c r="B414" s="41" t="n"/>
    </row>
    <row r="415" ht="15.75" customHeight="1" s="60">
      <c r="A415" s="41" t="n"/>
      <c r="B415" s="41" t="n"/>
    </row>
    <row r="416" ht="15.75" customHeight="1" s="60">
      <c r="A416" s="41" t="n"/>
      <c r="B416" s="41" t="n"/>
    </row>
    <row r="417" ht="15.75" customHeight="1" s="60">
      <c r="A417" s="41" t="n"/>
      <c r="B417" s="41" t="n"/>
    </row>
    <row r="418" ht="15.75" customHeight="1" s="60">
      <c r="A418" s="41" t="n"/>
      <c r="B418" s="41" t="n"/>
    </row>
    <row r="419" ht="15.75" customHeight="1" s="60">
      <c r="A419" s="41" t="n"/>
      <c r="B419" s="41" t="n"/>
    </row>
    <row r="420" ht="15.75" customHeight="1" s="60">
      <c r="A420" s="41" t="n"/>
      <c r="B420" s="41" t="n"/>
    </row>
    <row r="421" ht="15.75" customHeight="1" s="60">
      <c r="A421" s="41" t="n"/>
      <c r="B421" s="41" t="n"/>
    </row>
    <row r="422" ht="15.75" customHeight="1" s="60">
      <c r="A422" s="41" t="n"/>
      <c r="B422" s="41" t="n"/>
    </row>
    <row r="423" ht="15.75" customHeight="1" s="60">
      <c r="A423" s="41" t="n"/>
      <c r="B423" s="41" t="n"/>
    </row>
    <row r="424" ht="15.75" customHeight="1" s="60">
      <c r="A424" s="41" t="n"/>
      <c r="B424" s="41" t="n"/>
    </row>
    <row r="425" ht="15.75" customHeight="1" s="60">
      <c r="A425" s="41" t="n"/>
      <c r="B425" s="41" t="n"/>
    </row>
    <row r="426" ht="15.75" customHeight="1" s="60">
      <c r="A426" s="41" t="n"/>
      <c r="B426" s="41" t="n"/>
    </row>
    <row r="427" ht="15.75" customHeight="1" s="60">
      <c r="A427" s="41" t="n"/>
      <c r="B427" s="41" t="n"/>
    </row>
    <row r="428" ht="15.75" customHeight="1" s="60">
      <c r="A428" s="41" t="n"/>
      <c r="B428" s="41" t="n"/>
    </row>
    <row r="429" ht="15.75" customHeight="1" s="60">
      <c r="A429" s="41" t="n"/>
      <c r="B429" s="41" t="n"/>
    </row>
    <row r="430" ht="15.75" customHeight="1" s="60">
      <c r="A430" s="41" t="n"/>
      <c r="B430" s="41" t="n"/>
    </row>
    <row r="431" ht="15.75" customHeight="1" s="60">
      <c r="A431" s="41" t="n"/>
      <c r="B431" s="41" t="n"/>
    </row>
    <row r="432" ht="15.75" customHeight="1" s="60">
      <c r="A432" s="41" t="n"/>
      <c r="B432" s="41" t="n"/>
    </row>
    <row r="433" ht="15.75" customHeight="1" s="60">
      <c r="A433" s="41" t="n"/>
      <c r="B433" s="41" t="n"/>
    </row>
    <row r="434" ht="15.75" customHeight="1" s="60">
      <c r="A434" s="41" t="n"/>
      <c r="B434" s="41" t="n"/>
    </row>
    <row r="435" ht="15.75" customHeight="1" s="60">
      <c r="A435" s="41" t="n"/>
      <c r="B435" s="41" t="n"/>
    </row>
    <row r="436" ht="15.75" customHeight="1" s="60">
      <c r="A436" s="41" t="n"/>
      <c r="B436" s="41" t="n"/>
    </row>
    <row r="437" ht="15.75" customHeight="1" s="60">
      <c r="A437" s="41" t="n"/>
      <c r="B437" s="41" t="n"/>
    </row>
    <row r="438" ht="15.75" customHeight="1" s="60">
      <c r="A438" s="41" t="n"/>
      <c r="B438" s="41" t="n"/>
    </row>
    <row r="439" ht="15.75" customHeight="1" s="60">
      <c r="A439" s="41" t="n"/>
      <c r="B439" s="41" t="n"/>
    </row>
    <row r="440" ht="15.75" customHeight="1" s="60">
      <c r="A440" s="41" t="n"/>
      <c r="B440" s="41" t="n"/>
    </row>
    <row r="441" ht="15.75" customHeight="1" s="60">
      <c r="A441" s="41" t="n"/>
      <c r="B441" s="41" t="n"/>
    </row>
    <row r="442" ht="15.75" customHeight="1" s="60">
      <c r="A442" s="41" t="n"/>
      <c r="B442" s="41" t="n"/>
    </row>
    <row r="443" ht="15.75" customHeight="1" s="60">
      <c r="A443" s="41" t="n"/>
      <c r="B443" s="41" t="n"/>
    </row>
    <row r="444" ht="15.75" customHeight="1" s="60">
      <c r="A444" s="41" t="n"/>
      <c r="B444" s="41" t="n"/>
    </row>
    <row r="445" ht="15.75" customHeight="1" s="60">
      <c r="A445" s="41" t="n"/>
      <c r="B445" s="41" t="n"/>
    </row>
    <row r="446" ht="15.75" customHeight="1" s="60">
      <c r="A446" s="41" t="n"/>
      <c r="B446" s="41" t="n"/>
    </row>
    <row r="447" ht="15.75" customHeight="1" s="60">
      <c r="A447" s="41" t="n"/>
      <c r="B447" s="41" t="n"/>
    </row>
    <row r="448" ht="15.75" customHeight="1" s="60">
      <c r="A448" s="41" t="n"/>
      <c r="B448" s="41" t="n"/>
    </row>
    <row r="449" ht="15.75" customHeight="1" s="60">
      <c r="A449" s="41" t="n"/>
      <c r="B449" s="41" t="n"/>
    </row>
    <row r="450" ht="15.75" customHeight="1" s="60">
      <c r="A450" s="41" t="n"/>
      <c r="B450" s="41" t="n"/>
    </row>
    <row r="451" ht="15.75" customHeight="1" s="60">
      <c r="A451" s="41" t="n"/>
      <c r="B451" s="41" t="n"/>
    </row>
    <row r="452" ht="15.75" customHeight="1" s="60">
      <c r="A452" s="41" t="n"/>
      <c r="B452" s="41" t="n"/>
    </row>
    <row r="453" ht="15.75" customHeight="1" s="60">
      <c r="A453" s="41" t="n"/>
      <c r="B453" s="41" t="n"/>
    </row>
    <row r="454" ht="15.75" customHeight="1" s="60">
      <c r="A454" s="41" t="n"/>
      <c r="B454" s="41" t="n"/>
    </row>
    <row r="455" ht="15.75" customHeight="1" s="60">
      <c r="A455" s="41" t="n"/>
      <c r="B455" s="41" t="n"/>
    </row>
    <row r="456" ht="15.75" customHeight="1" s="60">
      <c r="A456" s="41" t="n"/>
      <c r="B456" s="41" t="n"/>
    </row>
    <row r="457" ht="15.75" customHeight="1" s="60">
      <c r="A457" s="41" t="n"/>
      <c r="B457" s="41" t="n"/>
    </row>
    <row r="458" ht="15.75" customHeight="1" s="60">
      <c r="A458" s="41" t="n"/>
      <c r="B458" s="41" t="n"/>
    </row>
    <row r="459" ht="15.75" customHeight="1" s="60">
      <c r="A459" s="41" t="n"/>
      <c r="B459" s="41" t="n"/>
    </row>
    <row r="460" ht="15.75" customHeight="1" s="60">
      <c r="A460" s="41" t="n"/>
      <c r="B460" s="41" t="n"/>
    </row>
    <row r="461" ht="15.75" customHeight="1" s="60">
      <c r="A461" s="41" t="n"/>
      <c r="B461" s="41" t="n"/>
    </row>
    <row r="462" ht="15.75" customHeight="1" s="60">
      <c r="A462" s="41" t="n"/>
      <c r="B462" s="41" t="n"/>
    </row>
    <row r="463" ht="15.75" customHeight="1" s="60">
      <c r="A463" s="41" t="n"/>
      <c r="B463" s="41" t="n"/>
    </row>
    <row r="464" ht="15.75" customHeight="1" s="60">
      <c r="A464" s="41" t="n"/>
      <c r="B464" s="41" t="n"/>
    </row>
    <row r="465" ht="15.75" customHeight="1" s="60">
      <c r="A465" s="41" t="n"/>
      <c r="B465" s="41" t="n"/>
    </row>
    <row r="466" ht="15.75" customHeight="1" s="60">
      <c r="A466" s="41" t="n"/>
      <c r="B466" s="41" t="n"/>
    </row>
    <row r="467" ht="15.75" customHeight="1" s="60">
      <c r="A467" s="41" t="n"/>
      <c r="B467" s="41" t="n"/>
    </row>
    <row r="468" ht="15.75" customHeight="1" s="60">
      <c r="A468" s="41" t="n"/>
      <c r="B468" s="41" t="n"/>
    </row>
    <row r="469" ht="15.75" customHeight="1" s="60">
      <c r="A469" s="41" t="n"/>
      <c r="B469" s="41" t="n"/>
    </row>
    <row r="470" ht="15.75" customHeight="1" s="60">
      <c r="A470" s="41" t="n"/>
      <c r="B470" s="41" t="n"/>
    </row>
    <row r="471" ht="15.75" customHeight="1" s="60">
      <c r="A471" s="41" t="n"/>
      <c r="B471" s="41" t="n"/>
    </row>
    <row r="472" ht="15.75" customHeight="1" s="60">
      <c r="A472" s="41" t="n"/>
      <c r="B472" s="41" t="n"/>
    </row>
    <row r="473" ht="15.75" customHeight="1" s="60">
      <c r="A473" s="41" t="n"/>
      <c r="B473" s="41" t="n"/>
    </row>
    <row r="474" ht="15.75" customHeight="1" s="60">
      <c r="A474" s="41" t="n"/>
      <c r="B474" s="41" t="n"/>
    </row>
    <row r="475" ht="15.75" customHeight="1" s="60">
      <c r="A475" s="41" t="n"/>
      <c r="B475" s="41" t="n"/>
    </row>
    <row r="476" ht="15.75" customHeight="1" s="60">
      <c r="A476" s="41" t="n"/>
      <c r="B476" s="41" t="n"/>
    </row>
    <row r="477" ht="15.75" customHeight="1" s="60">
      <c r="A477" s="41" t="n"/>
      <c r="B477" s="41" t="n"/>
    </row>
    <row r="478" ht="15.75" customHeight="1" s="60">
      <c r="A478" s="41" t="n"/>
      <c r="B478" s="41" t="n"/>
    </row>
    <row r="479" ht="15.75" customHeight="1" s="60">
      <c r="A479" s="41" t="n"/>
      <c r="B479" s="41" t="n"/>
    </row>
    <row r="480" ht="15.75" customHeight="1" s="60">
      <c r="A480" s="41" t="n"/>
      <c r="B480" s="41" t="n"/>
    </row>
    <row r="481" ht="15.75" customHeight="1" s="60">
      <c r="A481" s="41" t="n"/>
      <c r="B481" s="41" t="n"/>
    </row>
    <row r="482" ht="15.75" customHeight="1" s="60">
      <c r="A482" s="41" t="n"/>
      <c r="B482" s="41" t="n"/>
    </row>
    <row r="483" ht="15.75" customHeight="1" s="60">
      <c r="A483" s="41" t="n"/>
      <c r="B483" s="41" t="n"/>
    </row>
    <row r="484" ht="15.75" customHeight="1" s="60">
      <c r="A484" s="41" t="n"/>
      <c r="B484" s="41" t="n"/>
    </row>
    <row r="485" ht="15.75" customHeight="1" s="60">
      <c r="A485" s="41" t="n"/>
      <c r="B485" s="41" t="n"/>
    </row>
    <row r="486" ht="15.75" customHeight="1" s="60">
      <c r="A486" s="41" t="n"/>
      <c r="B486" s="41" t="n"/>
    </row>
    <row r="487" ht="15.75" customHeight="1" s="60">
      <c r="A487" s="41" t="n"/>
      <c r="B487" s="41" t="n"/>
    </row>
    <row r="488" ht="15.75" customHeight="1" s="60">
      <c r="A488" s="41" t="n"/>
      <c r="B488" s="41" t="n"/>
    </row>
    <row r="489" ht="15.75" customHeight="1" s="60">
      <c r="A489" s="41" t="n"/>
      <c r="B489" s="41" t="n"/>
    </row>
    <row r="490" ht="15.75" customHeight="1" s="60">
      <c r="A490" s="41" t="n"/>
      <c r="B490" s="41" t="n"/>
    </row>
    <row r="491" ht="15.75" customHeight="1" s="60">
      <c r="A491" s="41" t="n"/>
      <c r="B491" s="41" t="n"/>
    </row>
    <row r="492" ht="15.75" customHeight="1" s="60">
      <c r="A492" s="41" t="n"/>
      <c r="B492" s="41" t="n"/>
    </row>
    <row r="493" ht="15.75" customHeight="1" s="60">
      <c r="A493" s="41" t="n"/>
      <c r="B493" s="41" t="n"/>
    </row>
    <row r="494" ht="15.75" customHeight="1" s="60">
      <c r="A494" s="41" t="n"/>
      <c r="B494" s="41" t="n"/>
    </row>
    <row r="495" ht="15.75" customHeight="1" s="60">
      <c r="A495" s="41" t="n"/>
      <c r="B495" s="41" t="n"/>
    </row>
    <row r="496" ht="15.75" customHeight="1" s="60">
      <c r="A496" s="41" t="n"/>
      <c r="B496" s="41" t="n"/>
    </row>
    <row r="497" ht="15.75" customHeight="1" s="60">
      <c r="A497" s="41" t="n"/>
      <c r="B497" s="41" t="n"/>
    </row>
    <row r="498" ht="15.75" customHeight="1" s="60">
      <c r="A498" s="41" t="n"/>
      <c r="B498" s="41" t="n"/>
    </row>
    <row r="499" ht="15.75" customHeight="1" s="60">
      <c r="A499" s="41" t="n"/>
      <c r="B499" s="41" t="n"/>
    </row>
    <row r="500" ht="15.75" customHeight="1" s="60">
      <c r="A500" s="41" t="n"/>
      <c r="B500" s="41" t="n"/>
    </row>
    <row r="501" ht="15.75" customHeight="1" s="60">
      <c r="A501" s="41" t="n"/>
      <c r="B501" s="41" t="n"/>
    </row>
    <row r="502" ht="15.75" customHeight="1" s="60">
      <c r="A502" s="41" t="n"/>
      <c r="B502" s="41" t="n"/>
    </row>
    <row r="503" ht="15.75" customHeight="1" s="60">
      <c r="A503" s="41" t="n"/>
      <c r="B503" s="41" t="n"/>
    </row>
    <row r="504" ht="15.75" customHeight="1" s="60">
      <c r="A504" s="41" t="n"/>
      <c r="B504" s="41" t="n"/>
    </row>
    <row r="505" ht="15.75" customHeight="1" s="60">
      <c r="A505" s="41" t="n"/>
      <c r="B505" s="41" t="n"/>
    </row>
    <row r="506" ht="15.75" customHeight="1" s="60">
      <c r="A506" s="41" t="n"/>
      <c r="B506" s="41" t="n"/>
    </row>
    <row r="507" ht="15.75" customHeight="1" s="60">
      <c r="A507" s="41" t="n"/>
      <c r="B507" s="41" t="n"/>
    </row>
    <row r="508" ht="15.75" customHeight="1" s="60">
      <c r="A508" s="41" t="n"/>
      <c r="B508" s="41" t="n"/>
    </row>
    <row r="509" ht="15.75" customHeight="1" s="60">
      <c r="A509" s="41" t="n"/>
      <c r="B509" s="41" t="n"/>
    </row>
    <row r="510" ht="15.75" customHeight="1" s="60">
      <c r="A510" s="41" t="n"/>
      <c r="B510" s="41" t="n"/>
    </row>
    <row r="511" ht="15.75" customHeight="1" s="60">
      <c r="A511" s="41" t="n"/>
      <c r="B511" s="41" t="n"/>
    </row>
    <row r="512" ht="15.75" customHeight="1" s="60">
      <c r="A512" s="41" t="n"/>
      <c r="B512" s="41" t="n"/>
    </row>
    <row r="513" ht="15.75" customHeight="1" s="60">
      <c r="A513" s="41" t="n"/>
      <c r="B513" s="41" t="n"/>
    </row>
    <row r="514" ht="15.75" customHeight="1" s="60">
      <c r="A514" s="41" t="n"/>
      <c r="B514" s="41" t="n"/>
    </row>
    <row r="515" ht="15.75" customHeight="1" s="60">
      <c r="A515" s="41" t="n"/>
      <c r="B515" s="41" t="n"/>
    </row>
    <row r="516" ht="15.75" customHeight="1" s="60">
      <c r="A516" s="41" t="n"/>
      <c r="B516" s="41" t="n"/>
    </row>
    <row r="517" ht="15.75" customHeight="1" s="60">
      <c r="A517" s="41" t="n"/>
      <c r="B517" s="41" t="n"/>
    </row>
    <row r="518" ht="15.75" customHeight="1" s="60">
      <c r="A518" s="41" t="n"/>
      <c r="B518" s="41" t="n"/>
    </row>
    <row r="519" ht="15.75" customHeight="1" s="60">
      <c r="A519" s="41" t="n"/>
      <c r="B519" s="41" t="n"/>
    </row>
    <row r="520" ht="15.75" customHeight="1" s="60">
      <c r="A520" s="41" t="n"/>
      <c r="B520" s="41" t="n"/>
    </row>
    <row r="521" ht="15.75" customHeight="1" s="60">
      <c r="A521" s="41" t="n"/>
      <c r="B521" s="41" t="n"/>
    </row>
    <row r="522" ht="15.75" customHeight="1" s="60">
      <c r="A522" s="41" t="n"/>
      <c r="B522" s="41" t="n"/>
    </row>
    <row r="523" ht="15.75" customHeight="1" s="60">
      <c r="A523" s="41" t="n"/>
      <c r="B523" s="41" t="n"/>
    </row>
    <row r="524" ht="15.75" customHeight="1" s="60">
      <c r="A524" s="41" t="n"/>
      <c r="B524" s="41" t="n"/>
    </row>
    <row r="525" ht="15.75" customHeight="1" s="60">
      <c r="A525" s="41" t="n"/>
      <c r="B525" s="41" t="n"/>
    </row>
    <row r="526" ht="15.75" customHeight="1" s="60">
      <c r="A526" s="41" t="n"/>
      <c r="B526" s="41" t="n"/>
    </row>
    <row r="527" ht="15.75" customHeight="1" s="60">
      <c r="A527" s="41" t="n"/>
      <c r="B527" s="41" t="n"/>
    </row>
    <row r="528" ht="15.75" customHeight="1" s="60">
      <c r="A528" s="41" t="n"/>
      <c r="B528" s="41" t="n"/>
    </row>
    <row r="529" ht="15.75" customHeight="1" s="60">
      <c r="A529" s="41" t="n"/>
      <c r="B529" s="41" t="n"/>
    </row>
    <row r="530" ht="15.75" customHeight="1" s="60">
      <c r="A530" s="41" t="n"/>
      <c r="B530" s="41" t="n"/>
    </row>
    <row r="531" ht="15.75" customHeight="1" s="60">
      <c r="A531" s="41" t="n"/>
      <c r="B531" s="41" t="n"/>
    </row>
    <row r="532" ht="15.75" customHeight="1" s="60">
      <c r="A532" s="41" t="n"/>
      <c r="B532" s="41" t="n"/>
    </row>
    <row r="533" ht="15.75" customHeight="1" s="60">
      <c r="A533" s="41" t="n"/>
      <c r="B533" s="41" t="n"/>
    </row>
    <row r="534" ht="15.75" customHeight="1" s="60">
      <c r="A534" s="41" t="n"/>
      <c r="B534" s="41" t="n"/>
    </row>
    <row r="535" ht="15.75" customHeight="1" s="60">
      <c r="A535" s="41" t="n"/>
      <c r="B535" s="41" t="n"/>
    </row>
    <row r="536" ht="15.75" customHeight="1" s="60">
      <c r="A536" s="41" t="n"/>
      <c r="B536" s="41" t="n"/>
    </row>
    <row r="537" ht="15.75" customHeight="1" s="60">
      <c r="A537" s="41" t="n"/>
      <c r="B537" s="41" t="n"/>
    </row>
    <row r="538" ht="15.75" customHeight="1" s="60">
      <c r="A538" s="41" t="n"/>
      <c r="B538" s="41" t="n"/>
    </row>
    <row r="539" ht="15.75" customHeight="1" s="60">
      <c r="A539" s="41" t="n"/>
      <c r="B539" s="41" t="n"/>
    </row>
    <row r="540" ht="15.75" customHeight="1" s="60">
      <c r="A540" s="41" t="n"/>
      <c r="B540" s="41" t="n"/>
    </row>
    <row r="541" ht="15.75" customHeight="1" s="60">
      <c r="A541" s="41" t="n"/>
      <c r="B541" s="41" t="n"/>
    </row>
    <row r="542" ht="15.75" customHeight="1" s="60">
      <c r="A542" s="41" t="n"/>
      <c r="B542" s="41" t="n"/>
    </row>
    <row r="543" ht="15.75" customHeight="1" s="60">
      <c r="A543" s="41" t="n"/>
      <c r="B543" s="41" t="n"/>
    </row>
    <row r="544" ht="15.75" customHeight="1" s="60">
      <c r="A544" s="41" t="n"/>
      <c r="B544" s="41" t="n"/>
    </row>
    <row r="545" ht="15.75" customHeight="1" s="60">
      <c r="A545" s="41" t="n"/>
      <c r="B545" s="41" t="n"/>
    </row>
    <row r="546" ht="15.75" customHeight="1" s="60">
      <c r="A546" s="41" t="n"/>
      <c r="B546" s="41" t="n"/>
    </row>
    <row r="547" ht="15.75" customHeight="1" s="60">
      <c r="A547" s="41" t="n"/>
      <c r="B547" s="41" t="n"/>
    </row>
    <row r="548" ht="15.75" customHeight="1" s="60">
      <c r="A548" s="41" t="n"/>
      <c r="B548" s="41" t="n"/>
    </row>
    <row r="549" ht="15.75" customHeight="1" s="60">
      <c r="A549" s="41" t="n"/>
      <c r="B549" s="41" t="n"/>
    </row>
    <row r="550" ht="15.75" customHeight="1" s="60">
      <c r="A550" s="41" t="n"/>
      <c r="B550" s="41" t="n"/>
    </row>
    <row r="551" ht="15.75" customHeight="1" s="60">
      <c r="A551" s="41" t="n"/>
      <c r="B551" s="41" t="n"/>
    </row>
    <row r="552" ht="15.75" customHeight="1" s="60">
      <c r="A552" s="41" t="n"/>
      <c r="B552" s="41" t="n"/>
    </row>
    <row r="553" ht="15.75" customHeight="1" s="60">
      <c r="A553" s="41" t="n"/>
      <c r="B553" s="41" t="n"/>
    </row>
    <row r="554" ht="15.75" customHeight="1" s="60">
      <c r="A554" s="41" t="n"/>
      <c r="B554" s="41" t="n"/>
    </row>
    <row r="555" ht="15.75" customHeight="1" s="60">
      <c r="A555" s="41" t="n"/>
      <c r="B555" s="41" t="n"/>
    </row>
    <row r="556" ht="15.75" customHeight="1" s="60">
      <c r="A556" s="41" t="n"/>
      <c r="B556" s="41" t="n"/>
    </row>
    <row r="557" ht="15.75" customHeight="1" s="60">
      <c r="A557" s="41" t="n"/>
      <c r="B557" s="41" t="n"/>
    </row>
    <row r="558" ht="15.75" customHeight="1" s="60">
      <c r="A558" s="41" t="n"/>
      <c r="B558" s="41" t="n"/>
    </row>
    <row r="559" ht="15.75" customHeight="1" s="60">
      <c r="A559" s="41" t="n"/>
      <c r="B559" s="41" t="n"/>
    </row>
    <row r="560" ht="15.75" customHeight="1" s="60">
      <c r="A560" s="41" t="n"/>
      <c r="B560" s="41" t="n"/>
    </row>
    <row r="561" ht="15.75" customHeight="1" s="60">
      <c r="A561" s="41" t="n"/>
      <c r="B561" s="41" t="n"/>
    </row>
    <row r="562" ht="15.75" customHeight="1" s="60">
      <c r="A562" s="41" t="n"/>
      <c r="B562" s="41" t="n"/>
    </row>
    <row r="563" ht="15.75" customHeight="1" s="60">
      <c r="A563" s="41" t="n"/>
      <c r="B563" s="41" t="n"/>
    </row>
    <row r="564" ht="15.75" customHeight="1" s="60">
      <c r="A564" s="41" t="n"/>
      <c r="B564" s="41" t="n"/>
    </row>
    <row r="565" ht="15.75" customHeight="1" s="60">
      <c r="A565" s="41" t="n"/>
      <c r="B565" s="41" t="n"/>
    </row>
    <row r="566" ht="15.75" customHeight="1" s="60">
      <c r="A566" s="41" t="n"/>
      <c r="B566" s="41" t="n"/>
    </row>
    <row r="567" ht="15.75" customHeight="1" s="60">
      <c r="A567" s="41" t="n"/>
      <c r="B567" s="41" t="n"/>
    </row>
    <row r="568" ht="15.75" customHeight="1" s="60">
      <c r="A568" s="41" t="n"/>
      <c r="B568" s="41" t="n"/>
    </row>
    <row r="569" ht="15.75" customHeight="1" s="60">
      <c r="A569" s="41" t="n"/>
      <c r="B569" s="41" t="n"/>
    </row>
    <row r="570" ht="15.75" customHeight="1" s="60">
      <c r="A570" s="41" t="n"/>
      <c r="B570" s="41" t="n"/>
    </row>
    <row r="571" ht="15.75" customHeight="1" s="60">
      <c r="A571" s="41" t="n"/>
      <c r="B571" s="41" t="n"/>
    </row>
    <row r="572" ht="15.75" customHeight="1" s="60">
      <c r="A572" s="41" t="n"/>
      <c r="B572" s="41" t="n"/>
    </row>
    <row r="573" ht="15.75" customHeight="1" s="60">
      <c r="A573" s="41" t="n"/>
      <c r="B573" s="41" t="n"/>
    </row>
    <row r="574" ht="15.75" customHeight="1" s="60">
      <c r="A574" s="41" t="n"/>
      <c r="B574" s="41" t="n"/>
    </row>
    <row r="575" ht="15.75" customHeight="1" s="60">
      <c r="A575" s="41" t="n"/>
      <c r="B575" s="41" t="n"/>
    </row>
    <row r="576" ht="15.75" customHeight="1" s="60">
      <c r="A576" s="41" t="n"/>
      <c r="B576" s="41" t="n"/>
    </row>
    <row r="577" ht="15.75" customHeight="1" s="60">
      <c r="A577" s="41" t="n"/>
      <c r="B577" s="41" t="n"/>
    </row>
    <row r="578" ht="15.75" customHeight="1" s="60">
      <c r="A578" s="41" t="n"/>
      <c r="B578" s="41" t="n"/>
    </row>
    <row r="579" ht="15.75" customHeight="1" s="60">
      <c r="A579" s="41" t="n"/>
      <c r="B579" s="41" t="n"/>
    </row>
    <row r="580" ht="15.75" customHeight="1" s="60">
      <c r="A580" s="41" t="n"/>
      <c r="B580" s="41" t="n"/>
    </row>
    <row r="581" ht="15.75" customHeight="1" s="60">
      <c r="A581" s="41" t="n"/>
      <c r="B581" s="41" t="n"/>
    </row>
    <row r="582" ht="15.75" customHeight="1" s="60">
      <c r="A582" s="41" t="n"/>
      <c r="B582" s="41" t="n"/>
    </row>
    <row r="583" ht="15.75" customHeight="1" s="60">
      <c r="A583" s="41" t="n"/>
      <c r="B583" s="41" t="n"/>
    </row>
    <row r="584" ht="15.75" customHeight="1" s="60">
      <c r="A584" s="41" t="n"/>
      <c r="B584" s="41" t="n"/>
    </row>
    <row r="585" ht="15.75" customHeight="1" s="60">
      <c r="A585" s="41" t="n"/>
      <c r="B585" s="41" t="n"/>
    </row>
    <row r="586" ht="15.75" customHeight="1" s="60">
      <c r="A586" s="41" t="n"/>
      <c r="B586" s="41" t="n"/>
    </row>
    <row r="587" ht="15.75" customHeight="1" s="60">
      <c r="A587" s="41" t="n"/>
      <c r="B587" s="41" t="n"/>
    </row>
    <row r="588" ht="15.75" customHeight="1" s="60">
      <c r="A588" s="41" t="n"/>
      <c r="B588" s="41" t="n"/>
    </row>
    <row r="589" ht="15.75" customHeight="1" s="60">
      <c r="A589" s="41" t="n"/>
      <c r="B589" s="41" t="n"/>
    </row>
    <row r="590" ht="15.75" customHeight="1" s="60">
      <c r="A590" s="41" t="n"/>
      <c r="B590" s="41" t="n"/>
    </row>
    <row r="591" ht="15.75" customHeight="1" s="60">
      <c r="A591" s="41" t="n"/>
      <c r="B591" s="41" t="n"/>
    </row>
    <row r="592" ht="15.75" customHeight="1" s="60">
      <c r="A592" s="41" t="n"/>
      <c r="B592" s="41" t="n"/>
    </row>
    <row r="593" ht="15.75" customHeight="1" s="60">
      <c r="A593" s="41" t="n"/>
      <c r="B593" s="41" t="n"/>
    </row>
    <row r="594" ht="15.75" customHeight="1" s="60">
      <c r="A594" s="41" t="n"/>
      <c r="B594" s="41" t="n"/>
    </row>
    <row r="595" ht="15.75" customHeight="1" s="60">
      <c r="A595" s="41" t="n"/>
      <c r="B595" s="41" t="n"/>
    </row>
    <row r="596" ht="15.75" customHeight="1" s="60">
      <c r="A596" s="41" t="n"/>
      <c r="B596" s="41" t="n"/>
    </row>
    <row r="597" ht="15.75" customHeight="1" s="60">
      <c r="A597" s="41" t="n"/>
      <c r="B597" s="41" t="n"/>
    </row>
    <row r="598" ht="15.75" customHeight="1" s="60">
      <c r="A598" s="41" t="n"/>
      <c r="B598" s="41" t="n"/>
    </row>
    <row r="599" ht="15.75" customHeight="1" s="60">
      <c r="A599" s="41" t="n"/>
      <c r="B599" s="41" t="n"/>
    </row>
    <row r="600" ht="15.75" customHeight="1" s="60">
      <c r="A600" s="41" t="n"/>
      <c r="B600" s="41" t="n"/>
    </row>
    <row r="601" ht="15.75" customHeight="1" s="60">
      <c r="A601" s="41" t="n"/>
      <c r="B601" s="41" t="n"/>
    </row>
    <row r="602" ht="15.75" customHeight="1" s="60">
      <c r="A602" s="41" t="n"/>
      <c r="B602" s="41" t="n"/>
    </row>
    <row r="603" ht="15.75" customHeight="1" s="60">
      <c r="A603" s="41" t="n"/>
      <c r="B603" s="41" t="n"/>
    </row>
    <row r="604" ht="15.75" customHeight="1" s="60">
      <c r="A604" s="41" t="n"/>
      <c r="B604" s="41" t="n"/>
    </row>
    <row r="605" ht="15.75" customHeight="1" s="60">
      <c r="A605" s="41" t="n"/>
      <c r="B605" s="41" t="n"/>
    </row>
    <row r="606" ht="15.75" customHeight="1" s="60">
      <c r="A606" s="41" t="n"/>
      <c r="B606" s="41" t="n"/>
    </row>
    <row r="607" ht="15.75" customHeight="1" s="60">
      <c r="A607" s="41" t="n"/>
      <c r="B607" s="41" t="n"/>
    </row>
    <row r="608" ht="15.75" customHeight="1" s="60">
      <c r="A608" s="41" t="n"/>
      <c r="B608" s="41" t="n"/>
    </row>
    <row r="609" ht="15.75" customHeight="1" s="60">
      <c r="A609" s="41" t="n"/>
      <c r="B609" s="41" t="n"/>
    </row>
    <row r="610" ht="15.75" customHeight="1" s="60">
      <c r="A610" s="41" t="n"/>
      <c r="B610" s="41" t="n"/>
    </row>
    <row r="611" ht="15.75" customHeight="1" s="60">
      <c r="A611" s="41" t="n"/>
      <c r="B611" s="41" t="n"/>
    </row>
    <row r="612" ht="15.75" customHeight="1" s="60">
      <c r="A612" s="41" t="n"/>
      <c r="B612" s="41" t="n"/>
    </row>
    <row r="613" ht="15.75" customHeight="1" s="60">
      <c r="A613" s="41" t="n"/>
      <c r="B613" s="41" t="n"/>
    </row>
    <row r="614" ht="15.75" customHeight="1" s="60">
      <c r="A614" s="41" t="n"/>
      <c r="B614" s="41" t="n"/>
    </row>
    <row r="615" ht="15.75" customHeight="1" s="60">
      <c r="A615" s="41" t="n"/>
      <c r="B615" s="41" t="n"/>
    </row>
    <row r="616" ht="15.75" customHeight="1" s="60">
      <c r="A616" s="41" t="n"/>
      <c r="B616" s="41" t="n"/>
    </row>
    <row r="617" ht="15.75" customHeight="1" s="60">
      <c r="A617" s="41" t="n"/>
      <c r="B617" s="41" t="n"/>
    </row>
    <row r="618" ht="15.75" customHeight="1" s="60">
      <c r="A618" s="41" t="n"/>
      <c r="B618" s="41" t="n"/>
    </row>
    <row r="619" ht="15.75" customHeight="1" s="60">
      <c r="A619" s="41" t="n"/>
      <c r="B619" s="41" t="n"/>
    </row>
    <row r="620" ht="15.75" customHeight="1" s="60">
      <c r="A620" s="41" t="n"/>
      <c r="B620" s="41" t="n"/>
    </row>
    <row r="621" ht="15.75" customHeight="1" s="60">
      <c r="A621" s="41" t="n"/>
      <c r="B621" s="41" t="n"/>
    </row>
    <row r="622" ht="15.75" customHeight="1" s="60">
      <c r="A622" s="41" t="n"/>
      <c r="B622" s="41" t="n"/>
    </row>
    <row r="623" ht="15.75" customHeight="1" s="60">
      <c r="A623" s="41" t="n"/>
      <c r="B623" s="41" t="n"/>
    </row>
    <row r="624" ht="15.75" customHeight="1" s="60">
      <c r="A624" s="41" t="n"/>
      <c r="B624" s="41" t="n"/>
    </row>
    <row r="625" ht="15.75" customHeight="1" s="60">
      <c r="A625" s="41" t="n"/>
      <c r="B625" s="41" t="n"/>
    </row>
    <row r="626" ht="15.75" customHeight="1" s="60">
      <c r="A626" s="41" t="n"/>
      <c r="B626" s="41" t="n"/>
    </row>
    <row r="627" ht="15.75" customHeight="1" s="60">
      <c r="A627" s="41" t="n"/>
      <c r="B627" s="41" t="n"/>
    </row>
    <row r="628" ht="15.75" customHeight="1" s="60">
      <c r="A628" s="41" t="n"/>
      <c r="B628" s="41" t="n"/>
    </row>
    <row r="629" ht="15.75" customHeight="1" s="60">
      <c r="A629" s="41" t="n"/>
      <c r="B629" s="41" t="n"/>
    </row>
    <row r="630" ht="15.75" customHeight="1" s="60">
      <c r="A630" s="41" t="n"/>
      <c r="B630" s="41" t="n"/>
    </row>
    <row r="631" ht="15.75" customHeight="1" s="60">
      <c r="A631" s="41" t="n"/>
      <c r="B631" s="41" t="n"/>
    </row>
    <row r="632" ht="15.75" customHeight="1" s="60">
      <c r="A632" s="41" t="n"/>
      <c r="B632" s="41" t="n"/>
    </row>
    <row r="633" ht="15.75" customHeight="1" s="60">
      <c r="A633" s="41" t="n"/>
      <c r="B633" s="41" t="n"/>
    </row>
    <row r="634" ht="15.75" customHeight="1" s="60">
      <c r="A634" s="41" t="n"/>
      <c r="B634" s="41" t="n"/>
    </row>
    <row r="635" ht="15.75" customHeight="1" s="60">
      <c r="A635" s="41" t="n"/>
      <c r="B635" s="41" t="n"/>
    </row>
    <row r="636" ht="15.75" customHeight="1" s="60">
      <c r="A636" s="41" t="n"/>
      <c r="B636" s="41" t="n"/>
    </row>
    <row r="637" ht="15.75" customHeight="1" s="60">
      <c r="A637" s="41" t="n"/>
      <c r="B637" s="41" t="n"/>
    </row>
    <row r="638" ht="15.75" customHeight="1" s="60">
      <c r="A638" s="41" t="n"/>
      <c r="B638" s="41" t="n"/>
    </row>
    <row r="639" ht="15.75" customHeight="1" s="60">
      <c r="A639" s="41" t="n"/>
      <c r="B639" s="41" t="n"/>
    </row>
    <row r="640" ht="15.75" customHeight="1" s="60">
      <c r="A640" s="41" t="n"/>
      <c r="B640" s="41" t="n"/>
    </row>
    <row r="641" ht="15.75" customHeight="1" s="60">
      <c r="A641" s="41" t="n"/>
      <c r="B641" s="41" t="n"/>
    </row>
    <row r="642" ht="15.75" customHeight="1" s="60">
      <c r="A642" s="41" t="n"/>
      <c r="B642" s="41" t="n"/>
    </row>
    <row r="643" ht="15.75" customHeight="1" s="60">
      <c r="A643" s="41" t="n"/>
      <c r="B643" s="41" t="n"/>
    </row>
    <row r="644" ht="15.75" customHeight="1" s="60">
      <c r="A644" s="41" t="n"/>
      <c r="B644" s="41" t="n"/>
    </row>
    <row r="645" ht="15.75" customHeight="1" s="60">
      <c r="A645" s="41" t="n"/>
      <c r="B645" s="41" t="n"/>
    </row>
    <row r="646" ht="15.75" customHeight="1" s="60">
      <c r="A646" s="41" t="n"/>
      <c r="B646" s="41" t="n"/>
    </row>
    <row r="647" ht="15.75" customHeight="1" s="60">
      <c r="A647" s="41" t="n"/>
      <c r="B647" s="41" t="n"/>
    </row>
    <row r="648" ht="15.75" customHeight="1" s="60">
      <c r="A648" s="41" t="n"/>
      <c r="B648" s="41" t="n"/>
    </row>
    <row r="649" ht="15.75" customHeight="1" s="60">
      <c r="A649" s="41" t="n"/>
      <c r="B649" s="41" t="n"/>
    </row>
    <row r="650" ht="15.75" customHeight="1" s="60">
      <c r="A650" s="41" t="n"/>
      <c r="B650" s="41" t="n"/>
    </row>
    <row r="651" ht="15.75" customHeight="1" s="60">
      <c r="A651" s="41" t="n"/>
      <c r="B651" s="41" t="n"/>
    </row>
    <row r="652" ht="15.75" customHeight="1" s="60">
      <c r="A652" s="41" t="n"/>
      <c r="B652" s="41" t="n"/>
    </row>
    <row r="653" ht="15.75" customHeight="1" s="60">
      <c r="A653" s="41" t="n"/>
      <c r="B653" s="41" t="n"/>
    </row>
    <row r="654" ht="15.75" customHeight="1" s="60">
      <c r="A654" s="41" t="n"/>
      <c r="B654" s="41" t="n"/>
    </row>
    <row r="655" ht="15.75" customHeight="1" s="60">
      <c r="A655" s="41" t="n"/>
      <c r="B655" s="41" t="n"/>
    </row>
    <row r="656" ht="15.75" customHeight="1" s="60">
      <c r="A656" s="41" t="n"/>
      <c r="B656" s="41" t="n"/>
    </row>
    <row r="657" ht="15.75" customHeight="1" s="60">
      <c r="A657" s="41" t="n"/>
      <c r="B657" s="41" t="n"/>
    </row>
    <row r="658" ht="15.75" customHeight="1" s="60">
      <c r="A658" s="41" t="n"/>
      <c r="B658" s="41" t="n"/>
    </row>
    <row r="659" ht="15.75" customHeight="1" s="60">
      <c r="A659" s="41" t="n"/>
      <c r="B659" s="41" t="n"/>
    </row>
    <row r="660" ht="15.75" customHeight="1" s="60">
      <c r="A660" s="41" t="n"/>
      <c r="B660" s="41" t="n"/>
    </row>
    <row r="661" ht="15.75" customHeight="1" s="60">
      <c r="A661" s="41" t="n"/>
      <c r="B661" s="41" t="n"/>
    </row>
    <row r="662" ht="15.75" customHeight="1" s="60">
      <c r="A662" s="41" t="n"/>
      <c r="B662" s="41" t="n"/>
    </row>
    <row r="663" ht="15.75" customHeight="1" s="60">
      <c r="A663" s="41" t="n"/>
      <c r="B663" s="41" t="n"/>
    </row>
    <row r="664" ht="15.75" customHeight="1" s="60">
      <c r="A664" s="41" t="n"/>
      <c r="B664" s="41" t="n"/>
    </row>
    <row r="665" ht="15.75" customHeight="1" s="60">
      <c r="A665" s="41" t="n"/>
      <c r="B665" s="41" t="n"/>
    </row>
    <row r="666" ht="15.75" customHeight="1" s="60">
      <c r="A666" s="41" t="n"/>
      <c r="B666" s="41" t="n"/>
    </row>
    <row r="667" ht="15.75" customHeight="1" s="60">
      <c r="A667" s="41" t="n"/>
      <c r="B667" s="41" t="n"/>
    </row>
    <row r="668" ht="15.75" customHeight="1" s="60">
      <c r="A668" s="41" t="n"/>
      <c r="B668" s="41" t="n"/>
    </row>
    <row r="669" ht="15.75" customHeight="1" s="60">
      <c r="A669" s="41" t="n"/>
      <c r="B669" s="41" t="n"/>
    </row>
    <row r="670" ht="15.75" customHeight="1" s="60">
      <c r="A670" s="41" t="n"/>
      <c r="B670" s="41" t="n"/>
    </row>
    <row r="671" ht="15.75" customHeight="1" s="60">
      <c r="A671" s="41" t="n"/>
      <c r="B671" s="41" t="n"/>
    </row>
    <row r="672" ht="15.75" customHeight="1" s="60">
      <c r="A672" s="41" t="n"/>
      <c r="B672" s="41" t="n"/>
    </row>
    <row r="673" ht="15.75" customHeight="1" s="60">
      <c r="A673" s="41" t="n"/>
      <c r="B673" s="41" t="n"/>
    </row>
    <row r="674" ht="15.75" customHeight="1" s="60">
      <c r="A674" s="41" t="n"/>
      <c r="B674" s="41" t="n"/>
    </row>
    <row r="675" ht="15.75" customHeight="1" s="60">
      <c r="A675" s="41" t="n"/>
      <c r="B675" s="41" t="n"/>
    </row>
    <row r="676" ht="15.75" customHeight="1" s="60">
      <c r="A676" s="41" t="n"/>
      <c r="B676" s="41" t="n"/>
    </row>
    <row r="677" ht="15.75" customHeight="1" s="60">
      <c r="A677" s="41" t="n"/>
      <c r="B677" s="41" t="n"/>
    </row>
    <row r="678" ht="15.75" customHeight="1" s="60">
      <c r="A678" s="41" t="n"/>
      <c r="B678" s="41" t="n"/>
    </row>
    <row r="679" ht="15.75" customHeight="1" s="60">
      <c r="A679" s="41" t="n"/>
      <c r="B679" s="41" t="n"/>
    </row>
    <row r="680" ht="15.75" customHeight="1" s="60">
      <c r="A680" s="41" t="n"/>
      <c r="B680" s="41" t="n"/>
    </row>
    <row r="681" ht="15.75" customHeight="1" s="60">
      <c r="A681" s="41" t="n"/>
      <c r="B681" s="41" t="n"/>
    </row>
    <row r="682" ht="15.75" customHeight="1" s="60">
      <c r="A682" s="41" t="n"/>
      <c r="B682" s="41" t="n"/>
    </row>
    <row r="683" ht="15.75" customHeight="1" s="60">
      <c r="A683" s="41" t="n"/>
      <c r="B683" s="41" t="n"/>
    </row>
    <row r="684" ht="15.75" customHeight="1" s="60">
      <c r="A684" s="41" t="n"/>
      <c r="B684" s="41" t="n"/>
    </row>
    <row r="685" ht="15.75" customHeight="1" s="60">
      <c r="A685" s="41" t="n"/>
      <c r="B685" s="41" t="n"/>
    </row>
    <row r="686" ht="15.75" customHeight="1" s="60">
      <c r="A686" s="41" t="n"/>
      <c r="B686" s="41" t="n"/>
    </row>
    <row r="687" ht="15.75" customHeight="1" s="60">
      <c r="A687" s="41" t="n"/>
      <c r="B687" s="41" t="n"/>
    </row>
    <row r="688" ht="15.75" customHeight="1" s="60">
      <c r="A688" s="41" t="n"/>
      <c r="B688" s="41" t="n"/>
    </row>
    <row r="689" ht="15.75" customHeight="1" s="60">
      <c r="A689" s="41" t="n"/>
      <c r="B689" s="41" t="n"/>
    </row>
    <row r="690" ht="15.75" customHeight="1" s="60">
      <c r="A690" s="41" t="n"/>
      <c r="B690" s="41" t="n"/>
    </row>
    <row r="691" ht="15.75" customHeight="1" s="60">
      <c r="A691" s="41" t="n"/>
      <c r="B691" s="41" t="n"/>
    </row>
    <row r="692" ht="15.75" customHeight="1" s="60">
      <c r="A692" s="41" t="n"/>
      <c r="B692" s="41" t="n"/>
    </row>
    <row r="693" ht="15.75" customHeight="1" s="60">
      <c r="A693" s="41" t="n"/>
      <c r="B693" s="41" t="n"/>
    </row>
    <row r="694" ht="15.75" customHeight="1" s="60">
      <c r="A694" s="41" t="n"/>
      <c r="B694" s="41" t="n"/>
    </row>
    <row r="695" ht="15.75" customHeight="1" s="60">
      <c r="A695" s="41" t="n"/>
      <c r="B695" s="41" t="n"/>
    </row>
    <row r="696" ht="15.75" customHeight="1" s="60">
      <c r="A696" s="41" t="n"/>
      <c r="B696" s="41" t="n"/>
    </row>
    <row r="697" ht="15.75" customHeight="1" s="60">
      <c r="A697" s="41" t="n"/>
      <c r="B697" s="41" t="n"/>
    </row>
    <row r="698" ht="15.75" customHeight="1" s="60">
      <c r="A698" s="41" t="n"/>
      <c r="B698" s="41" t="n"/>
    </row>
    <row r="699" ht="15.75" customHeight="1" s="60">
      <c r="A699" s="41" t="n"/>
      <c r="B699" s="41" t="n"/>
    </row>
    <row r="700" ht="15.75" customHeight="1" s="60">
      <c r="A700" s="41" t="n"/>
      <c r="B700" s="41" t="n"/>
    </row>
    <row r="701" ht="15.75" customHeight="1" s="60">
      <c r="A701" s="41" t="n"/>
      <c r="B701" s="41" t="n"/>
    </row>
    <row r="702" ht="15.75" customHeight="1" s="60">
      <c r="A702" s="41" t="n"/>
      <c r="B702" s="41" t="n"/>
    </row>
    <row r="703" ht="15.75" customHeight="1" s="60">
      <c r="A703" s="41" t="n"/>
      <c r="B703" s="41" t="n"/>
    </row>
    <row r="704" ht="15.75" customHeight="1" s="60">
      <c r="A704" s="41" t="n"/>
      <c r="B704" s="41" t="n"/>
    </row>
    <row r="705" ht="15.75" customHeight="1" s="60">
      <c r="A705" s="41" t="n"/>
      <c r="B705" s="41" t="n"/>
    </row>
    <row r="706" ht="15.75" customHeight="1" s="60">
      <c r="A706" s="41" t="n"/>
      <c r="B706" s="41" t="n"/>
    </row>
    <row r="707" ht="15.75" customHeight="1" s="60">
      <c r="A707" s="41" t="n"/>
      <c r="B707" s="41" t="n"/>
    </row>
    <row r="708" ht="15.75" customHeight="1" s="60">
      <c r="A708" s="41" t="n"/>
      <c r="B708" s="41" t="n"/>
    </row>
    <row r="709" ht="15.75" customHeight="1" s="60">
      <c r="A709" s="41" t="n"/>
      <c r="B709" s="41" t="n"/>
    </row>
    <row r="710" ht="15.75" customHeight="1" s="60">
      <c r="A710" s="41" t="n"/>
      <c r="B710" s="41" t="n"/>
    </row>
    <row r="711" ht="15.75" customHeight="1" s="60">
      <c r="A711" s="41" t="n"/>
      <c r="B711" s="41" t="n"/>
    </row>
    <row r="712" ht="15.75" customHeight="1" s="60">
      <c r="A712" s="41" t="n"/>
      <c r="B712" s="41" t="n"/>
    </row>
    <row r="713" ht="15.75" customHeight="1" s="60">
      <c r="A713" s="41" t="n"/>
      <c r="B713" s="41" t="n"/>
    </row>
    <row r="714" ht="15.75" customHeight="1" s="60">
      <c r="A714" s="41" t="n"/>
      <c r="B714" s="41" t="n"/>
    </row>
    <row r="715" ht="15.75" customHeight="1" s="60">
      <c r="A715" s="41" t="n"/>
      <c r="B715" s="41" t="n"/>
    </row>
    <row r="716" ht="15.75" customHeight="1" s="60">
      <c r="A716" s="41" t="n"/>
      <c r="B716" s="41" t="n"/>
    </row>
    <row r="717" ht="15.75" customHeight="1" s="60">
      <c r="A717" s="41" t="n"/>
      <c r="B717" s="41" t="n"/>
    </row>
    <row r="718" ht="15.75" customHeight="1" s="60">
      <c r="A718" s="41" t="n"/>
      <c r="B718" s="41" t="n"/>
    </row>
    <row r="719" ht="15.75" customHeight="1" s="60">
      <c r="A719" s="41" t="n"/>
      <c r="B719" s="41" t="n"/>
    </row>
    <row r="720" ht="15.75" customHeight="1" s="60">
      <c r="A720" s="41" t="n"/>
      <c r="B720" s="41" t="n"/>
    </row>
    <row r="721" ht="15.75" customHeight="1" s="60">
      <c r="A721" s="41" t="n"/>
      <c r="B721" s="41" t="n"/>
    </row>
    <row r="722" ht="15.75" customHeight="1" s="60">
      <c r="A722" s="41" t="n"/>
      <c r="B722" s="41" t="n"/>
    </row>
    <row r="723" ht="15.75" customHeight="1" s="60">
      <c r="A723" s="41" t="n"/>
      <c r="B723" s="41" t="n"/>
    </row>
    <row r="724" ht="15.75" customHeight="1" s="60">
      <c r="A724" s="41" t="n"/>
      <c r="B724" s="41" t="n"/>
    </row>
    <row r="725" ht="15.75" customHeight="1" s="60">
      <c r="A725" s="41" t="n"/>
      <c r="B725" s="41" t="n"/>
    </row>
    <row r="726" ht="15.75" customHeight="1" s="60">
      <c r="A726" s="41" t="n"/>
      <c r="B726" s="41" t="n"/>
    </row>
    <row r="727" ht="15.75" customHeight="1" s="60">
      <c r="A727" s="41" t="n"/>
      <c r="B727" s="41" t="n"/>
    </row>
    <row r="728" ht="15.75" customHeight="1" s="60">
      <c r="A728" s="41" t="n"/>
      <c r="B728" s="41" t="n"/>
    </row>
    <row r="729" ht="15.75" customHeight="1" s="60">
      <c r="A729" s="41" t="n"/>
      <c r="B729" s="41" t="n"/>
    </row>
    <row r="730" ht="15.75" customHeight="1" s="60">
      <c r="A730" s="41" t="n"/>
      <c r="B730" s="41" t="n"/>
    </row>
    <row r="731" ht="15.75" customHeight="1" s="60">
      <c r="A731" s="41" t="n"/>
      <c r="B731" s="41" t="n"/>
    </row>
    <row r="732" ht="15.75" customHeight="1" s="60">
      <c r="A732" s="41" t="n"/>
      <c r="B732" s="41" t="n"/>
    </row>
    <row r="733" ht="15.75" customHeight="1" s="60">
      <c r="A733" s="41" t="n"/>
      <c r="B733" s="41" t="n"/>
    </row>
    <row r="734" ht="15.75" customHeight="1" s="60">
      <c r="A734" s="41" t="n"/>
      <c r="B734" s="41" t="n"/>
    </row>
    <row r="735" ht="15.75" customHeight="1" s="60">
      <c r="A735" s="41" t="n"/>
      <c r="B735" s="41" t="n"/>
    </row>
    <row r="736" ht="15.75" customHeight="1" s="60">
      <c r="A736" s="41" t="n"/>
      <c r="B736" s="41" t="n"/>
    </row>
    <row r="737" ht="15.75" customHeight="1" s="60">
      <c r="A737" s="41" t="n"/>
      <c r="B737" s="41" t="n"/>
    </row>
    <row r="738" ht="15.75" customHeight="1" s="60">
      <c r="A738" s="41" t="n"/>
      <c r="B738" s="41" t="n"/>
    </row>
    <row r="739" ht="15.75" customHeight="1" s="60">
      <c r="A739" s="41" t="n"/>
      <c r="B739" s="41" t="n"/>
    </row>
    <row r="740" ht="15.75" customHeight="1" s="60">
      <c r="A740" s="41" t="n"/>
      <c r="B740" s="41" t="n"/>
    </row>
    <row r="741" ht="15.75" customHeight="1" s="60">
      <c r="A741" s="41" t="n"/>
      <c r="B741" s="41" t="n"/>
    </row>
    <row r="742" ht="15.75" customHeight="1" s="60">
      <c r="A742" s="41" t="n"/>
      <c r="B742" s="41" t="n"/>
    </row>
    <row r="743" ht="15.75" customHeight="1" s="60">
      <c r="A743" s="41" t="n"/>
      <c r="B743" s="41" t="n"/>
    </row>
    <row r="744" ht="15.75" customHeight="1" s="60">
      <c r="A744" s="41" t="n"/>
      <c r="B744" s="41" t="n"/>
    </row>
    <row r="745" ht="15.75" customHeight="1" s="60">
      <c r="A745" s="41" t="n"/>
      <c r="B745" s="41" t="n"/>
    </row>
    <row r="746" ht="15.75" customHeight="1" s="60">
      <c r="A746" s="41" t="n"/>
      <c r="B746" s="41" t="n"/>
    </row>
    <row r="747" ht="15.75" customHeight="1" s="60">
      <c r="A747" s="41" t="n"/>
      <c r="B747" s="41" t="n"/>
    </row>
    <row r="748" ht="15.75" customHeight="1" s="60">
      <c r="A748" s="41" t="n"/>
      <c r="B748" s="41" t="n"/>
    </row>
    <row r="749" ht="15.75" customHeight="1" s="60">
      <c r="A749" s="41" t="n"/>
      <c r="B749" s="41" t="n"/>
    </row>
    <row r="750" ht="15.75" customHeight="1" s="60">
      <c r="A750" s="41" t="n"/>
      <c r="B750" s="41" t="n"/>
    </row>
    <row r="751" ht="15.75" customHeight="1" s="60">
      <c r="A751" s="41" t="n"/>
      <c r="B751" s="41" t="n"/>
    </row>
    <row r="752" ht="15.75" customHeight="1" s="60">
      <c r="A752" s="41" t="n"/>
      <c r="B752" s="41" t="n"/>
    </row>
    <row r="753" ht="15.75" customHeight="1" s="60">
      <c r="A753" s="41" t="n"/>
      <c r="B753" s="41" t="n"/>
    </row>
    <row r="754" ht="15.75" customHeight="1" s="60">
      <c r="A754" s="41" t="n"/>
      <c r="B754" s="41" t="n"/>
    </row>
    <row r="755" ht="15.75" customHeight="1" s="60">
      <c r="A755" s="41" t="n"/>
      <c r="B755" s="41" t="n"/>
    </row>
    <row r="756" ht="15.75" customHeight="1" s="60">
      <c r="A756" s="41" t="n"/>
      <c r="B756" s="41" t="n"/>
    </row>
    <row r="757" ht="15.75" customHeight="1" s="60">
      <c r="A757" s="41" t="n"/>
      <c r="B757" s="41" t="n"/>
    </row>
    <row r="758" ht="15.75" customHeight="1" s="60">
      <c r="A758" s="41" t="n"/>
      <c r="B758" s="41" t="n"/>
    </row>
    <row r="759" ht="15.75" customHeight="1" s="60">
      <c r="A759" s="41" t="n"/>
      <c r="B759" s="41" t="n"/>
    </row>
    <row r="760" ht="15.75" customHeight="1" s="60">
      <c r="A760" s="41" t="n"/>
      <c r="B760" s="41" t="n"/>
    </row>
    <row r="761" ht="15.75" customHeight="1" s="60">
      <c r="A761" s="41" t="n"/>
      <c r="B761" s="41" t="n"/>
    </row>
    <row r="762" ht="15.75" customHeight="1" s="60">
      <c r="A762" s="41" t="n"/>
      <c r="B762" s="41" t="n"/>
    </row>
    <row r="763" ht="15.75" customHeight="1" s="60">
      <c r="A763" s="41" t="n"/>
      <c r="B763" s="41" t="n"/>
    </row>
    <row r="764" ht="15.75" customHeight="1" s="60">
      <c r="A764" s="41" t="n"/>
      <c r="B764" s="41" t="n"/>
    </row>
    <row r="765" ht="15.75" customHeight="1" s="60">
      <c r="A765" s="41" t="n"/>
      <c r="B765" s="41" t="n"/>
    </row>
    <row r="766" ht="15.75" customHeight="1" s="60">
      <c r="A766" s="41" t="n"/>
      <c r="B766" s="41" t="n"/>
    </row>
    <row r="767" ht="15.75" customHeight="1" s="60">
      <c r="A767" s="41" t="n"/>
      <c r="B767" s="41" t="n"/>
    </row>
    <row r="768" ht="15.75" customHeight="1" s="60">
      <c r="A768" s="41" t="n"/>
      <c r="B768" s="41" t="n"/>
    </row>
    <row r="769" ht="15.75" customHeight="1" s="60">
      <c r="A769" s="41" t="n"/>
      <c r="B769" s="41" t="n"/>
    </row>
    <row r="770" ht="15.75" customHeight="1" s="60">
      <c r="A770" s="41" t="n"/>
      <c r="B770" s="41" t="n"/>
    </row>
    <row r="771" ht="15.75" customHeight="1" s="60">
      <c r="A771" s="41" t="n"/>
      <c r="B771" s="41" t="n"/>
    </row>
    <row r="772" ht="15.75" customHeight="1" s="60">
      <c r="A772" s="41" t="n"/>
      <c r="B772" s="41" t="n"/>
    </row>
    <row r="773" ht="15.75" customHeight="1" s="60">
      <c r="A773" s="41" t="n"/>
      <c r="B773" s="41" t="n"/>
    </row>
    <row r="774" ht="15.75" customHeight="1" s="60">
      <c r="A774" s="41" t="n"/>
      <c r="B774" s="41" t="n"/>
    </row>
    <row r="775" ht="15.75" customHeight="1" s="60">
      <c r="A775" s="41" t="n"/>
      <c r="B775" s="41" t="n"/>
    </row>
    <row r="776" ht="15.75" customHeight="1" s="60">
      <c r="A776" s="41" t="n"/>
      <c r="B776" s="41" t="n"/>
    </row>
    <row r="777" ht="15.75" customHeight="1" s="60">
      <c r="A777" s="41" t="n"/>
      <c r="B777" s="41" t="n"/>
    </row>
    <row r="778" ht="15.75" customHeight="1" s="60">
      <c r="A778" s="41" t="n"/>
      <c r="B778" s="41" t="n"/>
    </row>
    <row r="779" ht="15.75" customHeight="1" s="60">
      <c r="A779" s="41" t="n"/>
      <c r="B779" s="41" t="n"/>
    </row>
    <row r="780" ht="15.75" customHeight="1" s="60">
      <c r="A780" s="41" t="n"/>
      <c r="B780" s="41" t="n"/>
    </row>
    <row r="781" ht="15.75" customHeight="1" s="60">
      <c r="A781" s="41" t="n"/>
      <c r="B781" s="41" t="n"/>
    </row>
    <row r="782" ht="15.75" customHeight="1" s="60">
      <c r="A782" s="41" t="n"/>
      <c r="B782" s="41" t="n"/>
    </row>
    <row r="783" ht="15.75" customHeight="1" s="60">
      <c r="A783" s="41" t="n"/>
      <c r="B783" s="41" t="n"/>
    </row>
    <row r="784" ht="15.75" customHeight="1" s="60">
      <c r="A784" s="41" t="n"/>
      <c r="B784" s="41" t="n"/>
    </row>
    <row r="785" ht="15.75" customHeight="1" s="60">
      <c r="A785" s="41" t="n"/>
      <c r="B785" s="41" t="n"/>
    </row>
    <row r="786" ht="15.75" customHeight="1" s="60">
      <c r="A786" s="41" t="n"/>
      <c r="B786" s="41" t="n"/>
    </row>
    <row r="787" ht="15.75" customHeight="1" s="60">
      <c r="A787" s="41" t="n"/>
      <c r="B787" s="41" t="n"/>
    </row>
    <row r="788" ht="15.75" customHeight="1" s="60">
      <c r="A788" s="41" t="n"/>
      <c r="B788" s="41" t="n"/>
    </row>
    <row r="789" ht="15.75" customHeight="1" s="60">
      <c r="A789" s="41" t="n"/>
      <c r="B789" s="41" t="n"/>
    </row>
    <row r="790" ht="15.75" customHeight="1" s="60">
      <c r="A790" s="41" t="n"/>
      <c r="B790" s="41" t="n"/>
    </row>
    <row r="791" ht="15.75" customHeight="1" s="60">
      <c r="A791" s="41" t="n"/>
      <c r="B791" s="41" t="n"/>
    </row>
    <row r="792" ht="15.75" customHeight="1" s="60">
      <c r="A792" s="41" t="n"/>
      <c r="B792" s="41" t="n"/>
    </row>
    <row r="793" ht="15.75" customHeight="1" s="60">
      <c r="A793" s="41" t="n"/>
      <c r="B793" s="41" t="n"/>
    </row>
    <row r="794" ht="15.75" customHeight="1" s="60">
      <c r="A794" s="41" t="n"/>
      <c r="B794" s="41" t="n"/>
    </row>
    <row r="795" ht="15.75" customHeight="1" s="60">
      <c r="A795" s="41" t="n"/>
      <c r="B795" s="41" t="n"/>
    </row>
    <row r="796" ht="15.75" customHeight="1" s="60">
      <c r="A796" s="41" t="n"/>
      <c r="B796" s="41" t="n"/>
    </row>
    <row r="797" ht="15.75" customHeight="1" s="60">
      <c r="A797" s="41" t="n"/>
      <c r="B797" s="41" t="n"/>
    </row>
    <row r="798" ht="15.75" customHeight="1" s="60">
      <c r="A798" s="41" t="n"/>
      <c r="B798" s="41" t="n"/>
    </row>
    <row r="799" ht="15.75" customHeight="1" s="60">
      <c r="A799" s="41" t="n"/>
      <c r="B799" s="41" t="n"/>
    </row>
    <row r="800" ht="15.75" customHeight="1" s="60">
      <c r="A800" s="41" t="n"/>
      <c r="B800" s="41" t="n"/>
    </row>
    <row r="801" ht="15.75" customHeight="1" s="60">
      <c r="A801" s="41" t="n"/>
      <c r="B801" s="41" t="n"/>
    </row>
    <row r="802" ht="15.75" customHeight="1" s="60">
      <c r="A802" s="41" t="n"/>
      <c r="B802" s="41" t="n"/>
    </row>
    <row r="803" ht="15.75" customHeight="1" s="60">
      <c r="A803" s="41" t="n"/>
      <c r="B803" s="41" t="n"/>
    </row>
    <row r="804" ht="15.75" customHeight="1" s="60">
      <c r="A804" s="41" t="n"/>
      <c r="B804" s="41" t="n"/>
    </row>
    <row r="805" ht="15.75" customHeight="1" s="60">
      <c r="A805" s="41" t="n"/>
      <c r="B805" s="41" t="n"/>
    </row>
    <row r="806" ht="15.75" customHeight="1" s="60">
      <c r="A806" s="41" t="n"/>
      <c r="B806" s="41" t="n"/>
    </row>
    <row r="807" ht="15.75" customHeight="1" s="60">
      <c r="A807" s="41" t="n"/>
      <c r="B807" s="41" t="n"/>
    </row>
    <row r="808" ht="15.75" customHeight="1" s="60">
      <c r="A808" s="41" t="n"/>
      <c r="B808" s="41" t="n"/>
    </row>
    <row r="809" ht="15.75" customHeight="1" s="60">
      <c r="A809" s="41" t="n"/>
      <c r="B809" s="41" t="n"/>
    </row>
    <row r="810" ht="15.75" customHeight="1" s="60">
      <c r="A810" s="41" t="n"/>
      <c r="B810" s="41" t="n"/>
    </row>
    <row r="811" ht="15.75" customHeight="1" s="60">
      <c r="A811" s="41" t="n"/>
      <c r="B811" s="41" t="n"/>
    </row>
    <row r="812" ht="15.75" customHeight="1" s="60">
      <c r="A812" s="41" t="n"/>
      <c r="B812" s="41" t="n"/>
    </row>
    <row r="813" ht="15.75" customHeight="1" s="60">
      <c r="A813" s="41" t="n"/>
      <c r="B813" s="41" t="n"/>
    </row>
    <row r="814" ht="15.75" customHeight="1" s="60">
      <c r="A814" s="41" t="n"/>
      <c r="B814" s="41" t="n"/>
    </row>
    <row r="815" ht="15.75" customHeight="1" s="60">
      <c r="A815" s="41" t="n"/>
      <c r="B815" s="41" t="n"/>
    </row>
    <row r="816" ht="15.75" customHeight="1" s="60">
      <c r="A816" s="41" t="n"/>
      <c r="B816" s="41" t="n"/>
    </row>
    <row r="817" ht="15.75" customHeight="1" s="60">
      <c r="A817" s="41" t="n"/>
      <c r="B817" s="41" t="n"/>
    </row>
    <row r="818" ht="15.75" customHeight="1" s="60">
      <c r="A818" s="41" t="n"/>
      <c r="B818" s="41" t="n"/>
    </row>
    <row r="819" ht="15.75" customHeight="1" s="60">
      <c r="A819" s="41" t="n"/>
      <c r="B819" s="41" t="n"/>
    </row>
    <row r="820" ht="15.75" customHeight="1" s="60">
      <c r="A820" s="41" t="n"/>
      <c r="B820" s="41" t="n"/>
    </row>
    <row r="821" ht="15.75" customHeight="1" s="60">
      <c r="A821" s="41" t="n"/>
      <c r="B821" s="41" t="n"/>
    </row>
    <row r="822" ht="15.75" customHeight="1" s="60">
      <c r="A822" s="41" t="n"/>
      <c r="B822" s="41" t="n"/>
    </row>
    <row r="823" ht="15.75" customHeight="1" s="60">
      <c r="A823" s="41" t="n"/>
      <c r="B823" s="41" t="n"/>
    </row>
    <row r="824" ht="15.75" customHeight="1" s="60">
      <c r="A824" s="41" t="n"/>
      <c r="B824" s="41" t="n"/>
    </row>
    <row r="825" ht="15.75" customHeight="1" s="60">
      <c r="A825" s="41" t="n"/>
      <c r="B825" s="41" t="n"/>
    </row>
    <row r="826" ht="15.75" customHeight="1" s="60">
      <c r="A826" s="41" t="n"/>
      <c r="B826" s="41" t="n"/>
    </row>
    <row r="827" ht="15.75" customHeight="1" s="60">
      <c r="A827" s="41" t="n"/>
      <c r="B827" s="41" t="n"/>
    </row>
    <row r="828" ht="15.75" customHeight="1" s="60">
      <c r="A828" s="41" t="n"/>
      <c r="B828" s="41" t="n"/>
    </row>
    <row r="829" ht="15.75" customHeight="1" s="60">
      <c r="A829" s="41" t="n"/>
      <c r="B829" s="41" t="n"/>
    </row>
    <row r="830" ht="15.75" customHeight="1" s="60">
      <c r="A830" s="41" t="n"/>
      <c r="B830" s="41" t="n"/>
    </row>
    <row r="831" ht="15.75" customHeight="1" s="60">
      <c r="A831" s="41" t="n"/>
      <c r="B831" s="41" t="n"/>
    </row>
    <row r="832" ht="15.75" customHeight="1" s="60">
      <c r="A832" s="41" t="n"/>
      <c r="B832" s="41" t="n"/>
    </row>
    <row r="833" ht="15.75" customHeight="1" s="60">
      <c r="A833" s="41" t="n"/>
      <c r="B833" s="41" t="n"/>
    </row>
    <row r="834" ht="15.75" customHeight="1" s="60">
      <c r="A834" s="41" t="n"/>
      <c r="B834" s="41" t="n"/>
    </row>
    <row r="835" ht="15.75" customHeight="1" s="60">
      <c r="A835" s="41" t="n"/>
      <c r="B835" s="41" t="n"/>
    </row>
    <row r="836" ht="15.75" customHeight="1" s="60">
      <c r="A836" s="41" t="n"/>
      <c r="B836" s="41" t="n"/>
    </row>
    <row r="837" ht="15.75" customHeight="1" s="60">
      <c r="A837" s="41" t="n"/>
      <c r="B837" s="41" t="n"/>
    </row>
    <row r="838" ht="15.75" customHeight="1" s="60">
      <c r="A838" s="41" t="n"/>
      <c r="B838" s="41" t="n"/>
    </row>
    <row r="839" ht="15.75" customHeight="1" s="60">
      <c r="A839" s="41" t="n"/>
      <c r="B839" s="41" t="n"/>
    </row>
    <row r="840" ht="15.75" customHeight="1" s="60">
      <c r="A840" s="41" t="n"/>
      <c r="B840" s="41" t="n"/>
    </row>
    <row r="841" ht="15.75" customHeight="1" s="60">
      <c r="A841" s="41" t="n"/>
      <c r="B841" s="41" t="n"/>
    </row>
    <row r="842" ht="15.75" customHeight="1" s="60">
      <c r="A842" s="41" t="n"/>
      <c r="B842" s="41" t="n"/>
    </row>
    <row r="843" ht="15.75" customHeight="1" s="60">
      <c r="A843" s="41" t="n"/>
      <c r="B843" s="41" t="n"/>
    </row>
    <row r="844" ht="15.75" customHeight="1" s="60">
      <c r="A844" s="41" t="n"/>
      <c r="B844" s="41" t="n"/>
    </row>
    <row r="845" ht="15.75" customHeight="1" s="60">
      <c r="A845" s="41" t="n"/>
      <c r="B845" s="41" t="n"/>
    </row>
    <row r="846" ht="15.75" customHeight="1" s="60">
      <c r="A846" s="41" t="n"/>
      <c r="B846" s="41" t="n"/>
    </row>
    <row r="847" ht="15.75" customHeight="1" s="60">
      <c r="A847" s="41" t="n"/>
      <c r="B847" s="41" t="n"/>
    </row>
    <row r="848" ht="15.75" customHeight="1" s="60">
      <c r="A848" s="41" t="n"/>
      <c r="B848" s="41" t="n"/>
    </row>
    <row r="849" ht="15.75" customHeight="1" s="60">
      <c r="A849" s="41" t="n"/>
      <c r="B849" s="41" t="n"/>
    </row>
    <row r="850" ht="15.75" customHeight="1" s="60">
      <c r="A850" s="41" t="n"/>
      <c r="B850" s="41" t="n"/>
    </row>
    <row r="851" ht="15.75" customHeight="1" s="60">
      <c r="A851" s="41" t="n"/>
      <c r="B851" s="41" t="n"/>
    </row>
    <row r="852" ht="15.75" customHeight="1" s="60">
      <c r="A852" s="41" t="n"/>
      <c r="B852" s="41" t="n"/>
    </row>
    <row r="853" ht="15.75" customHeight="1" s="60">
      <c r="A853" s="41" t="n"/>
      <c r="B853" s="41" t="n"/>
    </row>
    <row r="854" ht="15.75" customHeight="1" s="60">
      <c r="A854" s="41" t="n"/>
      <c r="B854" s="41" t="n"/>
    </row>
    <row r="855" ht="15.75" customHeight="1" s="60">
      <c r="A855" s="41" t="n"/>
      <c r="B855" s="41" t="n"/>
    </row>
    <row r="856" ht="15.75" customHeight="1" s="60">
      <c r="A856" s="41" t="n"/>
      <c r="B856" s="41" t="n"/>
    </row>
    <row r="857" ht="15.75" customHeight="1" s="60">
      <c r="A857" s="41" t="n"/>
      <c r="B857" s="41" t="n"/>
    </row>
    <row r="858" ht="15.75" customHeight="1" s="60">
      <c r="A858" s="41" t="n"/>
      <c r="B858" s="41" t="n"/>
    </row>
    <row r="859" ht="15.75" customHeight="1" s="60">
      <c r="A859" s="41" t="n"/>
      <c r="B859" s="41" t="n"/>
    </row>
    <row r="860" ht="15.75" customHeight="1" s="60">
      <c r="A860" s="41" t="n"/>
      <c r="B860" s="41" t="n"/>
    </row>
    <row r="861" ht="15.75" customHeight="1" s="60">
      <c r="A861" s="41" t="n"/>
      <c r="B861" s="41" t="n"/>
    </row>
    <row r="862" ht="15.75" customHeight="1" s="60">
      <c r="A862" s="41" t="n"/>
      <c r="B862" s="41" t="n"/>
    </row>
    <row r="863" ht="15.75" customHeight="1" s="60">
      <c r="A863" s="41" t="n"/>
      <c r="B863" s="41" t="n"/>
    </row>
    <row r="864" ht="15.75" customHeight="1" s="60">
      <c r="A864" s="41" t="n"/>
      <c r="B864" s="41" t="n"/>
    </row>
    <row r="865" ht="15.75" customHeight="1" s="60">
      <c r="A865" s="41" t="n"/>
      <c r="B865" s="41" t="n"/>
    </row>
    <row r="866" ht="15.75" customHeight="1" s="60">
      <c r="A866" s="41" t="n"/>
      <c r="B866" s="41" t="n"/>
    </row>
    <row r="867" ht="15.75" customHeight="1" s="60">
      <c r="A867" s="41" t="n"/>
      <c r="B867" s="41" t="n"/>
    </row>
    <row r="868" ht="15.75" customHeight="1" s="60">
      <c r="A868" s="41" t="n"/>
      <c r="B868" s="41" t="n"/>
    </row>
    <row r="869" ht="15.75" customHeight="1" s="60">
      <c r="A869" s="41" t="n"/>
      <c r="B869" s="41" t="n"/>
    </row>
    <row r="870" ht="15.75" customHeight="1" s="60">
      <c r="A870" s="41" t="n"/>
      <c r="B870" s="41" t="n"/>
    </row>
    <row r="871" ht="15.75" customHeight="1" s="60">
      <c r="A871" s="41" t="n"/>
      <c r="B871" s="41" t="n"/>
    </row>
    <row r="872" ht="15.75" customHeight="1" s="60">
      <c r="A872" s="41" t="n"/>
      <c r="B872" s="41" t="n"/>
    </row>
    <row r="873" ht="15.75" customHeight="1" s="60">
      <c r="A873" s="41" t="n"/>
      <c r="B873" s="41" t="n"/>
    </row>
    <row r="874" ht="15.75" customHeight="1" s="60">
      <c r="A874" s="41" t="n"/>
      <c r="B874" s="41" t="n"/>
    </row>
    <row r="875" ht="15.75" customHeight="1" s="60">
      <c r="A875" s="41" t="n"/>
      <c r="B875" s="41" t="n"/>
    </row>
    <row r="876" ht="15.75" customHeight="1" s="60">
      <c r="A876" s="41" t="n"/>
      <c r="B876" s="41" t="n"/>
    </row>
    <row r="877" ht="15.75" customHeight="1" s="60">
      <c r="A877" s="41" t="n"/>
      <c r="B877" s="41" t="n"/>
    </row>
    <row r="878" ht="15.75" customHeight="1" s="60">
      <c r="A878" s="41" t="n"/>
      <c r="B878" s="41" t="n"/>
    </row>
    <row r="879" ht="15.75" customHeight="1" s="60">
      <c r="A879" s="41" t="n"/>
      <c r="B879" s="41" t="n"/>
    </row>
    <row r="880" ht="15.75" customHeight="1" s="60">
      <c r="A880" s="41" t="n"/>
      <c r="B880" s="41" t="n"/>
    </row>
    <row r="881" ht="15.75" customHeight="1" s="60">
      <c r="A881" s="41" t="n"/>
      <c r="B881" s="41" t="n"/>
    </row>
    <row r="882" ht="15.75" customHeight="1" s="60">
      <c r="A882" s="41" t="n"/>
      <c r="B882" s="41" t="n"/>
    </row>
    <row r="883" ht="15.75" customHeight="1" s="60">
      <c r="A883" s="41" t="n"/>
      <c r="B883" s="41" t="n"/>
    </row>
    <row r="884" ht="15.75" customHeight="1" s="60">
      <c r="A884" s="41" t="n"/>
      <c r="B884" s="41" t="n"/>
    </row>
    <row r="885" ht="15.75" customHeight="1" s="60">
      <c r="A885" s="41" t="n"/>
      <c r="B885" s="41" t="n"/>
    </row>
    <row r="886" ht="15.75" customHeight="1" s="60">
      <c r="A886" s="41" t="n"/>
      <c r="B886" s="41" t="n"/>
    </row>
    <row r="887" ht="15.75" customHeight="1" s="60">
      <c r="A887" s="41" t="n"/>
      <c r="B887" s="41" t="n"/>
    </row>
    <row r="888" ht="15.75" customHeight="1" s="60">
      <c r="A888" s="41" t="n"/>
      <c r="B888" s="41" t="n"/>
    </row>
    <row r="889" ht="15.75" customHeight="1" s="60">
      <c r="A889" s="41" t="n"/>
      <c r="B889" s="41" t="n"/>
    </row>
    <row r="890" ht="15.75" customHeight="1" s="60">
      <c r="A890" s="41" t="n"/>
      <c r="B890" s="41" t="n"/>
    </row>
    <row r="891" ht="15.75" customHeight="1" s="60">
      <c r="A891" s="41" t="n"/>
      <c r="B891" s="41" t="n"/>
    </row>
    <row r="892" ht="15.75" customHeight="1" s="60">
      <c r="A892" s="41" t="n"/>
      <c r="B892" s="41" t="n"/>
    </row>
    <row r="893" ht="15.75" customHeight="1" s="60">
      <c r="A893" s="41" t="n"/>
      <c r="B893" s="41" t="n"/>
    </row>
    <row r="894" ht="15.75" customHeight="1" s="60">
      <c r="A894" s="41" t="n"/>
      <c r="B894" s="41" t="n"/>
    </row>
    <row r="895" ht="15.75" customHeight="1" s="60">
      <c r="A895" s="41" t="n"/>
      <c r="B895" s="41" t="n"/>
    </row>
    <row r="896" ht="15.75" customHeight="1" s="60">
      <c r="A896" s="41" t="n"/>
      <c r="B896" s="41" t="n"/>
    </row>
    <row r="897" ht="15.75" customHeight="1" s="60">
      <c r="A897" s="41" t="n"/>
      <c r="B897" s="41" t="n"/>
    </row>
    <row r="898" ht="15.75" customHeight="1" s="60">
      <c r="A898" s="41" t="n"/>
      <c r="B898" s="41" t="n"/>
    </row>
    <row r="899" ht="15.75" customHeight="1" s="60">
      <c r="A899" s="41" t="n"/>
      <c r="B899" s="41" t="n"/>
    </row>
    <row r="900" ht="15.75" customHeight="1" s="60">
      <c r="A900" s="41" t="n"/>
      <c r="B900" s="41" t="n"/>
    </row>
    <row r="901" ht="15.75" customHeight="1" s="60">
      <c r="A901" s="41" t="n"/>
      <c r="B901" s="41" t="n"/>
    </row>
    <row r="902" ht="15.75" customHeight="1" s="60">
      <c r="A902" s="41" t="n"/>
      <c r="B902" s="41" t="n"/>
    </row>
    <row r="903" ht="15.75" customHeight="1" s="60">
      <c r="A903" s="41" t="n"/>
      <c r="B903" s="41" t="n"/>
    </row>
    <row r="904" ht="15.75" customHeight="1" s="60">
      <c r="A904" s="41" t="n"/>
      <c r="B904" s="41" t="n"/>
    </row>
    <row r="905" ht="15.75" customHeight="1" s="60">
      <c r="A905" s="41" t="n"/>
      <c r="B905" s="41" t="n"/>
    </row>
    <row r="906" ht="15.75" customHeight="1" s="60">
      <c r="A906" s="41" t="n"/>
      <c r="B906" s="41" t="n"/>
    </row>
    <row r="907" ht="15.75" customHeight="1" s="60">
      <c r="A907" s="41" t="n"/>
      <c r="B907" s="41" t="n"/>
    </row>
    <row r="908" ht="15.75" customHeight="1" s="60">
      <c r="A908" s="41" t="n"/>
      <c r="B908" s="41" t="n"/>
    </row>
    <row r="909" ht="15.75" customHeight="1" s="60">
      <c r="A909" s="41" t="n"/>
      <c r="B909" s="41" t="n"/>
    </row>
    <row r="910" ht="15.75" customHeight="1" s="60">
      <c r="A910" s="41" t="n"/>
      <c r="B910" s="41" t="n"/>
    </row>
    <row r="911" ht="15.75" customHeight="1" s="60">
      <c r="A911" s="41" t="n"/>
      <c r="B911" s="41" t="n"/>
    </row>
    <row r="912" ht="15.75" customHeight="1" s="60">
      <c r="A912" s="41" t="n"/>
      <c r="B912" s="41" t="n"/>
    </row>
    <row r="913" ht="15.75" customHeight="1" s="60">
      <c r="A913" s="41" t="n"/>
      <c r="B913" s="41" t="n"/>
    </row>
    <row r="914" ht="15.75" customHeight="1" s="60">
      <c r="A914" s="41" t="n"/>
      <c r="B914" s="41" t="n"/>
    </row>
    <row r="915" ht="15.75" customHeight="1" s="60">
      <c r="A915" s="41" t="n"/>
      <c r="B915" s="41" t="n"/>
    </row>
    <row r="916" ht="15.75" customHeight="1" s="60">
      <c r="A916" s="41" t="n"/>
      <c r="B916" s="41" t="n"/>
    </row>
    <row r="917" ht="15.75" customHeight="1" s="60">
      <c r="A917" s="41" t="n"/>
      <c r="B917" s="41" t="n"/>
    </row>
    <row r="918" ht="15.75" customHeight="1" s="60">
      <c r="A918" s="41" t="n"/>
      <c r="B918" s="41" t="n"/>
    </row>
    <row r="919" ht="15.75" customHeight="1" s="60">
      <c r="A919" s="41" t="n"/>
      <c r="B919" s="41" t="n"/>
    </row>
    <row r="920" ht="15.75" customHeight="1" s="60">
      <c r="A920" s="41" t="n"/>
      <c r="B920" s="41" t="n"/>
    </row>
    <row r="921" ht="15.75" customHeight="1" s="60">
      <c r="A921" s="41" t="n"/>
      <c r="B921" s="41" t="n"/>
    </row>
    <row r="922" ht="15.75" customHeight="1" s="60">
      <c r="A922" s="41" t="n"/>
      <c r="B922" s="41" t="n"/>
    </row>
    <row r="923" ht="15.75" customHeight="1" s="60">
      <c r="A923" s="41" t="n"/>
      <c r="B923" s="41" t="n"/>
    </row>
    <row r="924" ht="15.75" customHeight="1" s="60">
      <c r="A924" s="41" t="n"/>
      <c r="B924" s="41" t="n"/>
    </row>
    <row r="925" ht="15.75" customHeight="1" s="60">
      <c r="A925" s="41" t="n"/>
      <c r="B925" s="41" t="n"/>
    </row>
    <row r="926" ht="15.75" customHeight="1" s="60">
      <c r="A926" s="41" t="n"/>
      <c r="B926" s="41" t="n"/>
    </row>
    <row r="927" ht="15.75" customHeight="1" s="60">
      <c r="A927" s="41" t="n"/>
      <c r="B927" s="41" t="n"/>
    </row>
    <row r="928" ht="15.75" customHeight="1" s="60">
      <c r="A928" s="41" t="n"/>
      <c r="B928" s="41" t="n"/>
    </row>
    <row r="929" ht="15.75" customHeight="1" s="60">
      <c r="A929" s="41" t="n"/>
      <c r="B929" s="41" t="n"/>
    </row>
    <row r="930" ht="15.75" customHeight="1" s="60">
      <c r="A930" s="41" t="n"/>
      <c r="B930" s="41" t="n"/>
    </row>
    <row r="931" ht="15.75" customHeight="1" s="60">
      <c r="A931" s="41" t="n"/>
      <c r="B931" s="41" t="n"/>
    </row>
    <row r="932" ht="15.75" customHeight="1" s="60">
      <c r="A932" s="41" t="n"/>
      <c r="B932" s="41" t="n"/>
    </row>
    <row r="933" ht="15.75" customHeight="1" s="60">
      <c r="A933" s="41" t="n"/>
      <c r="B933" s="41" t="n"/>
    </row>
    <row r="934" ht="15.75" customHeight="1" s="60">
      <c r="A934" s="41" t="n"/>
      <c r="B934" s="41" t="n"/>
    </row>
    <row r="935" ht="15.75" customHeight="1" s="60">
      <c r="A935" s="41" t="n"/>
      <c r="B935" s="41" t="n"/>
    </row>
    <row r="936" ht="15.75" customHeight="1" s="60">
      <c r="A936" s="41" t="n"/>
      <c r="B936" s="41" t="n"/>
    </row>
    <row r="937" ht="15.75" customHeight="1" s="60">
      <c r="A937" s="41" t="n"/>
      <c r="B937" s="41" t="n"/>
    </row>
    <row r="938" ht="15.75" customHeight="1" s="60">
      <c r="A938" s="41" t="n"/>
      <c r="B938" s="41" t="n"/>
    </row>
    <row r="939" ht="15.75" customHeight="1" s="60">
      <c r="A939" s="41" t="n"/>
      <c r="B939" s="41" t="n"/>
    </row>
    <row r="940" ht="15.75" customHeight="1" s="60">
      <c r="A940" s="41" t="n"/>
      <c r="B940" s="41" t="n"/>
    </row>
    <row r="941" ht="15.75" customHeight="1" s="60">
      <c r="A941" s="41" t="n"/>
      <c r="B941" s="41" t="n"/>
    </row>
    <row r="942" ht="15.75" customHeight="1" s="60">
      <c r="A942" s="41" t="n"/>
      <c r="B942" s="41" t="n"/>
    </row>
    <row r="943" ht="15.75" customHeight="1" s="60">
      <c r="A943" s="41" t="n"/>
      <c r="B943" s="41" t="n"/>
    </row>
    <row r="944" ht="15.75" customHeight="1" s="60">
      <c r="A944" s="41" t="n"/>
      <c r="B944" s="41" t="n"/>
    </row>
    <row r="945" ht="15.75" customHeight="1" s="60">
      <c r="A945" s="41" t="n"/>
      <c r="B945" s="41" t="n"/>
    </row>
    <row r="946" ht="15.75" customHeight="1" s="60">
      <c r="A946" s="41" t="n"/>
      <c r="B946" s="41" t="n"/>
    </row>
    <row r="947" ht="15.75" customHeight="1" s="60">
      <c r="A947" s="41" t="n"/>
      <c r="B947" s="41" t="n"/>
    </row>
    <row r="948" ht="15.75" customHeight="1" s="60">
      <c r="A948" s="41" t="n"/>
      <c r="B948" s="41" t="n"/>
    </row>
    <row r="949" ht="15.75" customHeight="1" s="60">
      <c r="A949" s="41" t="n"/>
      <c r="B949" s="41" t="n"/>
    </row>
    <row r="950" ht="15.75" customHeight="1" s="60">
      <c r="A950" s="41" t="n"/>
      <c r="B950" s="41" t="n"/>
    </row>
    <row r="951" ht="15.75" customHeight="1" s="60">
      <c r="A951" s="41" t="n"/>
      <c r="B951" s="41" t="n"/>
    </row>
    <row r="952" ht="15.75" customHeight="1" s="60">
      <c r="A952" s="41" t="n"/>
      <c r="B952" s="41" t="n"/>
    </row>
    <row r="953" ht="15.75" customHeight="1" s="60">
      <c r="A953" s="41" t="n"/>
      <c r="B953" s="41" t="n"/>
    </row>
    <row r="954" ht="15.75" customHeight="1" s="60">
      <c r="A954" s="41" t="n"/>
      <c r="B954" s="41" t="n"/>
    </row>
    <row r="955" ht="15.75" customHeight="1" s="60">
      <c r="A955" s="41" t="n"/>
      <c r="B955" s="41" t="n"/>
    </row>
    <row r="956" ht="15.75" customHeight="1" s="60">
      <c r="A956" s="41" t="n"/>
      <c r="B956" s="41" t="n"/>
    </row>
    <row r="957" ht="15.75" customHeight="1" s="60">
      <c r="A957" s="41" t="n"/>
      <c r="B957" s="41" t="n"/>
    </row>
    <row r="958" ht="15.75" customHeight="1" s="60">
      <c r="A958" s="41" t="n"/>
      <c r="B958" s="41" t="n"/>
    </row>
    <row r="959" ht="15.75" customHeight="1" s="60">
      <c r="A959" s="41" t="n"/>
      <c r="B959" s="41" t="n"/>
    </row>
    <row r="960" ht="15.75" customHeight="1" s="60">
      <c r="A960" s="41" t="n"/>
      <c r="B960" s="41" t="n"/>
    </row>
    <row r="961" ht="15.75" customHeight="1" s="60">
      <c r="A961" s="41" t="n"/>
      <c r="B961" s="41" t="n"/>
    </row>
    <row r="962" ht="15.75" customHeight="1" s="60">
      <c r="A962" s="41" t="n"/>
      <c r="B962" s="41" t="n"/>
    </row>
    <row r="963" ht="15.75" customHeight="1" s="60">
      <c r="A963" s="41" t="n"/>
      <c r="B963" s="41" t="n"/>
    </row>
    <row r="964" ht="15.75" customHeight="1" s="60">
      <c r="A964" s="41" t="n"/>
      <c r="B964" s="41" t="n"/>
    </row>
    <row r="965" ht="15.75" customHeight="1" s="60">
      <c r="A965" s="41" t="n"/>
      <c r="B965" s="41" t="n"/>
    </row>
    <row r="966" ht="15.75" customHeight="1" s="60">
      <c r="A966" s="41" t="n"/>
      <c r="B966" s="41" t="n"/>
    </row>
    <row r="967" ht="15.75" customHeight="1" s="60">
      <c r="A967" s="41" t="n"/>
      <c r="B967" s="41" t="n"/>
    </row>
    <row r="968" ht="15.75" customHeight="1" s="60">
      <c r="A968" s="41" t="n"/>
      <c r="B968" s="41" t="n"/>
    </row>
    <row r="969" ht="15.75" customHeight="1" s="60">
      <c r="A969" s="41" t="n"/>
      <c r="B969" s="41" t="n"/>
    </row>
    <row r="970" ht="15.75" customHeight="1" s="60">
      <c r="A970" s="41" t="n"/>
      <c r="B970" s="41" t="n"/>
    </row>
    <row r="971" ht="15.75" customHeight="1" s="60">
      <c r="A971" s="41" t="n"/>
      <c r="B971" s="41" t="n"/>
    </row>
    <row r="972" ht="15.75" customHeight="1" s="60">
      <c r="A972" s="41" t="n"/>
      <c r="B972" s="41" t="n"/>
    </row>
    <row r="973" ht="15.75" customHeight="1" s="60">
      <c r="A973" s="41" t="n"/>
      <c r="B973" s="41" t="n"/>
    </row>
    <row r="974" ht="15.75" customHeight="1" s="60">
      <c r="A974" s="41" t="n"/>
      <c r="B974" s="41" t="n"/>
    </row>
    <row r="975" ht="15.75" customHeight="1" s="60">
      <c r="A975" s="41" t="n"/>
      <c r="B975" s="41" t="n"/>
    </row>
    <row r="976" ht="15.75" customHeight="1" s="60">
      <c r="A976" s="41" t="n"/>
      <c r="B976" s="41" t="n"/>
    </row>
    <row r="977" ht="15.75" customHeight="1" s="60">
      <c r="A977" s="41" t="n"/>
      <c r="B977" s="41" t="n"/>
    </row>
    <row r="978" ht="15.75" customHeight="1" s="60">
      <c r="A978" s="41" t="n"/>
      <c r="B978" s="41" t="n"/>
    </row>
    <row r="979" ht="15.75" customHeight="1" s="60">
      <c r="A979" s="41" t="n"/>
      <c r="B979" s="41" t="n"/>
    </row>
    <row r="980" ht="15.75" customHeight="1" s="60">
      <c r="A980" s="41" t="n"/>
      <c r="B980" s="41" t="n"/>
    </row>
    <row r="981" ht="15.75" customHeight="1" s="60">
      <c r="A981" s="41" t="n"/>
      <c r="B981" s="41" t="n"/>
    </row>
    <row r="982" ht="15.75" customHeight="1" s="60">
      <c r="A982" s="41" t="n"/>
      <c r="B982" s="41" t="n"/>
    </row>
    <row r="983" ht="15.75" customHeight="1" s="60">
      <c r="A983" s="41" t="n"/>
      <c r="B983" s="41" t="n"/>
    </row>
    <row r="984" ht="15.75" customHeight="1" s="60">
      <c r="A984" s="41" t="n"/>
      <c r="B984" s="41" t="n"/>
    </row>
    <row r="985" ht="15.75" customHeight="1" s="60">
      <c r="A985" s="41" t="n"/>
      <c r="B985" s="41" t="n"/>
    </row>
    <row r="986" ht="15.75" customHeight="1" s="60">
      <c r="A986" s="41" t="n"/>
      <c r="B986" s="41" t="n"/>
    </row>
    <row r="987" ht="15.75" customHeight="1" s="60">
      <c r="A987" s="41" t="n"/>
      <c r="B987" s="41" t="n"/>
    </row>
    <row r="988" ht="15.75" customHeight="1" s="60">
      <c r="A988" s="41" t="n"/>
      <c r="B988" s="41" t="n"/>
    </row>
    <row r="989" ht="15.75" customHeight="1" s="60">
      <c r="A989" s="41" t="n"/>
      <c r="B989" s="41" t="n"/>
    </row>
    <row r="990" ht="15.75" customHeight="1" s="60">
      <c r="A990" s="41" t="n"/>
      <c r="B990" s="41" t="n"/>
    </row>
    <row r="991" ht="15.75" customHeight="1" s="60">
      <c r="A991" s="41" t="n"/>
      <c r="B991" s="41" t="n"/>
    </row>
    <row r="992" ht="15.75" customHeight="1" s="60">
      <c r="A992" s="41" t="n"/>
      <c r="B992" s="41" t="n"/>
    </row>
    <row r="993" ht="15.75" customHeight="1" s="60">
      <c r="A993" s="41" t="n"/>
      <c r="B993" s="41" t="n"/>
    </row>
    <row r="994" ht="15.75" customHeight="1" s="60">
      <c r="A994" s="41" t="n"/>
      <c r="B994" s="41" t="n"/>
    </row>
    <row r="995" ht="15.75" customHeight="1" s="60">
      <c r="A995" s="41" t="n"/>
      <c r="B995" s="41" t="n"/>
    </row>
    <row r="996" ht="15.75" customHeight="1" s="60">
      <c r="A996" s="41" t="n"/>
      <c r="B996" s="41" t="n"/>
    </row>
    <row r="997" ht="15.75" customHeight="1" s="60">
      <c r="A997" s="41" t="n"/>
      <c r="B997" s="41" t="n"/>
    </row>
    <row r="998" ht="15.75" customHeight="1" s="60">
      <c r="A998" s="41" t="n"/>
      <c r="B998" s="41" t="n"/>
    </row>
    <row r="999" ht="15.75" customHeight="1" s="60">
      <c r="A999" s="41" t="n"/>
      <c r="B999" s="41" t="n"/>
    </row>
    <row r="1000" ht="15.75" customHeight="1" s="60">
      <c r="A1000" s="41" t="n"/>
      <c r="B1000" s="41" t="n"/>
    </row>
  </sheetData>
  <pageMargins left="0.75" right="0.75" top="1" bottom="1" header="0" footer="0"/>
  <pageSetup orientation="portrait" paperSize="9"/>
</worksheet>
</file>

<file path=xl/worksheets/sheet14.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44" customWidth="1" style="60" min="1" max="1"/>
    <col width="18" customWidth="1" style="60" min="2" max="2"/>
    <col width="8.710000000000001" customWidth="1" style="60" min="3" max="26"/>
  </cols>
  <sheetData>
    <row r="1" ht="17.25" customHeight="1" s="60">
      <c r="A1" s="1" t="inlineStr">
        <is>
          <t>PENYATA ALIRAN TUNAI (CASH FLOW STATEMENT)</t>
        </is>
      </c>
      <c r="B1" s="41" t="n"/>
    </row>
    <row r="2" ht="15" customHeight="1" s="60">
      <c r="A2" s="5" t="inlineStr">
        <is>
          <t>Bagi tempoh 1 Januari 2026 hingga 31 Januari 2026 (data contoh) — kaedah tidak langsung (indirect method)</t>
        </is>
      </c>
      <c r="B2" s="41" t="n"/>
    </row>
    <row r="3">
      <c r="A3" s="41" t="n"/>
      <c r="B3" s="41" t="n"/>
    </row>
    <row r="4" ht="15" customHeight="1" s="60">
      <c r="A4" s="45" t="inlineStr">
        <is>
          <t>AKTIVITI OPERASI</t>
        </is>
      </c>
      <c r="B4" s="41" t="n"/>
    </row>
    <row r="5" ht="15" customHeight="1" s="60">
      <c r="A5" s="38" t="inlineStr">
        <is>
          <t>Lebihan bersih (daripada UR)</t>
        </is>
      </c>
      <c r="B5" s="40">
        <f>UR!B36</f>
        <v/>
      </c>
    </row>
    <row r="6" ht="15" customHeight="1" s="60">
      <c r="A6" s="19" t="inlineStr">
        <is>
          <t>Pelarasan bukan tunai (susut nilai, dll.)</t>
        </is>
      </c>
      <c r="B6" s="51" t="n">
        <v>0</v>
      </c>
    </row>
    <row r="7" ht="15" customHeight="1" s="60">
      <c r="A7" s="19" t="inlineStr">
        <is>
          <t>Perubahan modal kerja (perlu data 2+ tempoh)</t>
        </is>
      </c>
      <c r="B7" s="51" t="n">
        <v>0</v>
      </c>
    </row>
    <row r="8" ht="15" customHeight="1" s="60">
      <c r="A8" s="46" t="inlineStr">
        <is>
          <t>TUNAI BERSIH DARIPADA OPERASI</t>
        </is>
      </c>
      <c r="B8" s="47">
        <f>SUM(B5:B7)</f>
        <v/>
      </c>
    </row>
    <row r="9">
      <c r="A9" s="41" t="n"/>
      <c r="B9" s="41" t="n"/>
    </row>
    <row r="10" ht="15" customHeight="1" s="60">
      <c r="A10" s="45" t="inlineStr">
        <is>
          <t>AKTIVITI PELABURAN</t>
        </is>
      </c>
      <c r="B10" s="41" t="n"/>
    </row>
    <row r="11" ht="15" customHeight="1" s="60">
      <c r="A11" s="38" t="inlineStr">
        <is>
          <t>Pergerakan bersih akaun pelaburan/aset tetap (cth. Deposit Tetap, Tanah, Bangunan)</t>
        </is>
      </c>
      <c r="B11" s="40">
        <f>SUMIFS(Baris_Transaksi!$E$5:$E$500,Baris_Transaksi!$G$5:$G$500,"Pelaburan",Baris_Transaksi!$B$5:$B$500,"&lt;&gt;"&amp;Tetapan!$C$18)-SUMIFS(Baris_Transaksi!$D$5:$D$500,Baris_Transaksi!$G$5:$G$500,"Pelaburan",Baris_Transaksi!$B$5:$B$500,"&lt;&gt;"&amp;Tetapan!$C$18)</f>
        <v/>
      </c>
    </row>
    <row r="12" ht="15" customHeight="1" s="60">
      <c r="A12" s="46" t="inlineStr">
        <is>
          <t>TUNAI BERSIH DARIPADA PELABURAN</t>
        </is>
      </c>
      <c r="B12" s="47">
        <f>B11</f>
        <v/>
      </c>
    </row>
    <row r="13">
      <c r="A13" s="41" t="n"/>
      <c r="B13" s="41" t="n"/>
    </row>
    <row r="14" ht="15" customHeight="1" s="60">
      <c r="A14" s="45" t="inlineStr">
        <is>
          <t>AKTIVITI PEMBIAYAAN</t>
        </is>
      </c>
      <c r="B14" s="41" t="n"/>
    </row>
    <row r="15" ht="15" customHeight="1" s="60">
      <c r="A15" s="38" t="inlineStr">
        <is>
          <t>Pergerakan bersih modal syer, simpanan ahli, pinjaman &amp; dividen dibayar</t>
        </is>
      </c>
      <c r="B15" s="40">
        <f>SUMIFS(Baris_Transaksi!$E$5:$E$500,Baris_Transaksi!$G$5:$G$500,"Pembiayaan",Baris_Transaksi!$B$5:$B$500,"&lt;&gt;"&amp;Tetapan!$C$18)-SUMIFS(Baris_Transaksi!$D$5:$D$500,Baris_Transaksi!$G$5:$G$500,"Pembiayaan",Baris_Transaksi!$B$5:$B$500,"&lt;&gt;"&amp;Tetapan!$C$18)</f>
        <v/>
      </c>
    </row>
    <row r="16" ht="15" customHeight="1" s="60">
      <c r="A16" s="46" t="inlineStr">
        <is>
          <t>TUNAI BERSIH DARIPADA PEMBIAYAAN</t>
        </is>
      </c>
      <c r="B16" s="47">
        <f>B15</f>
        <v/>
      </c>
    </row>
    <row r="17">
      <c r="A17" s="65" t="inlineStr">
        <is>
          <t>AKTIVITI BERKANUN (Bayaran Berkanun &amp; Agihan)</t>
        </is>
      </c>
      <c r="B17" s="66" t="n"/>
    </row>
    <row r="18" ht="15" customHeight="1" s="60">
      <c r="A18" s="67" t="inlineStr">
        <is>
          <t>Bayaran kepada KWRS/KWA Pendidikan/Pembangunan/Cukai/Zakat/Honorarium/Dividen (hanya bahagian dibayar)</t>
        </is>
      </c>
      <c r="B18" s="68">
        <f>-SUMIFS(Baris_Transaksi!$D$5:$D$500,Baris_Transaksi!$G$5:$G$500,"Berkanun",Baris_Transaksi!$B$5:$B$500,"&lt;&gt;"&amp;Tetapan!$C$18)</f>
        <v/>
      </c>
    </row>
    <row r="19">
      <c r="A19" s="69" t="inlineStr">
        <is>
          <t>TUNAI BERSIH DARIPADA AKTIVITI BERKANUN</t>
        </is>
      </c>
      <c r="B19" s="70">
        <f>B18</f>
        <v/>
      </c>
    </row>
    <row r="20" ht="15" customHeight="1" s="60">
      <c r="A20" s="38" t="n"/>
      <c r="B20" s="40" t="n"/>
    </row>
    <row r="21" ht="15" customHeight="1" s="60">
      <c r="A21" s="69" t="inlineStr">
        <is>
          <t>PERUBAHAN BERSIH TUNAI (B8+B12+B16+B19)</t>
        </is>
      </c>
      <c r="B21" s="70">
        <f>B8+B12+B16+B19</f>
        <v/>
      </c>
    </row>
    <row r="22" ht="15" customHeight="1" s="60">
      <c r="A22" s="19" t="n"/>
      <c r="B22" s="51" t="n"/>
    </row>
    <row r="23" ht="15.75" customHeight="1" s="60">
      <c r="A23" s="67" t="inlineStr">
        <is>
          <t>Tunai &amp; bank pada awal tempoh (Wang Di Tangan + Bank + Wang Runcit)</t>
        </is>
      </c>
      <c r="B23" s="68">
        <f>SUMIFS(Baris_Transaksi!$D$5:$D$500,Baris_Transaksi!$C$5:$C$500,1010,Baris_Transaksi!$B$5:$B$500,Tetapan!$C$18)-SUMIFS(Baris_Transaksi!$E$5:$E$500,Baris_Transaksi!$C$5:$C$500,1010,Baris_Transaksi!$B$5:$B$500,Tetapan!$C$18)+SUMIFS(Baris_Transaksi!$D$5:$D$500,Baris_Transaksi!$C$5:$C$500,1020,Baris_Transaksi!$B$5:$B$500,Tetapan!$C$18)-SUMIFS(Baris_Transaksi!$E$5:$E$500,Baris_Transaksi!$C$5:$C$500,1020,Baris_Transaksi!$B$5:$B$500,Tetapan!$C$18)+SUMIFS(Baris_Transaksi!$D$5:$D$500,Baris_Transaksi!$C$5:$C$500,1080,Baris_Transaksi!$B$5:$B$500,Tetapan!$C$18)-SUMIFS(Baris_Transaksi!$E$5:$E$500,Baris_Transaksi!$C$5:$C$500,1080,Baris_Transaksi!$B$5:$B$500,Tetapan!$C$18)</f>
        <v/>
      </c>
    </row>
    <row r="24" ht="15" customHeight="1" s="60">
      <c r="A24" s="67" t="inlineStr">
        <is>
          <t>TUNAI &amp; BANK PADA AKHIR TEMPOH (dikira)</t>
        </is>
      </c>
      <c r="B24" s="68">
        <f>B23+B21</f>
        <v/>
      </c>
    </row>
    <row r="25" ht="15.75" customHeight="1" s="60">
      <c r="A25" s="67" t="inlineStr">
        <is>
          <t>Tunai &amp; bank pada akhir tempoh (semakan bebas, dari Imbangan_Duga)</t>
        </is>
      </c>
      <c r="B25" s="68">
        <f>SUMIF(Imbangan_Duga!$A$5:$A$150,1010,Imbangan_Duga!$H$5:$H$150)+SUMIF(Imbangan_Duga!$A$5:$A$150,1020,Imbangan_Duga!$H$5:$H$150)+SUMIF(Imbangan_Duga!$A$5:$A$150,1080,Imbangan_Duga!$H$5:$H$150)</f>
        <v/>
      </c>
    </row>
    <row r="26" ht="15.75" customHeight="1" s="60">
      <c r="A26" s="41" t="n"/>
      <c r="B26" s="41" t="n"/>
    </row>
    <row r="27" ht="15.75" customHeight="1" s="60">
      <c r="A27" s="67" t="inlineStr">
        <is>
          <t>Semakan:</t>
        </is>
      </c>
      <c r="B27" s="68">
        <f>IF(ROUND(B24-B25,2)=0,"SEIMBANG","TIDAK SEIMBANG - beza RM"&amp;TEXT(B24-B25,"#,##0.00"))</f>
        <v/>
      </c>
    </row>
    <row r="28" ht="15.75" customHeight="1" s="60">
      <c r="A28" s="41" t="n"/>
      <c r="B28" s="41" t="n"/>
    </row>
    <row r="29" ht="15.75" customHeight="1" s="60">
      <c r="A29" s="41" t="n"/>
      <c r="B29" s="41" t="n"/>
    </row>
    <row r="30" ht="15.75" customHeight="1" s="60">
      <c r="A30" s="41" t="n"/>
      <c r="B30" s="41" t="n"/>
    </row>
    <row r="31" ht="15.75" customHeight="1" s="60">
      <c r="A31" s="41" t="n"/>
      <c r="B31" s="41" t="n"/>
    </row>
    <row r="32" ht="15.75" customHeight="1" s="60">
      <c r="A32" s="41" t="n"/>
      <c r="B32" s="41" t="n"/>
    </row>
    <row r="33" ht="15.75" customHeight="1" s="60">
      <c r="A33" s="41" t="n"/>
      <c r="B33" s="41" t="n"/>
    </row>
    <row r="34" ht="15.75" customHeight="1" s="60">
      <c r="A34" s="41" t="n"/>
      <c r="B34" s="41" t="n"/>
    </row>
    <row r="35" ht="15.75" customHeight="1" s="60">
      <c r="A35" s="41" t="n"/>
      <c r="B35" s="41" t="n"/>
    </row>
    <row r="36" ht="15.75" customHeight="1" s="60">
      <c r="A36" s="41" t="n"/>
      <c r="B36" s="41" t="n"/>
    </row>
    <row r="37" ht="15.75" customHeight="1" s="60">
      <c r="A37" s="41" t="n"/>
      <c r="B37" s="41" t="n"/>
    </row>
    <row r="38" ht="15.75" customHeight="1" s="60">
      <c r="A38" s="41" t="n"/>
      <c r="B38" s="41" t="n"/>
    </row>
    <row r="39" ht="15.75" customHeight="1" s="60">
      <c r="A39" s="41" t="n"/>
      <c r="B39" s="41" t="n"/>
    </row>
    <row r="40" ht="15.75" customHeight="1" s="60">
      <c r="A40" s="41" t="n"/>
      <c r="B40" s="41" t="n"/>
    </row>
    <row r="41" ht="15.75" customHeight="1" s="60">
      <c r="A41" s="41" t="n"/>
      <c r="B41" s="41" t="n"/>
    </row>
    <row r="42" ht="15.75" customHeight="1" s="60">
      <c r="A42" s="41" t="n"/>
      <c r="B42" s="41" t="n"/>
    </row>
    <row r="43" ht="15.75" customHeight="1" s="60">
      <c r="A43" s="41" t="n"/>
      <c r="B43" s="41" t="n"/>
    </row>
    <row r="44" ht="15.75" customHeight="1" s="60">
      <c r="A44" s="41" t="n"/>
      <c r="B44" s="41" t="n"/>
    </row>
    <row r="45" ht="15.75" customHeight="1" s="60">
      <c r="A45" s="41" t="n"/>
      <c r="B45" s="41" t="n"/>
    </row>
    <row r="46" ht="15.75" customHeight="1" s="60">
      <c r="A46" s="41" t="n"/>
      <c r="B46" s="41" t="n"/>
    </row>
    <row r="47" ht="15.75" customHeight="1" s="60">
      <c r="A47" s="41" t="n"/>
      <c r="B47" s="41" t="n"/>
    </row>
    <row r="48" ht="15.75" customHeight="1" s="60">
      <c r="A48" s="41" t="n"/>
      <c r="B48" s="41" t="n"/>
    </row>
    <row r="49" ht="15.75" customHeight="1" s="60">
      <c r="A49" s="41" t="n"/>
      <c r="B49" s="41" t="n"/>
    </row>
    <row r="50" ht="15.75" customHeight="1" s="60">
      <c r="A50" s="41" t="n"/>
      <c r="B50" s="41" t="n"/>
    </row>
    <row r="51" ht="15.75" customHeight="1" s="60">
      <c r="A51" s="41" t="n"/>
      <c r="B51" s="41" t="n"/>
    </row>
    <row r="52" ht="15.75" customHeight="1" s="60">
      <c r="A52" s="41" t="n"/>
      <c r="B52" s="41" t="n"/>
    </row>
    <row r="53" ht="15.75" customHeight="1" s="60">
      <c r="A53" s="41" t="n"/>
      <c r="B53" s="41" t="n"/>
    </row>
    <row r="54" ht="15.75" customHeight="1" s="60">
      <c r="A54" s="41" t="n"/>
      <c r="B54" s="41" t="n"/>
    </row>
    <row r="55" ht="15.75" customHeight="1" s="60">
      <c r="A55" s="41" t="n"/>
      <c r="B55" s="41" t="n"/>
    </row>
    <row r="56" ht="15.75" customHeight="1" s="60">
      <c r="A56" s="41" t="n"/>
      <c r="B56" s="41" t="n"/>
    </row>
    <row r="57" ht="15.75" customHeight="1" s="60">
      <c r="A57" s="41" t="n"/>
      <c r="B57" s="41" t="n"/>
    </row>
    <row r="58" ht="15.75" customHeight="1" s="60">
      <c r="A58" s="41" t="n"/>
      <c r="B58" s="41" t="n"/>
    </row>
    <row r="59" ht="15.75" customHeight="1" s="60">
      <c r="A59" s="41" t="n"/>
      <c r="B59" s="41" t="n"/>
    </row>
    <row r="60" ht="15.75" customHeight="1" s="60">
      <c r="A60" s="41" t="n"/>
      <c r="B60" s="41" t="n"/>
    </row>
    <row r="61" ht="15.75" customHeight="1" s="60">
      <c r="A61" s="41" t="n"/>
      <c r="B61" s="41" t="n"/>
    </row>
    <row r="62" ht="15.75" customHeight="1" s="60">
      <c r="A62" s="41" t="n"/>
      <c r="B62" s="41" t="n"/>
    </row>
    <row r="63" ht="15.75" customHeight="1" s="60">
      <c r="A63" s="41" t="n"/>
      <c r="B63" s="41" t="n"/>
    </row>
    <row r="64" ht="15.75" customHeight="1" s="60">
      <c r="A64" s="41" t="n"/>
      <c r="B64" s="41" t="n"/>
    </row>
    <row r="65" ht="15.75" customHeight="1" s="60">
      <c r="A65" s="41" t="n"/>
      <c r="B65" s="41" t="n"/>
    </row>
    <row r="66" ht="15.75" customHeight="1" s="60">
      <c r="A66" s="41" t="n"/>
      <c r="B66" s="41" t="n"/>
    </row>
    <row r="67" ht="15.75" customHeight="1" s="60">
      <c r="A67" s="41" t="n"/>
      <c r="B67" s="41" t="n"/>
    </row>
    <row r="68" ht="15.75" customHeight="1" s="60">
      <c r="A68" s="41" t="n"/>
      <c r="B68" s="41" t="n"/>
    </row>
    <row r="69" ht="15.75" customHeight="1" s="60">
      <c r="A69" s="41" t="n"/>
      <c r="B69" s="41" t="n"/>
    </row>
    <row r="70" ht="15.75" customHeight="1" s="60">
      <c r="A70" s="41" t="n"/>
      <c r="B70" s="41" t="n"/>
    </row>
    <row r="71" ht="15.75" customHeight="1" s="60">
      <c r="A71" s="41" t="n"/>
      <c r="B71" s="41" t="n"/>
    </row>
    <row r="72" ht="15.75" customHeight="1" s="60">
      <c r="A72" s="41" t="n"/>
      <c r="B72" s="41" t="n"/>
    </row>
    <row r="73" ht="15.75" customHeight="1" s="60">
      <c r="A73" s="41" t="n"/>
      <c r="B73" s="41" t="n"/>
    </row>
    <row r="74" ht="15.75" customHeight="1" s="60">
      <c r="A74" s="41" t="n"/>
      <c r="B74" s="41" t="n"/>
    </row>
    <row r="75" ht="15.75" customHeight="1" s="60">
      <c r="A75" s="41" t="n"/>
      <c r="B75" s="41" t="n"/>
    </row>
    <row r="76" ht="15.75" customHeight="1" s="60">
      <c r="A76" s="41" t="n"/>
      <c r="B76" s="41" t="n"/>
    </row>
    <row r="77" ht="15.75" customHeight="1" s="60">
      <c r="A77" s="41" t="n"/>
      <c r="B77" s="41" t="n"/>
    </row>
    <row r="78" ht="15.75" customHeight="1" s="60">
      <c r="A78" s="41" t="n"/>
      <c r="B78" s="41" t="n"/>
    </row>
    <row r="79" ht="15.75" customHeight="1" s="60">
      <c r="A79" s="41" t="n"/>
      <c r="B79" s="41" t="n"/>
    </row>
    <row r="80" ht="15.75" customHeight="1" s="60">
      <c r="A80" s="41" t="n"/>
      <c r="B80" s="41" t="n"/>
    </row>
    <row r="81" ht="15.75" customHeight="1" s="60">
      <c r="A81" s="41" t="n"/>
      <c r="B81" s="41" t="n"/>
    </row>
    <row r="82" ht="15.75" customHeight="1" s="60">
      <c r="A82" s="41" t="n"/>
      <c r="B82" s="41" t="n"/>
    </row>
    <row r="83" ht="15.75" customHeight="1" s="60">
      <c r="A83" s="41" t="n"/>
      <c r="B83" s="41" t="n"/>
    </row>
    <row r="84" ht="15.75" customHeight="1" s="60">
      <c r="A84" s="41" t="n"/>
      <c r="B84" s="41" t="n"/>
    </row>
    <row r="85" ht="15.75" customHeight="1" s="60">
      <c r="A85" s="41" t="n"/>
      <c r="B85" s="41" t="n"/>
    </row>
    <row r="86" ht="15.75" customHeight="1" s="60">
      <c r="A86" s="41" t="n"/>
      <c r="B86" s="41" t="n"/>
    </row>
    <row r="87" ht="15.75" customHeight="1" s="60">
      <c r="A87" s="41" t="n"/>
      <c r="B87" s="41" t="n"/>
    </row>
    <row r="88" ht="15.75" customHeight="1" s="60">
      <c r="A88" s="41" t="n"/>
      <c r="B88" s="41" t="n"/>
    </row>
    <row r="89" ht="15.75" customHeight="1" s="60">
      <c r="A89" s="41" t="n"/>
      <c r="B89" s="41" t="n"/>
    </row>
    <row r="90" ht="15.75" customHeight="1" s="60">
      <c r="A90" s="41" t="n"/>
      <c r="B90" s="41" t="n"/>
    </row>
    <row r="91" ht="15.75" customHeight="1" s="60">
      <c r="A91" s="41" t="n"/>
      <c r="B91" s="41" t="n"/>
    </row>
    <row r="92" ht="15.75" customHeight="1" s="60">
      <c r="A92" s="41" t="n"/>
      <c r="B92" s="41" t="n"/>
    </row>
    <row r="93" ht="15.75" customHeight="1" s="60">
      <c r="A93" s="41" t="n"/>
      <c r="B93" s="41" t="n"/>
    </row>
    <row r="94" ht="15.75" customHeight="1" s="60">
      <c r="A94" s="41" t="n"/>
      <c r="B94" s="41" t="n"/>
    </row>
    <row r="95" ht="15.75" customHeight="1" s="60">
      <c r="A95" s="41" t="n"/>
      <c r="B95" s="41" t="n"/>
    </row>
    <row r="96" ht="15.75" customHeight="1" s="60">
      <c r="A96" s="41" t="n"/>
      <c r="B96" s="41" t="n"/>
    </row>
    <row r="97" ht="15.75" customHeight="1" s="60">
      <c r="A97" s="41" t="n"/>
      <c r="B97" s="41" t="n"/>
    </row>
    <row r="98" ht="15.75" customHeight="1" s="60">
      <c r="A98" s="41" t="n"/>
      <c r="B98" s="41" t="n"/>
    </row>
    <row r="99" ht="15.75" customHeight="1" s="60">
      <c r="A99" s="41" t="n"/>
      <c r="B99" s="41" t="n"/>
    </row>
    <row r="100" ht="15.75" customHeight="1" s="60">
      <c r="A100" s="41" t="n"/>
      <c r="B100" s="41" t="n"/>
    </row>
    <row r="101" ht="15.75" customHeight="1" s="60">
      <c r="A101" s="41" t="n"/>
      <c r="B101" s="41" t="n"/>
    </row>
    <row r="102" ht="15.75" customHeight="1" s="60">
      <c r="A102" s="41" t="n"/>
      <c r="B102" s="41" t="n"/>
    </row>
    <row r="103" ht="15.75" customHeight="1" s="60">
      <c r="A103" s="41" t="n"/>
      <c r="B103" s="41" t="n"/>
    </row>
    <row r="104" ht="15.75" customHeight="1" s="60">
      <c r="A104" s="41" t="n"/>
      <c r="B104" s="41" t="n"/>
    </row>
    <row r="105" ht="15.75" customHeight="1" s="60">
      <c r="A105" s="41" t="n"/>
      <c r="B105" s="41" t="n"/>
    </row>
    <row r="106" ht="15.75" customHeight="1" s="60">
      <c r="A106" s="41" t="n"/>
      <c r="B106" s="41" t="n"/>
    </row>
    <row r="107" ht="15.75" customHeight="1" s="60">
      <c r="A107" s="41" t="n"/>
      <c r="B107" s="41" t="n"/>
    </row>
    <row r="108" ht="15.75" customHeight="1" s="60">
      <c r="A108" s="41" t="n"/>
      <c r="B108" s="41" t="n"/>
    </row>
    <row r="109" ht="15.75" customHeight="1" s="60">
      <c r="A109" s="41" t="n"/>
      <c r="B109" s="41" t="n"/>
    </row>
    <row r="110" ht="15.75" customHeight="1" s="60">
      <c r="A110" s="41" t="n"/>
      <c r="B110" s="41" t="n"/>
    </row>
    <row r="111" ht="15.75" customHeight="1" s="60">
      <c r="A111" s="41" t="n"/>
      <c r="B111" s="41" t="n"/>
    </row>
    <row r="112" ht="15.75" customHeight="1" s="60">
      <c r="A112" s="41" t="n"/>
      <c r="B112" s="41" t="n"/>
    </row>
    <row r="113" ht="15.75" customHeight="1" s="60">
      <c r="A113" s="41" t="n"/>
      <c r="B113" s="41" t="n"/>
    </row>
    <row r="114" ht="15.75" customHeight="1" s="60">
      <c r="A114" s="41" t="n"/>
      <c r="B114" s="41" t="n"/>
    </row>
    <row r="115" ht="15.75" customHeight="1" s="60">
      <c r="A115" s="41" t="n"/>
      <c r="B115" s="41" t="n"/>
    </row>
    <row r="116" ht="15.75" customHeight="1" s="60">
      <c r="A116" s="41" t="n"/>
      <c r="B116" s="41" t="n"/>
    </row>
    <row r="117" ht="15.75" customHeight="1" s="60">
      <c r="A117" s="41" t="n"/>
      <c r="B117" s="41" t="n"/>
    </row>
    <row r="118" ht="15.75" customHeight="1" s="60">
      <c r="A118" s="41" t="n"/>
      <c r="B118" s="41" t="n"/>
    </row>
    <row r="119" ht="15.75" customHeight="1" s="60">
      <c r="A119" s="41" t="n"/>
      <c r="B119" s="41" t="n"/>
    </row>
    <row r="120" ht="15.75" customHeight="1" s="60">
      <c r="A120" s="41" t="n"/>
      <c r="B120" s="41" t="n"/>
    </row>
    <row r="121" ht="15.75" customHeight="1" s="60">
      <c r="A121" s="41" t="n"/>
      <c r="B121" s="41" t="n"/>
    </row>
    <row r="122" ht="15.75" customHeight="1" s="60">
      <c r="A122" s="41" t="n"/>
      <c r="B122" s="41" t="n"/>
    </row>
    <row r="123" ht="15.75" customHeight="1" s="60">
      <c r="A123" s="41" t="n"/>
      <c r="B123" s="41" t="n"/>
    </row>
    <row r="124" ht="15.75" customHeight="1" s="60">
      <c r="A124" s="41" t="n"/>
      <c r="B124" s="41" t="n"/>
    </row>
    <row r="125" ht="15.75" customHeight="1" s="60">
      <c r="A125" s="41" t="n"/>
      <c r="B125" s="41" t="n"/>
    </row>
    <row r="126" ht="15.75" customHeight="1" s="60">
      <c r="A126" s="41" t="n"/>
      <c r="B126" s="41" t="n"/>
    </row>
    <row r="127" ht="15.75" customHeight="1" s="60">
      <c r="A127" s="41" t="n"/>
      <c r="B127" s="41" t="n"/>
    </row>
    <row r="128" ht="15.75" customHeight="1" s="60">
      <c r="A128" s="41" t="n"/>
      <c r="B128" s="41" t="n"/>
    </row>
    <row r="129" ht="15.75" customHeight="1" s="60">
      <c r="A129" s="41" t="n"/>
      <c r="B129" s="41" t="n"/>
    </row>
    <row r="130" ht="15.75" customHeight="1" s="60">
      <c r="A130" s="41" t="n"/>
      <c r="B130" s="41" t="n"/>
    </row>
    <row r="131" ht="15.75" customHeight="1" s="60">
      <c r="A131" s="41" t="n"/>
      <c r="B131" s="41" t="n"/>
    </row>
    <row r="132" ht="15.75" customHeight="1" s="60">
      <c r="A132" s="41" t="n"/>
      <c r="B132" s="41" t="n"/>
    </row>
    <row r="133" ht="15.75" customHeight="1" s="60">
      <c r="A133" s="41" t="n"/>
      <c r="B133" s="41" t="n"/>
    </row>
    <row r="134" ht="15.75" customHeight="1" s="60">
      <c r="A134" s="41" t="n"/>
      <c r="B134" s="41" t="n"/>
    </row>
    <row r="135" ht="15.75" customHeight="1" s="60">
      <c r="A135" s="41" t="n"/>
      <c r="B135" s="41" t="n"/>
    </row>
    <row r="136" ht="15.75" customHeight="1" s="60">
      <c r="A136" s="41" t="n"/>
      <c r="B136" s="41" t="n"/>
    </row>
    <row r="137" ht="15.75" customHeight="1" s="60">
      <c r="A137" s="41" t="n"/>
      <c r="B137" s="41" t="n"/>
    </row>
    <row r="138" ht="15.75" customHeight="1" s="60">
      <c r="A138" s="41" t="n"/>
      <c r="B138" s="41" t="n"/>
    </row>
    <row r="139" ht="15.75" customHeight="1" s="60">
      <c r="A139" s="41" t="n"/>
      <c r="B139" s="41" t="n"/>
    </row>
    <row r="140" ht="15.75" customHeight="1" s="60">
      <c r="A140" s="41" t="n"/>
      <c r="B140" s="41" t="n"/>
    </row>
    <row r="141" ht="15.75" customHeight="1" s="60">
      <c r="A141" s="41" t="n"/>
      <c r="B141" s="41" t="n"/>
    </row>
    <row r="142" ht="15.75" customHeight="1" s="60">
      <c r="A142" s="41" t="n"/>
      <c r="B142" s="41" t="n"/>
    </row>
    <row r="143" ht="15.75" customHeight="1" s="60">
      <c r="A143" s="41" t="n"/>
      <c r="B143" s="41" t="n"/>
    </row>
    <row r="144" ht="15.75" customHeight="1" s="60">
      <c r="A144" s="41" t="n"/>
      <c r="B144" s="41" t="n"/>
    </row>
    <row r="145" ht="15.75" customHeight="1" s="60">
      <c r="A145" s="41" t="n"/>
      <c r="B145" s="41" t="n"/>
    </row>
    <row r="146" ht="15.75" customHeight="1" s="60">
      <c r="A146" s="41" t="n"/>
      <c r="B146" s="41" t="n"/>
    </row>
    <row r="147" ht="15.75" customHeight="1" s="60">
      <c r="A147" s="41" t="n"/>
      <c r="B147" s="41" t="n"/>
    </row>
    <row r="148" ht="15.75" customHeight="1" s="60">
      <c r="A148" s="41" t="n"/>
      <c r="B148" s="41" t="n"/>
    </row>
    <row r="149" ht="15.75" customHeight="1" s="60">
      <c r="A149" s="41" t="n"/>
      <c r="B149" s="41" t="n"/>
    </row>
    <row r="150" ht="15.75" customHeight="1" s="60">
      <c r="A150" s="41" t="n"/>
      <c r="B150" s="41" t="n"/>
    </row>
    <row r="151" ht="15.75" customHeight="1" s="60">
      <c r="A151" s="41" t="n"/>
      <c r="B151" s="41" t="n"/>
    </row>
    <row r="152" ht="15.75" customHeight="1" s="60">
      <c r="A152" s="41" t="n"/>
      <c r="B152" s="41" t="n"/>
    </row>
    <row r="153" ht="15.75" customHeight="1" s="60">
      <c r="A153" s="41" t="n"/>
      <c r="B153" s="41" t="n"/>
    </row>
    <row r="154" ht="15.75" customHeight="1" s="60">
      <c r="A154" s="41" t="n"/>
      <c r="B154" s="41" t="n"/>
    </row>
    <row r="155" ht="15.75" customHeight="1" s="60">
      <c r="A155" s="41" t="n"/>
      <c r="B155" s="41" t="n"/>
    </row>
    <row r="156" ht="15.75" customHeight="1" s="60">
      <c r="A156" s="41" t="n"/>
      <c r="B156" s="41" t="n"/>
    </row>
    <row r="157" ht="15.75" customHeight="1" s="60">
      <c r="A157" s="41" t="n"/>
      <c r="B157" s="41" t="n"/>
    </row>
    <row r="158" ht="15.75" customHeight="1" s="60">
      <c r="A158" s="41" t="n"/>
      <c r="B158" s="41" t="n"/>
    </row>
    <row r="159" ht="15.75" customHeight="1" s="60">
      <c r="A159" s="41" t="n"/>
      <c r="B159" s="41" t="n"/>
    </row>
    <row r="160" ht="15.75" customHeight="1" s="60">
      <c r="A160" s="41" t="n"/>
      <c r="B160" s="41" t="n"/>
    </row>
    <row r="161" ht="15.75" customHeight="1" s="60">
      <c r="A161" s="41" t="n"/>
      <c r="B161" s="41" t="n"/>
    </row>
    <row r="162" ht="15.75" customHeight="1" s="60">
      <c r="A162" s="41" t="n"/>
      <c r="B162" s="41" t="n"/>
    </row>
    <row r="163" ht="15.75" customHeight="1" s="60">
      <c r="A163" s="41" t="n"/>
      <c r="B163" s="41" t="n"/>
    </row>
    <row r="164" ht="15.75" customHeight="1" s="60">
      <c r="A164" s="41" t="n"/>
      <c r="B164" s="41" t="n"/>
    </row>
    <row r="165" ht="15.75" customHeight="1" s="60">
      <c r="A165" s="41" t="n"/>
      <c r="B165" s="41" t="n"/>
    </row>
    <row r="166" ht="15.75" customHeight="1" s="60">
      <c r="A166" s="41" t="n"/>
      <c r="B166" s="41" t="n"/>
    </row>
    <row r="167" ht="15.75" customHeight="1" s="60">
      <c r="A167" s="41" t="n"/>
      <c r="B167" s="41" t="n"/>
    </row>
    <row r="168" ht="15.75" customHeight="1" s="60">
      <c r="A168" s="41" t="n"/>
      <c r="B168" s="41" t="n"/>
    </row>
    <row r="169" ht="15.75" customHeight="1" s="60">
      <c r="A169" s="41" t="n"/>
      <c r="B169" s="41" t="n"/>
    </row>
    <row r="170" ht="15.75" customHeight="1" s="60">
      <c r="A170" s="41" t="n"/>
      <c r="B170" s="41" t="n"/>
    </row>
    <row r="171" ht="15.75" customHeight="1" s="60">
      <c r="A171" s="41" t="n"/>
      <c r="B171" s="41" t="n"/>
    </row>
    <row r="172" ht="15.75" customHeight="1" s="60">
      <c r="A172" s="41" t="n"/>
      <c r="B172" s="41" t="n"/>
    </row>
    <row r="173" ht="15.75" customHeight="1" s="60">
      <c r="A173" s="41" t="n"/>
      <c r="B173" s="41" t="n"/>
    </row>
    <row r="174" ht="15.75" customHeight="1" s="60">
      <c r="A174" s="41" t="n"/>
      <c r="B174" s="41" t="n"/>
    </row>
    <row r="175" ht="15.75" customHeight="1" s="60">
      <c r="A175" s="41" t="n"/>
      <c r="B175" s="41" t="n"/>
    </row>
    <row r="176" ht="15.75" customHeight="1" s="60">
      <c r="A176" s="41" t="n"/>
      <c r="B176" s="41" t="n"/>
    </row>
    <row r="177" ht="15.75" customHeight="1" s="60">
      <c r="A177" s="41" t="n"/>
      <c r="B177" s="41" t="n"/>
    </row>
    <row r="178" ht="15.75" customHeight="1" s="60">
      <c r="A178" s="41" t="n"/>
      <c r="B178" s="41" t="n"/>
    </row>
    <row r="179" ht="15.75" customHeight="1" s="60">
      <c r="A179" s="41" t="n"/>
      <c r="B179" s="41" t="n"/>
    </row>
    <row r="180" ht="15.75" customHeight="1" s="60">
      <c r="A180" s="41" t="n"/>
      <c r="B180" s="41" t="n"/>
    </row>
    <row r="181" ht="15.75" customHeight="1" s="60">
      <c r="A181" s="41" t="n"/>
      <c r="B181" s="41" t="n"/>
    </row>
    <row r="182" ht="15.75" customHeight="1" s="60">
      <c r="A182" s="41" t="n"/>
      <c r="B182" s="41" t="n"/>
    </row>
    <row r="183" ht="15.75" customHeight="1" s="60">
      <c r="A183" s="41" t="n"/>
      <c r="B183" s="41" t="n"/>
    </row>
    <row r="184" ht="15.75" customHeight="1" s="60">
      <c r="A184" s="41" t="n"/>
      <c r="B184" s="41" t="n"/>
    </row>
    <row r="185" ht="15.75" customHeight="1" s="60">
      <c r="A185" s="41" t="n"/>
      <c r="B185" s="41" t="n"/>
    </row>
    <row r="186" ht="15.75" customHeight="1" s="60">
      <c r="A186" s="41" t="n"/>
      <c r="B186" s="41" t="n"/>
    </row>
    <row r="187" ht="15.75" customHeight="1" s="60">
      <c r="A187" s="41" t="n"/>
      <c r="B187" s="41" t="n"/>
    </row>
    <row r="188" ht="15.75" customHeight="1" s="60">
      <c r="A188" s="41" t="n"/>
      <c r="B188" s="41" t="n"/>
    </row>
    <row r="189" ht="15.75" customHeight="1" s="60">
      <c r="A189" s="41" t="n"/>
      <c r="B189" s="41" t="n"/>
    </row>
    <row r="190" ht="15.75" customHeight="1" s="60">
      <c r="A190" s="41" t="n"/>
      <c r="B190" s="41" t="n"/>
    </row>
    <row r="191" ht="15.75" customHeight="1" s="60">
      <c r="A191" s="41" t="n"/>
      <c r="B191" s="41" t="n"/>
    </row>
    <row r="192" ht="15.75" customHeight="1" s="60">
      <c r="A192" s="41" t="n"/>
      <c r="B192" s="41" t="n"/>
    </row>
    <row r="193" ht="15.75" customHeight="1" s="60">
      <c r="A193" s="41" t="n"/>
      <c r="B193" s="41" t="n"/>
    </row>
    <row r="194" ht="15.75" customHeight="1" s="60">
      <c r="A194" s="41" t="n"/>
      <c r="B194" s="41" t="n"/>
    </row>
    <row r="195" ht="15.75" customHeight="1" s="60">
      <c r="A195" s="41" t="n"/>
      <c r="B195" s="41" t="n"/>
    </row>
    <row r="196" ht="15.75" customHeight="1" s="60">
      <c r="A196" s="41" t="n"/>
      <c r="B196" s="41" t="n"/>
    </row>
    <row r="197" ht="15.75" customHeight="1" s="60">
      <c r="A197" s="41" t="n"/>
      <c r="B197" s="41" t="n"/>
    </row>
    <row r="198" ht="15.75" customHeight="1" s="60">
      <c r="A198" s="41" t="n"/>
      <c r="B198" s="41" t="n"/>
    </row>
    <row r="199" ht="15.75" customHeight="1" s="60">
      <c r="A199" s="41" t="n"/>
      <c r="B199" s="41" t="n"/>
    </row>
    <row r="200" ht="15.75" customHeight="1" s="60">
      <c r="A200" s="41" t="n"/>
      <c r="B200" s="41" t="n"/>
    </row>
    <row r="201" ht="15.75" customHeight="1" s="60">
      <c r="A201" s="41" t="n"/>
      <c r="B201" s="41" t="n"/>
    </row>
    <row r="202" ht="15.75" customHeight="1" s="60">
      <c r="A202" s="41" t="n"/>
      <c r="B202" s="41" t="n"/>
    </row>
    <row r="203" ht="15.75" customHeight="1" s="60">
      <c r="A203" s="41" t="n"/>
      <c r="B203" s="41" t="n"/>
    </row>
    <row r="204" ht="15.75" customHeight="1" s="60">
      <c r="A204" s="41" t="n"/>
      <c r="B204" s="41" t="n"/>
    </row>
    <row r="205" ht="15.75" customHeight="1" s="60">
      <c r="A205" s="41" t="n"/>
      <c r="B205" s="41" t="n"/>
    </row>
    <row r="206" ht="15.75" customHeight="1" s="60">
      <c r="A206" s="41" t="n"/>
      <c r="B206" s="41" t="n"/>
    </row>
    <row r="207" ht="15.75" customHeight="1" s="60">
      <c r="A207" s="41" t="n"/>
      <c r="B207" s="41" t="n"/>
    </row>
    <row r="208" ht="15.75" customHeight="1" s="60">
      <c r="A208" s="41" t="n"/>
      <c r="B208" s="41" t="n"/>
    </row>
    <row r="209" ht="15.75" customHeight="1" s="60">
      <c r="A209" s="41" t="n"/>
      <c r="B209" s="41" t="n"/>
    </row>
    <row r="210" ht="15.75" customHeight="1" s="60">
      <c r="A210" s="41" t="n"/>
      <c r="B210" s="41" t="n"/>
    </row>
    <row r="211" ht="15.75" customHeight="1" s="60">
      <c r="A211" s="41" t="n"/>
      <c r="B211" s="41" t="n"/>
    </row>
    <row r="212" ht="15.75" customHeight="1" s="60">
      <c r="A212" s="41" t="n"/>
      <c r="B212" s="41" t="n"/>
    </row>
    <row r="213" ht="15.75" customHeight="1" s="60">
      <c r="A213" s="41" t="n"/>
      <c r="B213" s="41" t="n"/>
    </row>
    <row r="214" ht="15.75" customHeight="1" s="60">
      <c r="A214" s="41" t="n"/>
      <c r="B214" s="41" t="n"/>
    </row>
    <row r="215" ht="15.75" customHeight="1" s="60">
      <c r="A215" s="41" t="n"/>
      <c r="B215" s="41" t="n"/>
    </row>
    <row r="216" ht="15.75" customHeight="1" s="60">
      <c r="A216" s="41" t="n"/>
      <c r="B216" s="41" t="n"/>
    </row>
    <row r="217" ht="15.75" customHeight="1" s="60">
      <c r="A217" s="41" t="n"/>
      <c r="B217" s="41" t="n"/>
    </row>
    <row r="218" ht="15.75" customHeight="1" s="60">
      <c r="A218" s="41" t="n"/>
      <c r="B218" s="41" t="n"/>
    </row>
    <row r="219" ht="15.75" customHeight="1" s="60">
      <c r="A219" s="41" t="n"/>
      <c r="B219" s="41" t="n"/>
    </row>
    <row r="220" ht="15.75" customHeight="1" s="60">
      <c r="A220" s="41" t="n"/>
      <c r="B220" s="41" t="n"/>
    </row>
    <row r="221" ht="15.75" customHeight="1" s="60">
      <c r="A221" s="41" t="n"/>
      <c r="B221" s="41" t="n"/>
    </row>
    <row r="222" ht="15.75" customHeight="1" s="60">
      <c r="A222" s="41" t="n"/>
      <c r="B222" s="41" t="n"/>
    </row>
    <row r="223" ht="15.75" customHeight="1" s="60">
      <c r="A223" s="41" t="n"/>
      <c r="B223" s="41" t="n"/>
    </row>
    <row r="224" ht="15.75" customHeight="1" s="60">
      <c r="A224" s="41" t="n"/>
      <c r="B224" s="41" t="n"/>
    </row>
    <row r="225" ht="15.75" customHeight="1" s="60">
      <c r="A225" s="41" t="n"/>
      <c r="B225" s="41" t="n"/>
    </row>
    <row r="226" ht="15.75" customHeight="1" s="60">
      <c r="A226" s="41" t="n"/>
      <c r="B226" s="41" t="n"/>
    </row>
    <row r="227" ht="15.75" customHeight="1" s="60">
      <c r="A227" s="41" t="n"/>
      <c r="B227" s="41" t="n"/>
    </row>
    <row r="228" ht="15.75" customHeight="1" s="60">
      <c r="A228" s="41" t="n"/>
      <c r="B228" s="41" t="n"/>
    </row>
    <row r="229" ht="15.75" customHeight="1" s="60">
      <c r="A229" s="41" t="n"/>
      <c r="B229" s="41" t="n"/>
    </row>
    <row r="230" ht="15.75" customHeight="1" s="60">
      <c r="A230" s="41" t="n"/>
      <c r="B230" s="41" t="n"/>
    </row>
    <row r="231" ht="15.75" customHeight="1" s="60">
      <c r="A231" s="41" t="n"/>
      <c r="B231" s="41" t="n"/>
    </row>
    <row r="232" ht="15.75" customHeight="1" s="60">
      <c r="A232" s="41" t="n"/>
      <c r="B232" s="41" t="n"/>
    </row>
    <row r="233" ht="15.75" customHeight="1" s="60">
      <c r="A233" s="41" t="n"/>
      <c r="B233" s="41" t="n"/>
    </row>
    <row r="234" ht="15.75" customHeight="1" s="60">
      <c r="A234" s="41" t="n"/>
      <c r="B234" s="41" t="n"/>
    </row>
    <row r="235" ht="15.75" customHeight="1" s="60">
      <c r="A235" s="41" t="n"/>
      <c r="B235" s="41" t="n"/>
    </row>
    <row r="236" ht="15.75" customHeight="1" s="60">
      <c r="A236" s="41" t="n"/>
      <c r="B236" s="41" t="n"/>
    </row>
    <row r="237" ht="15.75" customHeight="1" s="60">
      <c r="A237" s="41" t="n"/>
      <c r="B237" s="41" t="n"/>
    </row>
    <row r="238" ht="15.75" customHeight="1" s="60">
      <c r="A238" s="41" t="n"/>
      <c r="B238" s="41" t="n"/>
    </row>
    <row r="239" ht="15.75" customHeight="1" s="60">
      <c r="A239" s="41" t="n"/>
      <c r="B239" s="41" t="n"/>
    </row>
    <row r="240" ht="15.75" customHeight="1" s="60">
      <c r="A240" s="41" t="n"/>
      <c r="B240" s="41" t="n"/>
    </row>
    <row r="241" ht="15.75" customHeight="1" s="60">
      <c r="A241" s="41" t="n"/>
      <c r="B241" s="41" t="n"/>
    </row>
    <row r="242" ht="15.75" customHeight="1" s="60">
      <c r="A242" s="41" t="n"/>
      <c r="B242" s="41" t="n"/>
    </row>
    <row r="243" ht="15.75" customHeight="1" s="60">
      <c r="A243" s="41" t="n"/>
      <c r="B243" s="41" t="n"/>
    </row>
    <row r="244" ht="15.75" customHeight="1" s="60">
      <c r="A244" s="41" t="n"/>
      <c r="B244" s="41" t="n"/>
    </row>
    <row r="245" ht="15.75" customHeight="1" s="60">
      <c r="A245" s="41" t="n"/>
      <c r="B245" s="41" t="n"/>
    </row>
    <row r="246" ht="15.75" customHeight="1" s="60">
      <c r="A246" s="41" t="n"/>
      <c r="B246" s="41" t="n"/>
    </row>
    <row r="247" ht="15.75" customHeight="1" s="60">
      <c r="A247" s="41" t="n"/>
      <c r="B247" s="41" t="n"/>
    </row>
    <row r="248" ht="15.75" customHeight="1" s="60">
      <c r="A248" s="41" t="n"/>
      <c r="B248" s="41" t="n"/>
    </row>
    <row r="249" ht="15.75" customHeight="1" s="60">
      <c r="A249" s="41" t="n"/>
      <c r="B249" s="41" t="n"/>
    </row>
    <row r="250" ht="15.75" customHeight="1" s="60">
      <c r="A250" s="41" t="n"/>
      <c r="B250" s="41" t="n"/>
    </row>
    <row r="251" ht="15.75" customHeight="1" s="60">
      <c r="A251" s="41" t="n"/>
      <c r="B251" s="41" t="n"/>
    </row>
    <row r="252" ht="15.75" customHeight="1" s="60">
      <c r="A252" s="41" t="n"/>
      <c r="B252" s="41" t="n"/>
    </row>
    <row r="253" ht="15.75" customHeight="1" s="60">
      <c r="A253" s="41" t="n"/>
      <c r="B253" s="41" t="n"/>
    </row>
    <row r="254" ht="15.75" customHeight="1" s="60">
      <c r="A254" s="41" t="n"/>
      <c r="B254" s="41" t="n"/>
    </row>
    <row r="255" ht="15.75" customHeight="1" s="60">
      <c r="A255" s="41" t="n"/>
      <c r="B255" s="41" t="n"/>
    </row>
    <row r="256" ht="15.75" customHeight="1" s="60">
      <c r="A256" s="41" t="n"/>
      <c r="B256" s="41" t="n"/>
    </row>
    <row r="257" ht="15.75" customHeight="1" s="60">
      <c r="A257" s="41" t="n"/>
      <c r="B257" s="41" t="n"/>
    </row>
    <row r="258" ht="15.75" customHeight="1" s="60">
      <c r="A258" s="41" t="n"/>
      <c r="B258" s="41" t="n"/>
    </row>
    <row r="259" ht="15.75" customHeight="1" s="60">
      <c r="A259" s="41" t="n"/>
      <c r="B259" s="41" t="n"/>
    </row>
    <row r="260" ht="15.75" customHeight="1" s="60">
      <c r="A260" s="41" t="n"/>
      <c r="B260" s="41" t="n"/>
    </row>
    <row r="261" ht="15.75" customHeight="1" s="60">
      <c r="A261" s="41" t="n"/>
      <c r="B261" s="41" t="n"/>
    </row>
    <row r="262" ht="15.75" customHeight="1" s="60">
      <c r="A262" s="41" t="n"/>
      <c r="B262" s="41" t="n"/>
    </row>
    <row r="263" ht="15.75" customHeight="1" s="60">
      <c r="A263" s="41" t="n"/>
      <c r="B263" s="41" t="n"/>
    </row>
    <row r="264" ht="15.75" customHeight="1" s="60">
      <c r="A264" s="41" t="n"/>
      <c r="B264" s="41" t="n"/>
    </row>
    <row r="265" ht="15.75" customHeight="1" s="60">
      <c r="A265" s="41" t="n"/>
      <c r="B265" s="41" t="n"/>
    </row>
    <row r="266" ht="15.75" customHeight="1" s="60">
      <c r="A266" s="41" t="n"/>
      <c r="B266" s="41" t="n"/>
    </row>
    <row r="267" ht="15.75" customHeight="1" s="60">
      <c r="A267" s="41" t="n"/>
      <c r="B267" s="41" t="n"/>
    </row>
    <row r="268" ht="15.75" customHeight="1" s="60">
      <c r="A268" s="41" t="n"/>
      <c r="B268" s="41" t="n"/>
    </row>
    <row r="269" ht="15.75" customHeight="1" s="60">
      <c r="A269" s="41" t="n"/>
      <c r="B269" s="41" t="n"/>
    </row>
    <row r="270" ht="15.75" customHeight="1" s="60">
      <c r="A270" s="41" t="n"/>
      <c r="B270" s="41" t="n"/>
    </row>
    <row r="271" ht="15.75" customHeight="1" s="60">
      <c r="A271" s="41" t="n"/>
      <c r="B271" s="41" t="n"/>
    </row>
    <row r="272" ht="15.75" customHeight="1" s="60">
      <c r="A272" s="41" t="n"/>
      <c r="B272" s="41" t="n"/>
    </row>
    <row r="273" ht="15.75" customHeight="1" s="60">
      <c r="A273" s="41" t="n"/>
      <c r="B273" s="41" t="n"/>
    </row>
    <row r="274" ht="15.75" customHeight="1" s="60">
      <c r="A274" s="41" t="n"/>
      <c r="B274" s="41" t="n"/>
    </row>
    <row r="275" ht="15.75" customHeight="1" s="60">
      <c r="A275" s="41" t="n"/>
      <c r="B275" s="41" t="n"/>
    </row>
    <row r="276" ht="15.75" customHeight="1" s="60">
      <c r="A276" s="41" t="n"/>
      <c r="B276" s="41" t="n"/>
    </row>
    <row r="277" ht="15.75" customHeight="1" s="60">
      <c r="A277" s="41" t="n"/>
      <c r="B277" s="41" t="n"/>
    </row>
    <row r="278" ht="15.75" customHeight="1" s="60">
      <c r="A278" s="41" t="n"/>
      <c r="B278" s="41" t="n"/>
    </row>
    <row r="279" ht="15.75" customHeight="1" s="60">
      <c r="A279" s="41" t="n"/>
      <c r="B279" s="41" t="n"/>
    </row>
    <row r="280" ht="15.75" customHeight="1" s="60">
      <c r="A280" s="41" t="n"/>
      <c r="B280" s="41" t="n"/>
    </row>
    <row r="281" ht="15.75" customHeight="1" s="60">
      <c r="A281" s="41" t="n"/>
      <c r="B281" s="41" t="n"/>
    </row>
    <row r="282" ht="15.75" customHeight="1" s="60">
      <c r="A282" s="41" t="n"/>
      <c r="B282" s="41" t="n"/>
    </row>
    <row r="283" ht="15.75" customHeight="1" s="60">
      <c r="A283" s="41" t="n"/>
      <c r="B283" s="41" t="n"/>
    </row>
    <row r="284" ht="15.75" customHeight="1" s="60">
      <c r="A284" s="41" t="n"/>
      <c r="B284" s="41" t="n"/>
    </row>
    <row r="285" ht="15.75" customHeight="1" s="60">
      <c r="A285" s="41" t="n"/>
      <c r="B285" s="41" t="n"/>
    </row>
    <row r="286" ht="15.75" customHeight="1" s="60">
      <c r="A286" s="41" t="n"/>
      <c r="B286" s="41" t="n"/>
    </row>
    <row r="287" ht="15.75" customHeight="1" s="60">
      <c r="A287" s="41" t="n"/>
      <c r="B287" s="41" t="n"/>
    </row>
    <row r="288" ht="15.75" customHeight="1" s="60">
      <c r="A288" s="41" t="n"/>
      <c r="B288" s="41" t="n"/>
    </row>
    <row r="289" ht="15.75" customHeight="1" s="60">
      <c r="A289" s="41" t="n"/>
      <c r="B289" s="41" t="n"/>
    </row>
    <row r="290" ht="15.75" customHeight="1" s="60">
      <c r="A290" s="41" t="n"/>
      <c r="B290" s="41" t="n"/>
    </row>
    <row r="291" ht="15.75" customHeight="1" s="60">
      <c r="A291" s="41" t="n"/>
      <c r="B291" s="41" t="n"/>
    </row>
    <row r="292" ht="15.75" customHeight="1" s="60">
      <c r="A292" s="41" t="n"/>
      <c r="B292" s="41" t="n"/>
    </row>
    <row r="293" ht="15.75" customHeight="1" s="60">
      <c r="A293" s="41" t="n"/>
      <c r="B293" s="41" t="n"/>
    </row>
    <row r="294" ht="15.75" customHeight="1" s="60">
      <c r="A294" s="41" t="n"/>
      <c r="B294" s="41" t="n"/>
    </row>
    <row r="295" ht="15.75" customHeight="1" s="60">
      <c r="A295" s="41" t="n"/>
      <c r="B295" s="41" t="n"/>
    </row>
    <row r="296" ht="15.75" customHeight="1" s="60">
      <c r="A296" s="41" t="n"/>
      <c r="B296" s="41" t="n"/>
    </row>
    <row r="297" ht="15.75" customHeight="1" s="60">
      <c r="A297" s="41" t="n"/>
      <c r="B297" s="41" t="n"/>
    </row>
    <row r="298" ht="15.75" customHeight="1" s="60">
      <c r="A298" s="41" t="n"/>
      <c r="B298" s="41" t="n"/>
    </row>
    <row r="299" ht="15.75" customHeight="1" s="60">
      <c r="A299" s="41" t="n"/>
      <c r="B299" s="41" t="n"/>
    </row>
    <row r="300" ht="15.75" customHeight="1" s="60">
      <c r="A300" s="41" t="n"/>
      <c r="B300" s="41" t="n"/>
    </row>
    <row r="301" ht="15.75" customHeight="1" s="60">
      <c r="A301" s="41" t="n"/>
      <c r="B301" s="41" t="n"/>
    </row>
    <row r="302" ht="15.75" customHeight="1" s="60">
      <c r="A302" s="41" t="n"/>
      <c r="B302" s="41" t="n"/>
    </row>
    <row r="303" ht="15.75" customHeight="1" s="60">
      <c r="A303" s="41" t="n"/>
      <c r="B303" s="41" t="n"/>
    </row>
    <row r="304" ht="15.75" customHeight="1" s="60">
      <c r="A304" s="41" t="n"/>
      <c r="B304" s="41" t="n"/>
    </row>
    <row r="305" ht="15.75" customHeight="1" s="60">
      <c r="A305" s="41" t="n"/>
      <c r="B305" s="41" t="n"/>
    </row>
    <row r="306" ht="15.75" customHeight="1" s="60">
      <c r="A306" s="41" t="n"/>
      <c r="B306" s="41" t="n"/>
    </row>
    <row r="307" ht="15.75" customHeight="1" s="60">
      <c r="A307" s="41" t="n"/>
      <c r="B307" s="41" t="n"/>
    </row>
    <row r="308" ht="15.75" customHeight="1" s="60">
      <c r="A308" s="41" t="n"/>
      <c r="B308" s="41" t="n"/>
    </row>
    <row r="309" ht="15.75" customHeight="1" s="60">
      <c r="A309" s="41" t="n"/>
      <c r="B309" s="41" t="n"/>
    </row>
    <row r="310" ht="15.75" customHeight="1" s="60">
      <c r="A310" s="41" t="n"/>
      <c r="B310" s="41" t="n"/>
    </row>
    <row r="311" ht="15.75" customHeight="1" s="60">
      <c r="A311" s="41" t="n"/>
      <c r="B311" s="41" t="n"/>
    </row>
    <row r="312" ht="15.75" customHeight="1" s="60">
      <c r="A312" s="41" t="n"/>
      <c r="B312" s="41" t="n"/>
    </row>
    <row r="313" ht="15.75" customHeight="1" s="60">
      <c r="A313" s="41" t="n"/>
      <c r="B313" s="41" t="n"/>
    </row>
    <row r="314" ht="15.75" customHeight="1" s="60">
      <c r="A314" s="41" t="n"/>
      <c r="B314" s="41" t="n"/>
    </row>
    <row r="315" ht="15.75" customHeight="1" s="60">
      <c r="A315" s="41" t="n"/>
      <c r="B315" s="41" t="n"/>
    </row>
    <row r="316" ht="15.75" customHeight="1" s="60">
      <c r="A316" s="41" t="n"/>
      <c r="B316" s="41" t="n"/>
    </row>
    <row r="317" ht="15.75" customHeight="1" s="60">
      <c r="A317" s="41" t="n"/>
      <c r="B317" s="41" t="n"/>
    </row>
    <row r="318" ht="15.75" customHeight="1" s="60">
      <c r="A318" s="41" t="n"/>
      <c r="B318" s="41" t="n"/>
    </row>
    <row r="319" ht="15.75" customHeight="1" s="60">
      <c r="A319" s="41" t="n"/>
      <c r="B319" s="41" t="n"/>
    </row>
    <row r="320" ht="15.75" customHeight="1" s="60">
      <c r="A320" s="41" t="n"/>
      <c r="B320" s="41" t="n"/>
    </row>
    <row r="321" ht="15.75" customHeight="1" s="60">
      <c r="A321" s="41" t="n"/>
      <c r="B321" s="41" t="n"/>
    </row>
    <row r="322" ht="15.75" customHeight="1" s="60">
      <c r="A322" s="41" t="n"/>
      <c r="B322" s="41" t="n"/>
    </row>
    <row r="323" ht="15.75" customHeight="1" s="60">
      <c r="A323" s="41" t="n"/>
      <c r="B323" s="41" t="n"/>
    </row>
    <row r="324" ht="15.75" customHeight="1" s="60">
      <c r="A324" s="41" t="n"/>
      <c r="B324" s="41" t="n"/>
    </row>
    <row r="325" ht="15.75" customHeight="1" s="60">
      <c r="A325" s="41" t="n"/>
      <c r="B325" s="41" t="n"/>
    </row>
    <row r="326" ht="15.75" customHeight="1" s="60">
      <c r="A326" s="41" t="n"/>
      <c r="B326" s="41" t="n"/>
    </row>
    <row r="327" ht="15.75" customHeight="1" s="60">
      <c r="A327" s="41" t="n"/>
      <c r="B327" s="41" t="n"/>
    </row>
    <row r="328" ht="15.75" customHeight="1" s="60">
      <c r="A328" s="41" t="n"/>
      <c r="B328" s="41" t="n"/>
    </row>
    <row r="329" ht="15.75" customHeight="1" s="60">
      <c r="A329" s="41" t="n"/>
      <c r="B329" s="41" t="n"/>
    </row>
    <row r="330" ht="15.75" customHeight="1" s="60">
      <c r="A330" s="41" t="n"/>
      <c r="B330" s="41" t="n"/>
    </row>
    <row r="331" ht="15.75" customHeight="1" s="60">
      <c r="A331" s="41" t="n"/>
      <c r="B331" s="41" t="n"/>
    </row>
    <row r="332" ht="15.75" customHeight="1" s="60">
      <c r="A332" s="41" t="n"/>
      <c r="B332" s="41" t="n"/>
    </row>
    <row r="333" ht="15.75" customHeight="1" s="60">
      <c r="A333" s="41" t="n"/>
      <c r="B333" s="41" t="n"/>
    </row>
    <row r="334" ht="15.75" customHeight="1" s="60">
      <c r="A334" s="41" t="n"/>
      <c r="B334" s="41" t="n"/>
    </row>
    <row r="335" ht="15.75" customHeight="1" s="60">
      <c r="A335" s="41" t="n"/>
      <c r="B335" s="41" t="n"/>
    </row>
    <row r="336" ht="15.75" customHeight="1" s="60">
      <c r="A336" s="41" t="n"/>
      <c r="B336" s="41" t="n"/>
    </row>
    <row r="337" ht="15.75" customHeight="1" s="60">
      <c r="A337" s="41" t="n"/>
      <c r="B337" s="41" t="n"/>
    </row>
    <row r="338" ht="15.75" customHeight="1" s="60">
      <c r="A338" s="41" t="n"/>
      <c r="B338" s="41" t="n"/>
    </row>
    <row r="339" ht="15.75" customHeight="1" s="60">
      <c r="A339" s="41" t="n"/>
      <c r="B339" s="41" t="n"/>
    </row>
    <row r="340" ht="15.75" customHeight="1" s="60">
      <c r="A340" s="41" t="n"/>
      <c r="B340" s="41" t="n"/>
    </row>
    <row r="341" ht="15.75" customHeight="1" s="60">
      <c r="A341" s="41" t="n"/>
      <c r="B341" s="41" t="n"/>
    </row>
    <row r="342" ht="15.75" customHeight="1" s="60">
      <c r="A342" s="41" t="n"/>
      <c r="B342" s="41" t="n"/>
    </row>
    <row r="343" ht="15.75" customHeight="1" s="60">
      <c r="A343" s="41" t="n"/>
      <c r="B343" s="41" t="n"/>
    </row>
    <row r="344" ht="15.75" customHeight="1" s="60">
      <c r="A344" s="41" t="n"/>
      <c r="B344" s="41" t="n"/>
    </row>
    <row r="345" ht="15.75" customHeight="1" s="60">
      <c r="A345" s="41" t="n"/>
      <c r="B345" s="41" t="n"/>
    </row>
    <row r="346" ht="15.75" customHeight="1" s="60">
      <c r="A346" s="41" t="n"/>
      <c r="B346" s="41" t="n"/>
    </row>
    <row r="347" ht="15.75" customHeight="1" s="60">
      <c r="A347" s="41" t="n"/>
      <c r="B347" s="41" t="n"/>
    </row>
    <row r="348" ht="15.75" customHeight="1" s="60">
      <c r="A348" s="41" t="n"/>
      <c r="B348" s="41" t="n"/>
    </row>
    <row r="349" ht="15.75" customHeight="1" s="60">
      <c r="A349" s="41" t="n"/>
      <c r="B349" s="41" t="n"/>
    </row>
    <row r="350" ht="15.75" customHeight="1" s="60">
      <c r="A350" s="41" t="n"/>
      <c r="B350" s="41" t="n"/>
    </row>
    <row r="351" ht="15.75" customHeight="1" s="60">
      <c r="A351" s="41" t="n"/>
      <c r="B351" s="41" t="n"/>
    </row>
    <row r="352" ht="15.75" customHeight="1" s="60">
      <c r="A352" s="41" t="n"/>
      <c r="B352" s="41" t="n"/>
    </row>
    <row r="353" ht="15.75" customHeight="1" s="60">
      <c r="A353" s="41" t="n"/>
      <c r="B353" s="41" t="n"/>
    </row>
    <row r="354" ht="15.75" customHeight="1" s="60">
      <c r="A354" s="41" t="n"/>
      <c r="B354" s="41" t="n"/>
    </row>
    <row r="355" ht="15.75" customHeight="1" s="60">
      <c r="A355" s="41" t="n"/>
      <c r="B355" s="41" t="n"/>
    </row>
    <row r="356" ht="15.75" customHeight="1" s="60">
      <c r="A356" s="41" t="n"/>
      <c r="B356" s="41" t="n"/>
    </row>
    <row r="357" ht="15.75" customHeight="1" s="60">
      <c r="A357" s="41" t="n"/>
      <c r="B357" s="41" t="n"/>
    </row>
    <row r="358" ht="15.75" customHeight="1" s="60">
      <c r="A358" s="41" t="n"/>
      <c r="B358" s="41" t="n"/>
    </row>
    <row r="359" ht="15.75" customHeight="1" s="60">
      <c r="A359" s="41" t="n"/>
      <c r="B359" s="41" t="n"/>
    </row>
    <row r="360" ht="15.75" customHeight="1" s="60">
      <c r="A360" s="41" t="n"/>
      <c r="B360" s="41" t="n"/>
    </row>
    <row r="361" ht="15.75" customHeight="1" s="60">
      <c r="A361" s="41" t="n"/>
      <c r="B361" s="41" t="n"/>
    </row>
    <row r="362" ht="15.75" customHeight="1" s="60">
      <c r="A362" s="41" t="n"/>
      <c r="B362" s="41" t="n"/>
    </row>
    <row r="363" ht="15.75" customHeight="1" s="60">
      <c r="A363" s="41" t="n"/>
      <c r="B363" s="41" t="n"/>
    </row>
    <row r="364" ht="15.75" customHeight="1" s="60">
      <c r="A364" s="41" t="n"/>
      <c r="B364" s="41" t="n"/>
    </row>
    <row r="365" ht="15.75" customHeight="1" s="60">
      <c r="A365" s="41" t="n"/>
      <c r="B365" s="41" t="n"/>
    </row>
    <row r="366" ht="15.75" customHeight="1" s="60">
      <c r="A366" s="41" t="n"/>
      <c r="B366" s="41" t="n"/>
    </row>
    <row r="367" ht="15.75" customHeight="1" s="60">
      <c r="A367" s="41" t="n"/>
      <c r="B367" s="41" t="n"/>
    </row>
    <row r="368" ht="15.75" customHeight="1" s="60">
      <c r="A368" s="41" t="n"/>
      <c r="B368" s="41" t="n"/>
    </row>
    <row r="369" ht="15.75" customHeight="1" s="60">
      <c r="A369" s="41" t="n"/>
      <c r="B369" s="41" t="n"/>
    </row>
    <row r="370" ht="15.75" customHeight="1" s="60">
      <c r="A370" s="41" t="n"/>
      <c r="B370" s="41" t="n"/>
    </row>
    <row r="371" ht="15.75" customHeight="1" s="60">
      <c r="A371" s="41" t="n"/>
      <c r="B371" s="41" t="n"/>
    </row>
    <row r="372" ht="15.75" customHeight="1" s="60">
      <c r="A372" s="41" t="n"/>
      <c r="B372" s="41" t="n"/>
    </row>
    <row r="373" ht="15.75" customHeight="1" s="60">
      <c r="A373" s="41" t="n"/>
      <c r="B373" s="41" t="n"/>
    </row>
    <row r="374" ht="15.75" customHeight="1" s="60">
      <c r="A374" s="41" t="n"/>
      <c r="B374" s="41" t="n"/>
    </row>
    <row r="375" ht="15.75" customHeight="1" s="60">
      <c r="A375" s="41" t="n"/>
      <c r="B375" s="41" t="n"/>
    </row>
    <row r="376" ht="15.75" customHeight="1" s="60">
      <c r="A376" s="41" t="n"/>
      <c r="B376" s="41" t="n"/>
    </row>
    <row r="377" ht="15.75" customHeight="1" s="60">
      <c r="A377" s="41" t="n"/>
      <c r="B377" s="41" t="n"/>
    </row>
    <row r="378" ht="15.75" customHeight="1" s="60">
      <c r="A378" s="41" t="n"/>
      <c r="B378" s="41" t="n"/>
    </row>
    <row r="379" ht="15.75" customHeight="1" s="60">
      <c r="A379" s="41" t="n"/>
      <c r="B379" s="41" t="n"/>
    </row>
    <row r="380" ht="15.75" customHeight="1" s="60">
      <c r="A380" s="41" t="n"/>
      <c r="B380" s="41" t="n"/>
    </row>
    <row r="381" ht="15.75" customHeight="1" s="60">
      <c r="A381" s="41" t="n"/>
      <c r="B381" s="41" t="n"/>
    </row>
    <row r="382" ht="15.75" customHeight="1" s="60">
      <c r="A382" s="41" t="n"/>
      <c r="B382" s="41" t="n"/>
    </row>
    <row r="383" ht="15.75" customHeight="1" s="60">
      <c r="A383" s="41" t="n"/>
      <c r="B383" s="41" t="n"/>
    </row>
    <row r="384" ht="15.75" customHeight="1" s="60">
      <c r="A384" s="41" t="n"/>
      <c r="B384" s="41" t="n"/>
    </row>
    <row r="385" ht="15.75" customHeight="1" s="60">
      <c r="A385" s="41" t="n"/>
      <c r="B385" s="41" t="n"/>
    </row>
    <row r="386" ht="15.75" customHeight="1" s="60">
      <c r="A386" s="41" t="n"/>
      <c r="B386" s="41" t="n"/>
    </row>
    <row r="387" ht="15.75" customHeight="1" s="60">
      <c r="A387" s="41" t="n"/>
      <c r="B387" s="41" t="n"/>
    </row>
    <row r="388" ht="15.75" customHeight="1" s="60">
      <c r="A388" s="41" t="n"/>
      <c r="B388" s="41" t="n"/>
    </row>
    <row r="389" ht="15.75" customHeight="1" s="60">
      <c r="A389" s="41" t="n"/>
      <c r="B389" s="41" t="n"/>
    </row>
    <row r="390" ht="15.75" customHeight="1" s="60">
      <c r="A390" s="41" t="n"/>
      <c r="B390" s="41" t="n"/>
    </row>
    <row r="391" ht="15.75" customHeight="1" s="60">
      <c r="A391" s="41" t="n"/>
      <c r="B391" s="41" t="n"/>
    </row>
    <row r="392" ht="15.75" customHeight="1" s="60">
      <c r="A392" s="41" t="n"/>
      <c r="B392" s="41" t="n"/>
    </row>
    <row r="393" ht="15.75" customHeight="1" s="60">
      <c r="A393" s="41" t="n"/>
      <c r="B393" s="41" t="n"/>
    </row>
    <row r="394" ht="15.75" customHeight="1" s="60">
      <c r="A394" s="41" t="n"/>
      <c r="B394" s="41" t="n"/>
    </row>
    <row r="395" ht="15.75" customHeight="1" s="60">
      <c r="A395" s="41" t="n"/>
      <c r="B395" s="41" t="n"/>
    </row>
    <row r="396" ht="15.75" customHeight="1" s="60">
      <c r="A396" s="41" t="n"/>
      <c r="B396" s="41" t="n"/>
    </row>
    <row r="397" ht="15.75" customHeight="1" s="60">
      <c r="A397" s="41" t="n"/>
      <c r="B397" s="41" t="n"/>
    </row>
    <row r="398" ht="15.75" customHeight="1" s="60">
      <c r="A398" s="41" t="n"/>
      <c r="B398" s="41" t="n"/>
    </row>
    <row r="399" ht="15.75" customHeight="1" s="60">
      <c r="A399" s="41" t="n"/>
      <c r="B399" s="41" t="n"/>
    </row>
    <row r="400" ht="15.75" customHeight="1" s="60">
      <c r="A400" s="41" t="n"/>
      <c r="B400" s="41" t="n"/>
    </row>
    <row r="401" ht="15.75" customHeight="1" s="60">
      <c r="A401" s="41" t="n"/>
      <c r="B401" s="41" t="n"/>
    </row>
    <row r="402" ht="15.75" customHeight="1" s="60">
      <c r="A402" s="41" t="n"/>
      <c r="B402" s="41" t="n"/>
    </row>
    <row r="403" ht="15.75" customHeight="1" s="60">
      <c r="A403" s="41" t="n"/>
      <c r="B403" s="41" t="n"/>
    </row>
    <row r="404" ht="15.75" customHeight="1" s="60">
      <c r="A404" s="41" t="n"/>
      <c r="B404" s="41" t="n"/>
    </row>
    <row r="405" ht="15.75" customHeight="1" s="60">
      <c r="A405" s="41" t="n"/>
      <c r="B405" s="41" t="n"/>
    </row>
    <row r="406" ht="15.75" customHeight="1" s="60">
      <c r="A406" s="41" t="n"/>
      <c r="B406" s="41" t="n"/>
    </row>
    <row r="407" ht="15.75" customHeight="1" s="60">
      <c r="A407" s="41" t="n"/>
      <c r="B407" s="41" t="n"/>
    </row>
    <row r="408" ht="15.75" customHeight="1" s="60">
      <c r="A408" s="41" t="n"/>
      <c r="B408" s="41" t="n"/>
    </row>
    <row r="409" ht="15.75" customHeight="1" s="60">
      <c r="A409" s="41" t="n"/>
      <c r="B409" s="41" t="n"/>
    </row>
    <row r="410" ht="15.75" customHeight="1" s="60">
      <c r="A410" s="41" t="n"/>
      <c r="B410" s="41" t="n"/>
    </row>
    <row r="411" ht="15.75" customHeight="1" s="60">
      <c r="A411" s="41" t="n"/>
      <c r="B411" s="41" t="n"/>
    </row>
    <row r="412" ht="15.75" customHeight="1" s="60">
      <c r="A412" s="41" t="n"/>
      <c r="B412" s="41" t="n"/>
    </row>
    <row r="413" ht="15.75" customHeight="1" s="60">
      <c r="A413" s="41" t="n"/>
      <c r="B413" s="41" t="n"/>
    </row>
    <row r="414" ht="15.75" customHeight="1" s="60">
      <c r="A414" s="41" t="n"/>
      <c r="B414" s="41" t="n"/>
    </row>
    <row r="415" ht="15.75" customHeight="1" s="60">
      <c r="A415" s="41" t="n"/>
      <c r="B415" s="41" t="n"/>
    </row>
    <row r="416" ht="15.75" customHeight="1" s="60">
      <c r="A416" s="41" t="n"/>
      <c r="B416" s="41" t="n"/>
    </row>
    <row r="417" ht="15.75" customHeight="1" s="60">
      <c r="A417" s="41" t="n"/>
      <c r="B417" s="41" t="n"/>
    </row>
    <row r="418" ht="15.75" customHeight="1" s="60">
      <c r="A418" s="41" t="n"/>
      <c r="B418" s="41" t="n"/>
    </row>
    <row r="419" ht="15.75" customHeight="1" s="60">
      <c r="A419" s="41" t="n"/>
      <c r="B419" s="41" t="n"/>
    </row>
    <row r="420" ht="15.75" customHeight="1" s="60">
      <c r="A420" s="41" t="n"/>
      <c r="B420" s="41" t="n"/>
    </row>
    <row r="421" ht="15.75" customHeight="1" s="60">
      <c r="A421" s="41" t="n"/>
      <c r="B421" s="41" t="n"/>
    </row>
    <row r="422" ht="15.75" customHeight="1" s="60">
      <c r="A422" s="41" t="n"/>
      <c r="B422" s="41" t="n"/>
    </row>
    <row r="423" ht="15.75" customHeight="1" s="60">
      <c r="A423" s="41" t="n"/>
      <c r="B423" s="41" t="n"/>
    </row>
    <row r="424" ht="15.75" customHeight="1" s="60">
      <c r="A424" s="41" t="n"/>
      <c r="B424" s="41" t="n"/>
    </row>
    <row r="425" ht="15.75" customHeight="1" s="60">
      <c r="A425" s="41" t="n"/>
      <c r="B425" s="41" t="n"/>
    </row>
    <row r="426" ht="15.75" customHeight="1" s="60">
      <c r="A426" s="41" t="n"/>
      <c r="B426" s="41" t="n"/>
    </row>
    <row r="427" ht="15.75" customHeight="1" s="60">
      <c r="A427" s="41" t="n"/>
      <c r="B427" s="41" t="n"/>
    </row>
    <row r="428" ht="15.75" customHeight="1" s="60">
      <c r="A428" s="41" t="n"/>
      <c r="B428" s="41" t="n"/>
    </row>
    <row r="429" ht="15.75" customHeight="1" s="60">
      <c r="A429" s="41" t="n"/>
      <c r="B429" s="41" t="n"/>
    </row>
    <row r="430" ht="15.75" customHeight="1" s="60">
      <c r="A430" s="41" t="n"/>
      <c r="B430" s="41" t="n"/>
    </row>
    <row r="431" ht="15.75" customHeight="1" s="60">
      <c r="A431" s="41" t="n"/>
      <c r="B431" s="41" t="n"/>
    </row>
    <row r="432" ht="15.75" customHeight="1" s="60">
      <c r="A432" s="41" t="n"/>
      <c r="B432" s="41" t="n"/>
    </row>
    <row r="433" ht="15.75" customHeight="1" s="60">
      <c r="A433" s="41" t="n"/>
      <c r="B433" s="41" t="n"/>
    </row>
    <row r="434" ht="15.75" customHeight="1" s="60">
      <c r="A434" s="41" t="n"/>
      <c r="B434" s="41" t="n"/>
    </row>
    <row r="435" ht="15.75" customHeight="1" s="60">
      <c r="A435" s="41" t="n"/>
      <c r="B435" s="41" t="n"/>
    </row>
    <row r="436" ht="15.75" customHeight="1" s="60">
      <c r="A436" s="41" t="n"/>
      <c r="B436" s="41" t="n"/>
    </row>
    <row r="437" ht="15.75" customHeight="1" s="60">
      <c r="A437" s="41" t="n"/>
      <c r="B437" s="41" t="n"/>
    </row>
    <row r="438" ht="15.75" customHeight="1" s="60">
      <c r="A438" s="41" t="n"/>
      <c r="B438" s="41" t="n"/>
    </row>
    <row r="439" ht="15.75" customHeight="1" s="60">
      <c r="A439" s="41" t="n"/>
      <c r="B439" s="41" t="n"/>
    </row>
    <row r="440" ht="15.75" customHeight="1" s="60">
      <c r="A440" s="41" t="n"/>
      <c r="B440" s="41" t="n"/>
    </row>
    <row r="441" ht="15.75" customHeight="1" s="60">
      <c r="A441" s="41" t="n"/>
      <c r="B441" s="41" t="n"/>
    </row>
    <row r="442" ht="15.75" customHeight="1" s="60">
      <c r="A442" s="41" t="n"/>
      <c r="B442" s="41" t="n"/>
    </row>
    <row r="443" ht="15.75" customHeight="1" s="60">
      <c r="A443" s="41" t="n"/>
      <c r="B443" s="41" t="n"/>
    </row>
    <row r="444" ht="15.75" customHeight="1" s="60">
      <c r="A444" s="41" t="n"/>
      <c r="B444" s="41" t="n"/>
    </row>
    <row r="445" ht="15.75" customHeight="1" s="60">
      <c r="A445" s="41" t="n"/>
      <c r="B445" s="41" t="n"/>
    </row>
    <row r="446" ht="15.75" customHeight="1" s="60">
      <c r="A446" s="41" t="n"/>
      <c r="B446" s="41" t="n"/>
    </row>
    <row r="447" ht="15.75" customHeight="1" s="60">
      <c r="A447" s="41" t="n"/>
      <c r="B447" s="41" t="n"/>
    </row>
    <row r="448" ht="15.75" customHeight="1" s="60">
      <c r="A448" s="41" t="n"/>
      <c r="B448" s="41" t="n"/>
    </row>
    <row r="449" ht="15.75" customHeight="1" s="60">
      <c r="A449" s="41" t="n"/>
      <c r="B449" s="41" t="n"/>
    </row>
    <row r="450" ht="15.75" customHeight="1" s="60">
      <c r="A450" s="41" t="n"/>
      <c r="B450" s="41" t="n"/>
    </row>
    <row r="451" ht="15.75" customHeight="1" s="60">
      <c r="A451" s="41" t="n"/>
      <c r="B451" s="41" t="n"/>
    </row>
    <row r="452" ht="15.75" customHeight="1" s="60">
      <c r="A452" s="41" t="n"/>
      <c r="B452" s="41" t="n"/>
    </row>
    <row r="453" ht="15.75" customHeight="1" s="60">
      <c r="A453" s="41" t="n"/>
      <c r="B453" s="41" t="n"/>
    </row>
    <row r="454" ht="15.75" customHeight="1" s="60">
      <c r="A454" s="41" t="n"/>
      <c r="B454" s="41" t="n"/>
    </row>
    <row r="455" ht="15.75" customHeight="1" s="60">
      <c r="A455" s="41" t="n"/>
      <c r="B455" s="41" t="n"/>
    </row>
    <row r="456" ht="15.75" customHeight="1" s="60">
      <c r="A456" s="41" t="n"/>
      <c r="B456" s="41" t="n"/>
    </row>
    <row r="457" ht="15.75" customHeight="1" s="60">
      <c r="A457" s="41" t="n"/>
      <c r="B457" s="41" t="n"/>
    </row>
    <row r="458" ht="15.75" customHeight="1" s="60">
      <c r="A458" s="41" t="n"/>
      <c r="B458" s="41" t="n"/>
    </row>
    <row r="459" ht="15.75" customHeight="1" s="60">
      <c r="A459" s="41" t="n"/>
      <c r="B459" s="41" t="n"/>
    </row>
    <row r="460" ht="15.75" customHeight="1" s="60">
      <c r="A460" s="41" t="n"/>
      <c r="B460" s="41" t="n"/>
    </row>
    <row r="461" ht="15.75" customHeight="1" s="60">
      <c r="A461" s="41" t="n"/>
      <c r="B461" s="41" t="n"/>
    </row>
    <row r="462" ht="15.75" customHeight="1" s="60">
      <c r="A462" s="41" t="n"/>
      <c r="B462" s="41" t="n"/>
    </row>
    <row r="463" ht="15.75" customHeight="1" s="60">
      <c r="A463" s="41" t="n"/>
      <c r="B463" s="41" t="n"/>
    </row>
    <row r="464" ht="15.75" customHeight="1" s="60">
      <c r="A464" s="41" t="n"/>
      <c r="B464" s="41" t="n"/>
    </row>
    <row r="465" ht="15.75" customHeight="1" s="60">
      <c r="A465" s="41" t="n"/>
      <c r="B465" s="41" t="n"/>
    </row>
    <row r="466" ht="15.75" customHeight="1" s="60">
      <c r="A466" s="41" t="n"/>
      <c r="B466" s="41" t="n"/>
    </row>
    <row r="467" ht="15.75" customHeight="1" s="60">
      <c r="A467" s="41" t="n"/>
      <c r="B467" s="41" t="n"/>
    </row>
    <row r="468" ht="15.75" customHeight="1" s="60">
      <c r="A468" s="41" t="n"/>
      <c r="B468" s="41" t="n"/>
    </row>
    <row r="469" ht="15.75" customHeight="1" s="60">
      <c r="A469" s="41" t="n"/>
      <c r="B469" s="41" t="n"/>
    </row>
    <row r="470" ht="15.75" customHeight="1" s="60">
      <c r="A470" s="41" t="n"/>
      <c r="B470" s="41" t="n"/>
    </row>
    <row r="471" ht="15.75" customHeight="1" s="60">
      <c r="A471" s="41" t="n"/>
      <c r="B471" s="41" t="n"/>
    </row>
    <row r="472" ht="15.75" customHeight="1" s="60">
      <c r="A472" s="41" t="n"/>
      <c r="B472" s="41" t="n"/>
    </row>
    <row r="473" ht="15.75" customHeight="1" s="60">
      <c r="A473" s="41" t="n"/>
      <c r="B473" s="41" t="n"/>
    </row>
    <row r="474" ht="15.75" customHeight="1" s="60">
      <c r="A474" s="41" t="n"/>
      <c r="B474" s="41" t="n"/>
    </row>
    <row r="475" ht="15.75" customHeight="1" s="60">
      <c r="A475" s="41" t="n"/>
      <c r="B475" s="41" t="n"/>
    </row>
    <row r="476" ht="15.75" customHeight="1" s="60">
      <c r="A476" s="41" t="n"/>
      <c r="B476" s="41" t="n"/>
    </row>
    <row r="477" ht="15.75" customHeight="1" s="60">
      <c r="A477" s="41" t="n"/>
      <c r="B477" s="41" t="n"/>
    </row>
    <row r="478" ht="15.75" customHeight="1" s="60">
      <c r="A478" s="41" t="n"/>
      <c r="B478" s="41" t="n"/>
    </row>
    <row r="479" ht="15.75" customHeight="1" s="60">
      <c r="A479" s="41" t="n"/>
      <c r="B479" s="41" t="n"/>
    </row>
    <row r="480" ht="15.75" customHeight="1" s="60">
      <c r="A480" s="41" t="n"/>
      <c r="B480" s="41" t="n"/>
    </row>
    <row r="481" ht="15.75" customHeight="1" s="60">
      <c r="A481" s="41" t="n"/>
      <c r="B481" s="41" t="n"/>
    </row>
    <row r="482" ht="15.75" customHeight="1" s="60">
      <c r="A482" s="41" t="n"/>
      <c r="B482" s="41" t="n"/>
    </row>
    <row r="483" ht="15.75" customHeight="1" s="60">
      <c r="A483" s="41" t="n"/>
      <c r="B483" s="41" t="n"/>
    </row>
    <row r="484" ht="15.75" customHeight="1" s="60">
      <c r="A484" s="41" t="n"/>
      <c r="B484" s="41" t="n"/>
    </row>
    <row r="485" ht="15.75" customHeight="1" s="60">
      <c r="A485" s="41" t="n"/>
      <c r="B485" s="41" t="n"/>
    </row>
    <row r="486" ht="15.75" customHeight="1" s="60">
      <c r="A486" s="41" t="n"/>
      <c r="B486" s="41" t="n"/>
    </row>
    <row r="487" ht="15.75" customHeight="1" s="60">
      <c r="A487" s="41" t="n"/>
      <c r="B487" s="41" t="n"/>
    </row>
    <row r="488" ht="15.75" customHeight="1" s="60">
      <c r="A488" s="41" t="n"/>
      <c r="B488" s="41" t="n"/>
    </row>
    <row r="489" ht="15.75" customHeight="1" s="60">
      <c r="A489" s="41" t="n"/>
      <c r="B489" s="41" t="n"/>
    </row>
    <row r="490" ht="15.75" customHeight="1" s="60">
      <c r="A490" s="41" t="n"/>
      <c r="B490" s="41" t="n"/>
    </row>
    <row r="491" ht="15.75" customHeight="1" s="60">
      <c r="A491" s="41" t="n"/>
      <c r="B491" s="41" t="n"/>
    </row>
    <row r="492" ht="15.75" customHeight="1" s="60">
      <c r="A492" s="41" t="n"/>
      <c r="B492" s="41" t="n"/>
    </row>
    <row r="493" ht="15.75" customHeight="1" s="60">
      <c r="A493" s="41" t="n"/>
      <c r="B493" s="41" t="n"/>
    </row>
    <row r="494" ht="15.75" customHeight="1" s="60">
      <c r="A494" s="41" t="n"/>
      <c r="B494" s="41" t="n"/>
    </row>
    <row r="495" ht="15.75" customHeight="1" s="60">
      <c r="A495" s="41" t="n"/>
      <c r="B495" s="41" t="n"/>
    </row>
    <row r="496" ht="15.75" customHeight="1" s="60">
      <c r="A496" s="41" t="n"/>
      <c r="B496" s="41" t="n"/>
    </row>
    <row r="497" ht="15.75" customHeight="1" s="60">
      <c r="A497" s="41" t="n"/>
      <c r="B497" s="41" t="n"/>
    </row>
    <row r="498" ht="15.75" customHeight="1" s="60">
      <c r="A498" s="41" t="n"/>
      <c r="B498" s="41" t="n"/>
    </row>
    <row r="499" ht="15.75" customHeight="1" s="60">
      <c r="A499" s="41" t="n"/>
      <c r="B499" s="41" t="n"/>
    </row>
    <row r="500" ht="15.75" customHeight="1" s="60">
      <c r="A500" s="41" t="n"/>
      <c r="B500" s="41" t="n"/>
    </row>
    <row r="501" ht="15.75" customHeight="1" s="60">
      <c r="A501" s="41" t="n"/>
      <c r="B501" s="41" t="n"/>
    </row>
    <row r="502" ht="15.75" customHeight="1" s="60">
      <c r="A502" s="41" t="n"/>
      <c r="B502" s="41" t="n"/>
    </row>
    <row r="503" ht="15.75" customHeight="1" s="60">
      <c r="A503" s="41" t="n"/>
      <c r="B503" s="41" t="n"/>
    </row>
    <row r="504" ht="15.75" customHeight="1" s="60">
      <c r="A504" s="41" t="n"/>
      <c r="B504" s="41" t="n"/>
    </row>
    <row r="505" ht="15.75" customHeight="1" s="60">
      <c r="A505" s="41" t="n"/>
      <c r="B505" s="41" t="n"/>
    </row>
    <row r="506" ht="15.75" customHeight="1" s="60">
      <c r="A506" s="41" t="n"/>
      <c r="B506" s="41" t="n"/>
    </row>
    <row r="507" ht="15.75" customHeight="1" s="60">
      <c r="A507" s="41" t="n"/>
      <c r="B507" s="41" t="n"/>
    </row>
    <row r="508" ht="15.75" customHeight="1" s="60">
      <c r="A508" s="41" t="n"/>
      <c r="B508" s="41" t="n"/>
    </row>
    <row r="509" ht="15.75" customHeight="1" s="60">
      <c r="A509" s="41" t="n"/>
      <c r="B509" s="41" t="n"/>
    </row>
    <row r="510" ht="15.75" customHeight="1" s="60">
      <c r="A510" s="41" t="n"/>
      <c r="B510" s="41" t="n"/>
    </row>
    <row r="511" ht="15.75" customHeight="1" s="60">
      <c r="A511" s="41" t="n"/>
      <c r="B511" s="41" t="n"/>
    </row>
    <row r="512" ht="15.75" customHeight="1" s="60">
      <c r="A512" s="41" t="n"/>
      <c r="B512" s="41" t="n"/>
    </row>
    <row r="513" ht="15.75" customHeight="1" s="60">
      <c r="A513" s="41" t="n"/>
      <c r="B513" s="41" t="n"/>
    </row>
    <row r="514" ht="15.75" customHeight="1" s="60">
      <c r="A514" s="41" t="n"/>
      <c r="B514" s="41" t="n"/>
    </row>
    <row r="515" ht="15.75" customHeight="1" s="60">
      <c r="A515" s="41" t="n"/>
      <c r="B515" s="41" t="n"/>
    </row>
    <row r="516" ht="15.75" customHeight="1" s="60">
      <c r="A516" s="41" t="n"/>
      <c r="B516" s="41" t="n"/>
    </row>
    <row r="517" ht="15.75" customHeight="1" s="60">
      <c r="A517" s="41" t="n"/>
      <c r="B517" s="41" t="n"/>
    </row>
    <row r="518" ht="15.75" customHeight="1" s="60">
      <c r="A518" s="41" t="n"/>
      <c r="B518" s="41" t="n"/>
    </row>
    <row r="519" ht="15.75" customHeight="1" s="60">
      <c r="A519" s="41" t="n"/>
      <c r="B519" s="41" t="n"/>
    </row>
    <row r="520" ht="15.75" customHeight="1" s="60">
      <c r="A520" s="41" t="n"/>
      <c r="B520" s="41" t="n"/>
    </row>
    <row r="521" ht="15.75" customHeight="1" s="60">
      <c r="A521" s="41" t="n"/>
      <c r="B521" s="41" t="n"/>
    </row>
    <row r="522" ht="15.75" customHeight="1" s="60">
      <c r="A522" s="41" t="n"/>
      <c r="B522" s="41" t="n"/>
    </row>
    <row r="523" ht="15.75" customHeight="1" s="60">
      <c r="A523" s="41" t="n"/>
      <c r="B523" s="41" t="n"/>
    </row>
    <row r="524" ht="15.75" customHeight="1" s="60">
      <c r="A524" s="41" t="n"/>
      <c r="B524" s="41" t="n"/>
    </row>
    <row r="525" ht="15.75" customHeight="1" s="60">
      <c r="A525" s="41" t="n"/>
      <c r="B525" s="41" t="n"/>
    </row>
    <row r="526" ht="15.75" customHeight="1" s="60">
      <c r="A526" s="41" t="n"/>
      <c r="B526" s="41" t="n"/>
    </row>
    <row r="527" ht="15.75" customHeight="1" s="60">
      <c r="A527" s="41" t="n"/>
      <c r="B527" s="41" t="n"/>
    </row>
    <row r="528" ht="15.75" customHeight="1" s="60">
      <c r="A528" s="41" t="n"/>
      <c r="B528" s="41" t="n"/>
    </row>
    <row r="529" ht="15.75" customHeight="1" s="60">
      <c r="A529" s="41" t="n"/>
      <c r="B529" s="41" t="n"/>
    </row>
    <row r="530" ht="15.75" customHeight="1" s="60">
      <c r="A530" s="41" t="n"/>
      <c r="B530" s="41" t="n"/>
    </row>
    <row r="531" ht="15.75" customHeight="1" s="60">
      <c r="A531" s="41" t="n"/>
      <c r="B531" s="41" t="n"/>
    </row>
    <row r="532" ht="15.75" customHeight="1" s="60">
      <c r="A532" s="41" t="n"/>
      <c r="B532" s="41" t="n"/>
    </row>
    <row r="533" ht="15.75" customHeight="1" s="60">
      <c r="A533" s="41" t="n"/>
      <c r="B533" s="41" t="n"/>
    </row>
    <row r="534" ht="15.75" customHeight="1" s="60">
      <c r="A534" s="41" t="n"/>
      <c r="B534" s="41" t="n"/>
    </row>
    <row r="535" ht="15.75" customHeight="1" s="60">
      <c r="A535" s="41" t="n"/>
      <c r="B535" s="41" t="n"/>
    </row>
    <row r="536" ht="15.75" customHeight="1" s="60">
      <c r="A536" s="41" t="n"/>
      <c r="B536" s="41" t="n"/>
    </row>
    <row r="537" ht="15.75" customHeight="1" s="60">
      <c r="A537" s="41" t="n"/>
      <c r="B537" s="41" t="n"/>
    </row>
    <row r="538" ht="15.75" customHeight="1" s="60">
      <c r="A538" s="41" t="n"/>
      <c r="B538" s="41" t="n"/>
    </row>
    <row r="539" ht="15.75" customHeight="1" s="60">
      <c r="A539" s="41" t="n"/>
      <c r="B539" s="41" t="n"/>
    </row>
    <row r="540" ht="15.75" customHeight="1" s="60">
      <c r="A540" s="41" t="n"/>
      <c r="B540" s="41" t="n"/>
    </row>
    <row r="541" ht="15.75" customHeight="1" s="60">
      <c r="A541" s="41" t="n"/>
      <c r="B541" s="41" t="n"/>
    </row>
    <row r="542" ht="15.75" customHeight="1" s="60">
      <c r="A542" s="41" t="n"/>
      <c r="B542" s="41" t="n"/>
    </row>
    <row r="543" ht="15.75" customHeight="1" s="60">
      <c r="A543" s="41" t="n"/>
      <c r="B543" s="41" t="n"/>
    </row>
    <row r="544" ht="15.75" customHeight="1" s="60">
      <c r="A544" s="41" t="n"/>
      <c r="B544" s="41" t="n"/>
    </row>
    <row r="545" ht="15.75" customHeight="1" s="60">
      <c r="A545" s="41" t="n"/>
      <c r="B545" s="41" t="n"/>
    </row>
    <row r="546" ht="15.75" customHeight="1" s="60">
      <c r="A546" s="41" t="n"/>
      <c r="B546" s="41" t="n"/>
    </row>
    <row r="547" ht="15.75" customHeight="1" s="60">
      <c r="A547" s="41" t="n"/>
      <c r="B547" s="41" t="n"/>
    </row>
    <row r="548" ht="15.75" customHeight="1" s="60">
      <c r="A548" s="41" t="n"/>
      <c r="B548" s="41" t="n"/>
    </row>
    <row r="549" ht="15.75" customHeight="1" s="60">
      <c r="A549" s="41" t="n"/>
      <c r="B549" s="41" t="n"/>
    </row>
    <row r="550" ht="15.75" customHeight="1" s="60">
      <c r="A550" s="41" t="n"/>
      <c r="B550" s="41" t="n"/>
    </row>
    <row r="551" ht="15.75" customHeight="1" s="60">
      <c r="A551" s="41" t="n"/>
      <c r="B551" s="41" t="n"/>
    </row>
    <row r="552" ht="15.75" customHeight="1" s="60">
      <c r="A552" s="41" t="n"/>
      <c r="B552" s="41" t="n"/>
    </row>
    <row r="553" ht="15.75" customHeight="1" s="60">
      <c r="A553" s="41" t="n"/>
      <c r="B553" s="41" t="n"/>
    </row>
    <row r="554" ht="15.75" customHeight="1" s="60">
      <c r="A554" s="41" t="n"/>
      <c r="B554" s="41" t="n"/>
    </row>
    <row r="555" ht="15.75" customHeight="1" s="60">
      <c r="A555" s="41" t="n"/>
      <c r="B555" s="41" t="n"/>
    </row>
    <row r="556" ht="15.75" customHeight="1" s="60">
      <c r="A556" s="41" t="n"/>
      <c r="B556" s="41" t="n"/>
    </row>
    <row r="557" ht="15.75" customHeight="1" s="60">
      <c r="A557" s="41" t="n"/>
      <c r="B557" s="41" t="n"/>
    </row>
    <row r="558" ht="15.75" customHeight="1" s="60">
      <c r="A558" s="41" t="n"/>
      <c r="B558" s="41" t="n"/>
    </row>
    <row r="559" ht="15.75" customHeight="1" s="60">
      <c r="A559" s="41" t="n"/>
      <c r="B559" s="41" t="n"/>
    </row>
    <row r="560" ht="15.75" customHeight="1" s="60">
      <c r="A560" s="41" t="n"/>
      <c r="B560" s="41" t="n"/>
    </row>
    <row r="561" ht="15.75" customHeight="1" s="60">
      <c r="A561" s="41" t="n"/>
      <c r="B561" s="41" t="n"/>
    </row>
    <row r="562" ht="15.75" customHeight="1" s="60">
      <c r="A562" s="41" t="n"/>
      <c r="B562" s="41" t="n"/>
    </row>
    <row r="563" ht="15.75" customHeight="1" s="60">
      <c r="A563" s="41" t="n"/>
      <c r="B563" s="41" t="n"/>
    </row>
    <row r="564" ht="15.75" customHeight="1" s="60">
      <c r="A564" s="41" t="n"/>
      <c r="B564" s="41" t="n"/>
    </row>
    <row r="565" ht="15.75" customHeight="1" s="60">
      <c r="A565" s="41" t="n"/>
      <c r="B565" s="41" t="n"/>
    </row>
    <row r="566" ht="15.75" customHeight="1" s="60">
      <c r="A566" s="41" t="n"/>
      <c r="B566" s="41" t="n"/>
    </row>
    <row r="567" ht="15.75" customHeight="1" s="60">
      <c r="A567" s="41" t="n"/>
      <c r="B567" s="41" t="n"/>
    </row>
    <row r="568" ht="15.75" customHeight="1" s="60">
      <c r="A568" s="41" t="n"/>
      <c r="B568" s="41" t="n"/>
    </row>
    <row r="569" ht="15.75" customHeight="1" s="60">
      <c r="A569" s="41" t="n"/>
      <c r="B569" s="41" t="n"/>
    </row>
    <row r="570" ht="15.75" customHeight="1" s="60">
      <c r="A570" s="41" t="n"/>
      <c r="B570" s="41" t="n"/>
    </row>
    <row r="571" ht="15.75" customHeight="1" s="60">
      <c r="A571" s="41" t="n"/>
      <c r="B571" s="41" t="n"/>
    </row>
    <row r="572" ht="15.75" customHeight="1" s="60">
      <c r="A572" s="41" t="n"/>
      <c r="B572" s="41" t="n"/>
    </row>
    <row r="573" ht="15.75" customHeight="1" s="60">
      <c r="A573" s="41" t="n"/>
      <c r="B573" s="41" t="n"/>
    </row>
    <row r="574" ht="15.75" customHeight="1" s="60">
      <c r="A574" s="41" t="n"/>
      <c r="B574" s="41" t="n"/>
    </row>
    <row r="575" ht="15.75" customHeight="1" s="60">
      <c r="A575" s="41" t="n"/>
      <c r="B575" s="41" t="n"/>
    </row>
    <row r="576" ht="15.75" customHeight="1" s="60">
      <c r="A576" s="41" t="n"/>
      <c r="B576" s="41" t="n"/>
    </row>
    <row r="577" ht="15.75" customHeight="1" s="60">
      <c r="A577" s="41" t="n"/>
      <c r="B577" s="41" t="n"/>
    </row>
    <row r="578" ht="15.75" customHeight="1" s="60">
      <c r="A578" s="41" t="n"/>
      <c r="B578" s="41" t="n"/>
    </row>
    <row r="579" ht="15.75" customHeight="1" s="60">
      <c r="A579" s="41" t="n"/>
      <c r="B579" s="41" t="n"/>
    </row>
    <row r="580" ht="15.75" customHeight="1" s="60">
      <c r="A580" s="41" t="n"/>
      <c r="B580" s="41" t="n"/>
    </row>
    <row r="581" ht="15.75" customHeight="1" s="60">
      <c r="A581" s="41" t="n"/>
      <c r="B581" s="41" t="n"/>
    </row>
    <row r="582" ht="15.75" customHeight="1" s="60">
      <c r="A582" s="41" t="n"/>
      <c r="B582" s="41" t="n"/>
    </row>
    <row r="583" ht="15.75" customHeight="1" s="60">
      <c r="A583" s="41" t="n"/>
      <c r="B583" s="41" t="n"/>
    </row>
    <row r="584" ht="15.75" customHeight="1" s="60">
      <c r="A584" s="41" t="n"/>
      <c r="B584" s="41" t="n"/>
    </row>
    <row r="585" ht="15.75" customHeight="1" s="60">
      <c r="A585" s="41" t="n"/>
      <c r="B585" s="41" t="n"/>
    </row>
    <row r="586" ht="15.75" customHeight="1" s="60">
      <c r="A586" s="41" t="n"/>
      <c r="B586" s="41" t="n"/>
    </row>
    <row r="587" ht="15.75" customHeight="1" s="60">
      <c r="A587" s="41" t="n"/>
      <c r="B587" s="41" t="n"/>
    </row>
    <row r="588" ht="15.75" customHeight="1" s="60">
      <c r="A588" s="41" t="n"/>
      <c r="B588" s="41" t="n"/>
    </row>
    <row r="589" ht="15.75" customHeight="1" s="60">
      <c r="A589" s="41" t="n"/>
      <c r="B589" s="41" t="n"/>
    </row>
    <row r="590" ht="15.75" customHeight="1" s="60">
      <c r="A590" s="41" t="n"/>
      <c r="B590" s="41" t="n"/>
    </row>
    <row r="591" ht="15.75" customHeight="1" s="60">
      <c r="A591" s="41" t="n"/>
      <c r="B591" s="41" t="n"/>
    </row>
    <row r="592" ht="15.75" customHeight="1" s="60">
      <c r="A592" s="41" t="n"/>
      <c r="B592" s="41" t="n"/>
    </row>
    <row r="593" ht="15.75" customHeight="1" s="60">
      <c r="A593" s="41" t="n"/>
      <c r="B593" s="41" t="n"/>
    </row>
    <row r="594" ht="15.75" customHeight="1" s="60">
      <c r="A594" s="41" t="n"/>
      <c r="B594" s="41" t="n"/>
    </row>
    <row r="595" ht="15.75" customHeight="1" s="60">
      <c r="A595" s="41" t="n"/>
      <c r="B595" s="41" t="n"/>
    </row>
    <row r="596" ht="15.75" customHeight="1" s="60">
      <c r="A596" s="41" t="n"/>
      <c r="B596" s="41" t="n"/>
    </row>
    <row r="597" ht="15.75" customHeight="1" s="60">
      <c r="A597" s="41" t="n"/>
      <c r="B597" s="41" t="n"/>
    </row>
    <row r="598" ht="15.75" customHeight="1" s="60">
      <c r="A598" s="41" t="n"/>
      <c r="B598" s="41" t="n"/>
    </row>
    <row r="599" ht="15.75" customHeight="1" s="60">
      <c r="A599" s="41" t="n"/>
      <c r="B599" s="41" t="n"/>
    </row>
    <row r="600" ht="15.75" customHeight="1" s="60">
      <c r="A600" s="41" t="n"/>
      <c r="B600" s="41" t="n"/>
    </row>
    <row r="601" ht="15.75" customHeight="1" s="60">
      <c r="A601" s="41" t="n"/>
      <c r="B601" s="41" t="n"/>
    </row>
    <row r="602" ht="15.75" customHeight="1" s="60">
      <c r="A602" s="41" t="n"/>
      <c r="B602" s="41" t="n"/>
    </row>
    <row r="603" ht="15.75" customHeight="1" s="60">
      <c r="A603" s="41" t="n"/>
      <c r="B603" s="41" t="n"/>
    </row>
    <row r="604" ht="15.75" customHeight="1" s="60">
      <c r="A604" s="41" t="n"/>
      <c r="B604" s="41" t="n"/>
    </row>
    <row r="605" ht="15.75" customHeight="1" s="60">
      <c r="A605" s="41" t="n"/>
      <c r="B605" s="41" t="n"/>
    </row>
    <row r="606" ht="15.75" customHeight="1" s="60">
      <c r="A606" s="41" t="n"/>
      <c r="B606" s="41" t="n"/>
    </row>
    <row r="607" ht="15.75" customHeight="1" s="60">
      <c r="A607" s="41" t="n"/>
      <c r="B607" s="41" t="n"/>
    </row>
    <row r="608" ht="15.75" customHeight="1" s="60">
      <c r="A608" s="41" t="n"/>
      <c r="B608" s="41" t="n"/>
    </row>
    <row r="609" ht="15.75" customHeight="1" s="60">
      <c r="A609" s="41" t="n"/>
      <c r="B609" s="41" t="n"/>
    </row>
    <row r="610" ht="15.75" customHeight="1" s="60">
      <c r="A610" s="41" t="n"/>
      <c r="B610" s="41" t="n"/>
    </row>
    <row r="611" ht="15.75" customHeight="1" s="60">
      <c r="A611" s="41" t="n"/>
      <c r="B611" s="41" t="n"/>
    </row>
    <row r="612" ht="15.75" customHeight="1" s="60">
      <c r="A612" s="41" t="n"/>
      <c r="B612" s="41" t="n"/>
    </row>
    <row r="613" ht="15.75" customHeight="1" s="60">
      <c r="A613" s="41" t="n"/>
      <c r="B613" s="41" t="n"/>
    </row>
    <row r="614" ht="15.75" customHeight="1" s="60">
      <c r="A614" s="41" t="n"/>
      <c r="B614" s="41" t="n"/>
    </row>
    <row r="615" ht="15.75" customHeight="1" s="60">
      <c r="A615" s="41" t="n"/>
      <c r="B615" s="41" t="n"/>
    </row>
    <row r="616" ht="15.75" customHeight="1" s="60">
      <c r="A616" s="41" t="n"/>
      <c r="B616" s="41" t="n"/>
    </row>
    <row r="617" ht="15.75" customHeight="1" s="60">
      <c r="A617" s="41" t="n"/>
      <c r="B617" s="41" t="n"/>
    </row>
    <row r="618" ht="15.75" customHeight="1" s="60">
      <c r="A618" s="41" t="n"/>
      <c r="B618" s="41" t="n"/>
    </row>
    <row r="619" ht="15.75" customHeight="1" s="60">
      <c r="A619" s="41" t="n"/>
      <c r="B619" s="41" t="n"/>
    </row>
    <row r="620" ht="15.75" customHeight="1" s="60">
      <c r="A620" s="41" t="n"/>
      <c r="B620" s="41" t="n"/>
    </row>
    <row r="621" ht="15.75" customHeight="1" s="60">
      <c r="A621" s="41" t="n"/>
      <c r="B621" s="41" t="n"/>
    </row>
    <row r="622" ht="15.75" customHeight="1" s="60">
      <c r="A622" s="41" t="n"/>
      <c r="B622" s="41" t="n"/>
    </row>
    <row r="623" ht="15.75" customHeight="1" s="60">
      <c r="A623" s="41" t="n"/>
      <c r="B623" s="41" t="n"/>
    </row>
    <row r="624" ht="15.75" customHeight="1" s="60">
      <c r="A624" s="41" t="n"/>
      <c r="B624" s="41" t="n"/>
    </row>
    <row r="625" ht="15.75" customHeight="1" s="60">
      <c r="A625" s="41" t="n"/>
      <c r="B625" s="41" t="n"/>
    </row>
    <row r="626" ht="15.75" customHeight="1" s="60">
      <c r="A626" s="41" t="n"/>
      <c r="B626" s="41" t="n"/>
    </row>
    <row r="627" ht="15.75" customHeight="1" s="60">
      <c r="A627" s="41" t="n"/>
      <c r="B627" s="41" t="n"/>
    </row>
    <row r="628" ht="15.75" customHeight="1" s="60">
      <c r="A628" s="41" t="n"/>
      <c r="B628" s="41" t="n"/>
    </row>
    <row r="629" ht="15.75" customHeight="1" s="60">
      <c r="A629" s="41" t="n"/>
      <c r="B629" s="41" t="n"/>
    </row>
    <row r="630" ht="15.75" customHeight="1" s="60">
      <c r="A630" s="41" t="n"/>
      <c r="B630" s="41" t="n"/>
    </row>
    <row r="631" ht="15.75" customHeight="1" s="60">
      <c r="A631" s="41" t="n"/>
      <c r="B631" s="41" t="n"/>
    </row>
    <row r="632" ht="15.75" customHeight="1" s="60">
      <c r="A632" s="41" t="n"/>
      <c r="B632" s="41" t="n"/>
    </row>
    <row r="633" ht="15.75" customHeight="1" s="60">
      <c r="A633" s="41" t="n"/>
      <c r="B633" s="41" t="n"/>
    </row>
    <row r="634" ht="15.75" customHeight="1" s="60">
      <c r="A634" s="41" t="n"/>
      <c r="B634" s="41" t="n"/>
    </row>
    <row r="635" ht="15.75" customHeight="1" s="60">
      <c r="A635" s="41" t="n"/>
      <c r="B635" s="41" t="n"/>
    </row>
    <row r="636" ht="15.75" customHeight="1" s="60">
      <c r="A636" s="41" t="n"/>
      <c r="B636" s="41" t="n"/>
    </row>
    <row r="637" ht="15.75" customHeight="1" s="60">
      <c r="A637" s="41" t="n"/>
      <c r="B637" s="41" t="n"/>
    </row>
    <row r="638" ht="15.75" customHeight="1" s="60">
      <c r="A638" s="41" t="n"/>
      <c r="B638" s="41" t="n"/>
    </row>
    <row r="639" ht="15.75" customHeight="1" s="60">
      <c r="A639" s="41" t="n"/>
      <c r="B639" s="41" t="n"/>
    </row>
    <row r="640" ht="15.75" customHeight="1" s="60">
      <c r="A640" s="41" t="n"/>
      <c r="B640" s="41" t="n"/>
    </row>
    <row r="641" ht="15.75" customHeight="1" s="60">
      <c r="A641" s="41" t="n"/>
      <c r="B641" s="41" t="n"/>
    </row>
    <row r="642" ht="15.75" customHeight="1" s="60">
      <c r="A642" s="41" t="n"/>
      <c r="B642" s="41" t="n"/>
    </row>
    <row r="643" ht="15.75" customHeight="1" s="60">
      <c r="A643" s="41" t="n"/>
      <c r="B643" s="41" t="n"/>
    </row>
    <row r="644" ht="15.75" customHeight="1" s="60">
      <c r="A644" s="41" t="n"/>
      <c r="B644" s="41" t="n"/>
    </row>
    <row r="645" ht="15.75" customHeight="1" s="60">
      <c r="A645" s="41" t="n"/>
      <c r="B645" s="41" t="n"/>
    </row>
    <row r="646" ht="15.75" customHeight="1" s="60">
      <c r="A646" s="41" t="n"/>
      <c r="B646" s="41" t="n"/>
    </row>
    <row r="647" ht="15.75" customHeight="1" s="60">
      <c r="A647" s="41" t="n"/>
      <c r="B647" s="41" t="n"/>
    </row>
    <row r="648" ht="15.75" customHeight="1" s="60">
      <c r="A648" s="41" t="n"/>
      <c r="B648" s="41" t="n"/>
    </row>
    <row r="649" ht="15.75" customHeight="1" s="60">
      <c r="A649" s="41" t="n"/>
      <c r="B649" s="41" t="n"/>
    </row>
    <row r="650" ht="15.75" customHeight="1" s="60">
      <c r="A650" s="41" t="n"/>
      <c r="B650" s="41" t="n"/>
    </row>
    <row r="651" ht="15.75" customHeight="1" s="60">
      <c r="A651" s="41" t="n"/>
      <c r="B651" s="41" t="n"/>
    </row>
    <row r="652" ht="15.75" customHeight="1" s="60">
      <c r="A652" s="41" t="n"/>
      <c r="B652" s="41" t="n"/>
    </row>
    <row r="653" ht="15.75" customHeight="1" s="60">
      <c r="A653" s="41" t="n"/>
      <c r="B653" s="41" t="n"/>
    </row>
    <row r="654" ht="15.75" customHeight="1" s="60">
      <c r="A654" s="41" t="n"/>
      <c r="B654" s="41" t="n"/>
    </row>
    <row r="655" ht="15.75" customHeight="1" s="60">
      <c r="A655" s="41" t="n"/>
      <c r="B655" s="41" t="n"/>
    </row>
    <row r="656" ht="15.75" customHeight="1" s="60">
      <c r="A656" s="41" t="n"/>
      <c r="B656" s="41" t="n"/>
    </row>
    <row r="657" ht="15.75" customHeight="1" s="60">
      <c r="A657" s="41" t="n"/>
      <c r="B657" s="41" t="n"/>
    </row>
    <row r="658" ht="15.75" customHeight="1" s="60">
      <c r="A658" s="41" t="n"/>
      <c r="B658" s="41" t="n"/>
    </row>
    <row r="659" ht="15.75" customHeight="1" s="60">
      <c r="A659" s="41" t="n"/>
      <c r="B659" s="41" t="n"/>
    </row>
    <row r="660" ht="15.75" customHeight="1" s="60">
      <c r="A660" s="41" t="n"/>
      <c r="B660" s="41" t="n"/>
    </row>
    <row r="661" ht="15.75" customHeight="1" s="60">
      <c r="A661" s="41" t="n"/>
      <c r="B661" s="41" t="n"/>
    </row>
    <row r="662" ht="15.75" customHeight="1" s="60">
      <c r="A662" s="41" t="n"/>
      <c r="B662" s="41" t="n"/>
    </row>
    <row r="663" ht="15.75" customHeight="1" s="60">
      <c r="A663" s="41" t="n"/>
      <c r="B663" s="41" t="n"/>
    </row>
    <row r="664" ht="15.75" customHeight="1" s="60">
      <c r="A664" s="41" t="n"/>
      <c r="B664" s="41" t="n"/>
    </row>
    <row r="665" ht="15.75" customHeight="1" s="60">
      <c r="A665" s="41" t="n"/>
      <c r="B665" s="41" t="n"/>
    </row>
    <row r="666" ht="15.75" customHeight="1" s="60">
      <c r="A666" s="41" t="n"/>
      <c r="B666" s="41" t="n"/>
    </row>
    <row r="667" ht="15.75" customHeight="1" s="60">
      <c r="A667" s="41" t="n"/>
      <c r="B667" s="41" t="n"/>
    </row>
    <row r="668" ht="15.75" customHeight="1" s="60">
      <c r="A668" s="41" t="n"/>
      <c r="B668" s="41" t="n"/>
    </row>
    <row r="669" ht="15.75" customHeight="1" s="60">
      <c r="A669" s="41" t="n"/>
      <c r="B669" s="41" t="n"/>
    </row>
    <row r="670" ht="15.75" customHeight="1" s="60">
      <c r="A670" s="41" t="n"/>
      <c r="B670" s="41" t="n"/>
    </row>
    <row r="671" ht="15.75" customHeight="1" s="60">
      <c r="A671" s="41" t="n"/>
      <c r="B671" s="41" t="n"/>
    </row>
    <row r="672" ht="15.75" customHeight="1" s="60">
      <c r="A672" s="41" t="n"/>
      <c r="B672" s="41" t="n"/>
    </row>
    <row r="673" ht="15.75" customHeight="1" s="60">
      <c r="A673" s="41" t="n"/>
      <c r="B673" s="41" t="n"/>
    </row>
    <row r="674" ht="15.75" customHeight="1" s="60">
      <c r="A674" s="41" t="n"/>
      <c r="B674" s="41" t="n"/>
    </row>
    <row r="675" ht="15.75" customHeight="1" s="60">
      <c r="A675" s="41" t="n"/>
      <c r="B675" s="41" t="n"/>
    </row>
    <row r="676" ht="15.75" customHeight="1" s="60">
      <c r="A676" s="41" t="n"/>
      <c r="B676" s="41" t="n"/>
    </row>
    <row r="677" ht="15.75" customHeight="1" s="60">
      <c r="A677" s="41" t="n"/>
      <c r="B677" s="41" t="n"/>
    </row>
    <row r="678" ht="15.75" customHeight="1" s="60">
      <c r="A678" s="41" t="n"/>
      <c r="B678" s="41" t="n"/>
    </row>
    <row r="679" ht="15.75" customHeight="1" s="60">
      <c r="A679" s="41" t="n"/>
      <c r="B679" s="41" t="n"/>
    </row>
    <row r="680" ht="15.75" customHeight="1" s="60">
      <c r="A680" s="41" t="n"/>
      <c r="B680" s="41" t="n"/>
    </row>
    <row r="681" ht="15.75" customHeight="1" s="60">
      <c r="A681" s="41" t="n"/>
      <c r="B681" s="41" t="n"/>
    </row>
    <row r="682" ht="15.75" customHeight="1" s="60">
      <c r="A682" s="41" t="n"/>
      <c r="B682" s="41" t="n"/>
    </row>
    <row r="683" ht="15.75" customHeight="1" s="60">
      <c r="A683" s="41" t="n"/>
      <c r="B683" s="41" t="n"/>
    </row>
    <row r="684" ht="15.75" customHeight="1" s="60">
      <c r="A684" s="41" t="n"/>
      <c r="B684" s="41" t="n"/>
    </row>
    <row r="685" ht="15.75" customHeight="1" s="60">
      <c r="A685" s="41" t="n"/>
      <c r="B685" s="41" t="n"/>
    </row>
    <row r="686" ht="15.75" customHeight="1" s="60">
      <c r="A686" s="41" t="n"/>
      <c r="B686" s="41" t="n"/>
    </row>
    <row r="687" ht="15.75" customHeight="1" s="60">
      <c r="A687" s="41" t="n"/>
      <c r="B687" s="41" t="n"/>
    </row>
    <row r="688" ht="15.75" customHeight="1" s="60">
      <c r="A688" s="41" t="n"/>
      <c r="B688" s="41" t="n"/>
    </row>
    <row r="689" ht="15.75" customHeight="1" s="60">
      <c r="A689" s="41" t="n"/>
      <c r="B689" s="41" t="n"/>
    </row>
    <row r="690" ht="15.75" customHeight="1" s="60">
      <c r="A690" s="41" t="n"/>
      <c r="B690" s="41" t="n"/>
    </row>
    <row r="691" ht="15.75" customHeight="1" s="60">
      <c r="A691" s="41" t="n"/>
      <c r="B691" s="41" t="n"/>
    </row>
    <row r="692" ht="15.75" customHeight="1" s="60">
      <c r="A692" s="41" t="n"/>
      <c r="B692" s="41" t="n"/>
    </row>
    <row r="693" ht="15.75" customHeight="1" s="60">
      <c r="A693" s="41" t="n"/>
      <c r="B693" s="41" t="n"/>
    </row>
    <row r="694" ht="15.75" customHeight="1" s="60">
      <c r="A694" s="41" t="n"/>
      <c r="B694" s="41" t="n"/>
    </row>
    <row r="695" ht="15.75" customHeight="1" s="60">
      <c r="A695" s="41" t="n"/>
      <c r="B695" s="41" t="n"/>
    </row>
    <row r="696" ht="15.75" customHeight="1" s="60">
      <c r="A696" s="41" t="n"/>
      <c r="B696" s="41" t="n"/>
    </row>
    <row r="697" ht="15.75" customHeight="1" s="60">
      <c r="A697" s="41" t="n"/>
      <c r="B697" s="41" t="n"/>
    </row>
    <row r="698" ht="15.75" customHeight="1" s="60">
      <c r="A698" s="41" t="n"/>
      <c r="B698" s="41" t="n"/>
    </row>
    <row r="699" ht="15.75" customHeight="1" s="60">
      <c r="A699" s="41" t="n"/>
      <c r="B699" s="41" t="n"/>
    </row>
    <row r="700" ht="15.75" customHeight="1" s="60">
      <c r="A700" s="41" t="n"/>
      <c r="B700" s="41" t="n"/>
    </row>
    <row r="701" ht="15.75" customHeight="1" s="60">
      <c r="A701" s="41" t="n"/>
      <c r="B701" s="41" t="n"/>
    </row>
    <row r="702" ht="15.75" customHeight="1" s="60">
      <c r="A702" s="41" t="n"/>
      <c r="B702" s="41" t="n"/>
    </row>
    <row r="703" ht="15.75" customHeight="1" s="60">
      <c r="A703" s="41" t="n"/>
      <c r="B703" s="41" t="n"/>
    </row>
    <row r="704" ht="15.75" customHeight="1" s="60">
      <c r="A704" s="41" t="n"/>
      <c r="B704" s="41" t="n"/>
    </row>
    <row r="705" ht="15.75" customHeight="1" s="60">
      <c r="A705" s="41" t="n"/>
      <c r="B705" s="41" t="n"/>
    </row>
    <row r="706" ht="15.75" customHeight="1" s="60">
      <c r="A706" s="41" t="n"/>
      <c r="B706" s="41" t="n"/>
    </row>
    <row r="707" ht="15.75" customHeight="1" s="60">
      <c r="A707" s="41" t="n"/>
      <c r="B707" s="41" t="n"/>
    </row>
    <row r="708" ht="15.75" customHeight="1" s="60">
      <c r="A708" s="41" t="n"/>
      <c r="B708" s="41" t="n"/>
    </row>
    <row r="709" ht="15.75" customHeight="1" s="60">
      <c r="A709" s="41" t="n"/>
      <c r="B709" s="41" t="n"/>
    </row>
    <row r="710" ht="15.75" customHeight="1" s="60">
      <c r="A710" s="41" t="n"/>
      <c r="B710" s="41" t="n"/>
    </row>
    <row r="711" ht="15.75" customHeight="1" s="60">
      <c r="A711" s="41" t="n"/>
      <c r="B711" s="41" t="n"/>
    </row>
    <row r="712" ht="15.75" customHeight="1" s="60">
      <c r="A712" s="41" t="n"/>
      <c r="B712" s="41" t="n"/>
    </row>
    <row r="713" ht="15.75" customHeight="1" s="60">
      <c r="A713" s="41" t="n"/>
      <c r="B713" s="41" t="n"/>
    </row>
    <row r="714" ht="15.75" customHeight="1" s="60">
      <c r="A714" s="41" t="n"/>
      <c r="B714" s="41" t="n"/>
    </row>
    <row r="715" ht="15.75" customHeight="1" s="60">
      <c r="A715" s="41" t="n"/>
      <c r="B715" s="41" t="n"/>
    </row>
    <row r="716" ht="15.75" customHeight="1" s="60">
      <c r="A716" s="41" t="n"/>
      <c r="B716" s="41" t="n"/>
    </row>
    <row r="717" ht="15.75" customHeight="1" s="60">
      <c r="A717" s="41" t="n"/>
      <c r="B717" s="41" t="n"/>
    </row>
    <row r="718" ht="15.75" customHeight="1" s="60">
      <c r="A718" s="41" t="n"/>
      <c r="B718" s="41" t="n"/>
    </row>
    <row r="719" ht="15.75" customHeight="1" s="60">
      <c r="A719" s="41" t="n"/>
      <c r="B719" s="41" t="n"/>
    </row>
    <row r="720" ht="15.75" customHeight="1" s="60">
      <c r="A720" s="41" t="n"/>
      <c r="B720" s="41" t="n"/>
    </row>
    <row r="721" ht="15.75" customHeight="1" s="60">
      <c r="A721" s="41" t="n"/>
      <c r="B721" s="41" t="n"/>
    </row>
    <row r="722" ht="15.75" customHeight="1" s="60">
      <c r="A722" s="41" t="n"/>
      <c r="B722" s="41" t="n"/>
    </row>
    <row r="723" ht="15.75" customHeight="1" s="60">
      <c r="A723" s="41" t="n"/>
      <c r="B723" s="41" t="n"/>
    </row>
    <row r="724" ht="15.75" customHeight="1" s="60">
      <c r="A724" s="41" t="n"/>
      <c r="B724" s="41" t="n"/>
    </row>
    <row r="725" ht="15.75" customHeight="1" s="60">
      <c r="A725" s="41" t="n"/>
      <c r="B725" s="41" t="n"/>
    </row>
    <row r="726" ht="15.75" customHeight="1" s="60">
      <c r="A726" s="41" t="n"/>
      <c r="B726" s="41" t="n"/>
    </row>
    <row r="727" ht="15.75" customHeight="1" s="60">
      <c r="A727" s="41" t="n"/>
      <c r="B727" s="41" t="n"/>
    </row>
    <row r="728" ht="15.75" customHeight="1" s="60">
      <c r="A728" s="41" t="n"/>
      <c r="B728" s="41" t="n"/>
    </row>
    <row r="729" ht="15.75" customHeight="1" s="60">
      <c r="A729" s="41" t="n"/>
      <c r="B729" s="41" t="n"/>
    </row>
    <row r="730" ht="15.75" customHeight="1" s="60">
      <c r="A730" s="41" t="n"/>
      <c r="B730" s="41" t="n"/>
    </row>
    <row r="731" ht="15.75" customHeight="1" s="60">
      <c r="A731" s="41" t="n"/>
      <c r="B731" s="41" t="n"/>
    </row>
    <row r="732" ht="15.75" customHeight="1" s="60">
      <c r="A732" s="41" t="n"/>
      <c r="B732" s="41" t="n"/>
    </row>
    <row r="733" ht="15.75" customHeight="1" s="60">
      <c r="A733" s="41" t="n"/>
      <c r="B733" s="41" t="n"/>
    </row>
    <row r="734" ht="15.75" customHeight="1" s="60">
      <c r="A734" s="41" t="n"/>
      <c r="B734" s="41" t="n"/>
    </row>
    <row r="735" ht="15.75" customHeight="1" s="60">
      <c r="A735" s="41" t="n"/>
      <c r="B735" s="41" t="n"/>
    </row>
    <row r="736" ht="15.75" customHeight="1" s="60">
      <c r="A736" s="41" t="n"/>
      <c r="B736" s="41" t="n"/>
    </row>
    <row r="737" ht="15.75" customHeight="1" s="60">
      <c r="A737" s="41" t="n"/>
      <c r="B737" s="41" t="n"/>
    </row>
    <row r="738" ht="15.75" customHeight="1" s="60">
      <c r="A738" s="41" t="n"/>
      <c r="B738" s="41" t="n"/>
    </row>
    <row r="739" ht="15.75" customHeight="1" s="60">
      <c r="A739" s="41" t="n"/>
      <c r="B739" s="41" t="n"/>
    </row>
    <row r="740" ht="15.75" customHeight="1" s="60">
      <c r="A740" s="41" t="n"/>
      <c r="B740" s="41" t="n"/>
    </row>
    <row r="741" ht="15.75" customHeight="1" s="60">
      <c r="A741" s="41" t="n"/>
      <c r="B741" s="41" t="n"/>
    </row>
    <row r="742" ht="15.75" customHeight="1" s="60">
      <c r="A742" s="41" t="n"/>
      <c r="B742" s="41" t="n"/>
    </row>
    <row r="743" ht="15.75" customHeight="1" s="60">
      <c r="A743" s="41" t="n"/>
      <c r="B743" s="41" t="n"/>
    </row>
    <row r="744" ht="15.75" customHeight="1" s="60">
      <c r="A744" s="41" t="n"/>
      <c r="B744" s="41" t="n"/>
    </row>
    <row r="745" ht="15.75" customHeight="1" s="60">
      <c r="A745" s="41" t="n"/>
      <c r="B745" s="41" t="n"/>
    </row>
    <row r="746" ht="15.75" customHeight="1" s="60">
      <c r="A746" s="41" t="n"/>
      <c r="B746" s="41" t="n"/>
    </row>
    <row r="747" ht="15.75" customHeight="1" s="60">
      <c r="A747" s="41" t="n"/>
      <c r="B747" s="41" t="n"/>
    </row>
    <row r="748" ht="15.75" customHeight="1" s="60">
      <c r="A748" s="41" t="n"/>
      <c r="B748" s="41" t="n"/>
    </row>
    <row r="749" ht="15.75" customHeight="1" s="60">
      <c r="A749" s="41" t="n"/>
      <c r="B749" s="41" t="n"/>
    </row>
    <row r="750" ht="15.75" customHeight="1" s="60">
      <c r="A750" s="41" t="n"/>
      <c r="B750" s="41" t="n"/>
    </row>
    <row r="751" ht="15.75" customHeight="1" s="60">
      <c r="A751" s="41" t="n"/>
      <c r="B751" s="41" t="n"/>
    </row>
    <row r="752" ht="15.75" customHeight="1" s="60">
      <c r="A752" s="41" t="n"/>
      <c r="B752" s="41" t="n"/>
    </row>
    <row r="753" ht="15.75" customHeight="1" s="60">
      <c r="A753" s="41" t="n"/>
      <c r="B753" s="41" t="n"/>
    </row>
    <row r="754" ht="15.75" customHeight="1" s="60">
      <c r="A754" s="41" t="n"/>
      <c r="B754" s="41" t="n"/>
    </row>
    <row r="755" ht="15.75" customHeight="1" s="60">
      <c r="A755" s="41" t="n"/>
      <c r="B755" s="41" t="n"/>
    </row>
    <row r="756" ht="15.75" customHeight="1" s="60">
      <c r="A756" s="41" t="n"/>
      <c r="B756" s="41" t="n"/>
    </row>
    <row r="757" ht="15.75" customHeight="1" s="60">
      <c r="A757" s="41" t="n"/>
      <c r="B757" s="41" t="n"/>
    </row>
    <row r="758" ht="15.75" customHeight="1" s="60">
      <c r="A758" s="41" t="n"/>
      <c r="B758" s="41" t="n"/>
    </row>
    <row r="759" ht="15.75" customHeight="1" s="60">
      <c r="A759" s="41" t="n"/>
      <c r="B759" s="41" t="n"/>
    </row>
    <row r="760" ht="15.75" customHeight="1" s="60">
      <c r="A760" s="41" t="n"/>
      <c r="B760" s="41" t="n"/>
    </row>
    <row r="761" ht="15.75" customHeight="1" s="60">
      <c r="A761" s="41" t="n"/>
      <c r="B761" s="41" t="n"/>
    </row>
    <row r="762" ht="15.75" customHeight="1" s="60">
      <c r="A762" s="41" t="n"/>
      <c r="B762" s="41" t="n"/>
    </row>
    <row r="763" ht="15.75" customHeight="1" s="60">
      <c r="A763" s="41" t="n"/>
      <c r="B763" s="41" t="n"/>
    </row>
    <row r="764" ht="15.75" customHeight="1" s="60">
      <c r="A764" s="41" t="n"/>
      <c r="B764" s="41" t="n"/>
    </row>
    <row r="765" ht="15.75" customHeight="1" s="60">
      <c r="A765" s="41" t="n"/>
      <c r="B765" s="41" t="n"/>
    </row>
    <row r="766" ht="15.75" customHeight="1" s="60">
      <c r="A766" s="41" t="n"/>
      <c r="B766" s="41" t="n"/>
    </row>
    <row r="767" ht="15.75" customHeight="1" s="60">
      <c r="A767" s="41" t="n"/>
      <c r="B767" s="41" t="n"/>
    </row>
    <row r="768" ht="15.75" customHeight="1" s="60">
      <c r="A768" s="41" t="n"/>
      <c r="B768" s="41" t="n"/>
    </row>
    <row r="769" ht="15.75" customHeight="1" s="60">
      <c r="A769" s="41" t="n"/>
      <c r="B769" s="41" t="n"/>
    </row>
    <row r="770" ht="15.75" customHeight="1" s="60">
      <c r="A770" s="41" t="n"/>
      <c r="B770" s="41" t="n"/>
    </row>
    <row r="771" ht="15.75" customHeight="1" s="60">
      <c r="A771" s="41" t="n"/>
      <c r="B771" s="41" t="n"/>
    </row>
    <row r="772" ht="15.75" customHeight="1" s="60">
      <c r="A772" s="41" t="n"/>
      <c r="B772" s="41" t="n"/>
    </row>
    <row r="773" ht="15.75" customHeight="1" s="60">
      <c r="A773" s="41" t="n"/>
      <c r="B773" s="41" t="n"/>
    </row>
    <row r="774" ht="15.75" customHeight="1" s="60">
      <c r="A774" s="41" t="n"/>
      <c r="B774" s="41" t="n"/>
    </row>
    <row r="775" ht="15.75" customHeight="1" s="60">
      <c r="A775" s="41" t="n"/>
      <c r="B775" s="41" t="n"/>
    </row>
    <row r="776" ht="15.75" customHeight="1" s="60">
      <c r="A776" s="41" t="n"/>
      <c r="B776" s="41" t="n"/>
    </row>
    <row r="777" ht="15.75" customHeight="1" s="60">
      <c r="A777" s="41" t="n"/>
      <c r="B777" s="41" t="n"/>
    </row>
    <row r="778" ht="15.75" customHeight="1" s="60">
      <c r="A778" s="41" t="n"/>
      <c r="B778" s="41" t="n"/>
    </row>
    <row r="779" ht="15.75" customHeight="1" s="60">
      <c r="A779" s="41" t="n"/>
      <c r="B779" s="41" t="n"/>
    </row>
    <row r="780" ht="15.75" customHeight="1" s="60">
      <c r="A780" s="41" t="n"/>
      <c r="B780" s="41" t="n"/>
    </row>
    <row r="781" ht="15.75" customHeight="1" s="60">
      <c r="A781" s="41" t="n"/>
      <c r="B781" s="41" t="n"/>
    </row>
    <row r="782" ht="15.75" customHeight="1" s="60">
      <c r="A782" s="41" t="n"/>
      <c r="B782" s="41" t="n"/>
    </row>
    <row r="783" ht="15.75" customHeight="1" s="60">
      <c r="A783" s="41" t="n"/>
      <c r="B783" s="41" t="n"/>
    </row>
    <row r="784" ht="15.75" customHeight="1" s="60">
      <c r="A784" s="41" t="n"/>
      <c r="B784" s="41" t="n"/>
    </row>
    <row r="785" ht="15.75" customHeight="1" s="60">
      <c r="A785" s="41" t="n"/>
      <c r="B785" s="41" t="n"/>
    </row>
    <row r="786" ht="15.75" customHeight="1" s="60">
      <c r="A786" s="41" t="n"/>
      <c r="B786" s="41" t="n"/>
    </row>
    <row r="787" ht="15.75" customHeight="1" s="60">
      <c r="A787" s="41" t="n"/>
      <c r="B787" s="41" t="n"/>
    </row>
    <row r="788" ht="15.75" customHeight="1" s="60">
      <c r="A788" s="41" t="n"/>
      <c r="B788" s="41" t="n"/>
    </row>
    <row r="789" ht="15.75" customHeight="1" s="60">
      <c r="A789" s="41" t="n"/>
      <c r="B789" s="41" t="n"/>
    </row>
    <row r="790" ht="15.75" customHeight="1" s="60">
      <c r="A790" s="41" t="n"/>
      <c r="B790" s="41" t="n"/>
    </row>
    <row r="791" ht="15.75" customHeight="1" s="60">
      <c r="A791" s="41" t="n"/>
      <c r="B791" s="41" t="n"/>
    </row>
    <row r="792" ht="15.75" customHeight="1" s="60">
      <c r="A792" s="41" t="n"/>
      <c r="B792" s="41" t="n"/>
    </row>
    <row r="793" ht="15.75" customHeight="1" s="60">
      <c r="A793" s="41" t="n"/>
      <c r="B793" s="41" t="n"/>
    </row>
    <row r="794" ht="15.75" customHeight="1" s="60">
      <c r="A794" s="41" t="n"/>
      <c r="B794" s="41" t="n"/>
    </row>
    <row r="795" ht="15.75" customHeight="1" s="60">
      <c r="A795" s="41" t="n"/>
      <c r="B795" s="41" t="n"/>
    </row>
    <row r="796" ht="15.75" customHeight="1" s="60">
      <c r="A796" s="41" t="n"/>
      <c r="B796" s="41" t="n"/>
    </row>
    <row r="797" ht="15.75" customHeight="1" s="60">
      <c r="A797" s="41" t="n"/>
      <c r="B797" s="41" t="n"/>
    </row>
    <row r="798" ht="15.75" customHeight="1" s="60">
      <c r="A798" s="41" t="n"/>
      <c r="B798" s="41" t="n"/>
    </row>
    <row r="799" ht="15.75" customHeight="1" s="60">
      <c r="A799" s="41" t="n"/>
      <c r="B799" s="41" t="n"/>
    </row>
    <row r="800" ht="15.75" customHeight="1" s="60">
      <c r="A800" s="41" t="n"/>
      <c r="B800" s="41" t="n"/>
    </row>
    <row r="801" ht="15.75" customHeight="1" s="60">
      <c r="A801" s="41" t="n"/>
      <c r="B801" s="41" t="n"/>
    </row>
    <row r="802" ht="15.75" customHeight="1" s="60">
      <c r="A802" s="41" t="n"/>
      <c r="B802" s="41" t="n"/>
    </row>
    <row r="803" ht="15.75" customHeight="1" s="60">
      <c r="A803" s="41" t="n"/>
      <c r="B803" s="41" t="n"/>
    </row>
    <row r="804" ht="15.75" customHeight="1" s="60">
      <c r="A804" s="41" t="n"/>
      <c r="B804" s="41" t="n"/>
    </row>
    <row r="805" ht="15.75" customHeight="1" s="60">
      <c r="A805" s="41" t="n"/>
      <c r="B805" s="41" t="n"/>
    </row>
    <row r="806" ht="15.75" customHeight="1" s="60">
      <c r="A806" s="41" t="n"/>
      <c r="B806" s="41" t="n"/>
    </row>
    <row r="807" ht="15.75" customHeight="1" s="60">
      <c r="A807" s="41" t="n"/>
      <c r="B807" s="41" t="n"/>
    </row>
    <row r="808" ht="15.75" customHeight="1" s="60">
      <c r="A808" s="41" t="n"/>
      <c r="B808" s="41" t="n"/>
    </row>
    <row r="809" ht="15.75" customHeight="1" s="60">
      <c r="A809" s="41" t="n"/>
      <c r="B809" s="41" t="n"/>
    </row>
    <row r="810" ht="15.75" customHeight="1" s="60">
      <c r="A810" s="41" t="n"/>
      <c r="B810" s="41" t="n"/>
    </row>
    <row r="811" ht="15.75" customHeight="1" s="60">
      <c r="A811" s="41" t="n"/>
      <c r="B811" s="41" t="n"/>
    </row>
    <row r="812" ht="15.75" customHeight="1" s="60">
      <c r="A812" s="41" t="n"/>
      <c r="B812" s="41" t="n"/>
    </row>
    <row r="813" ht="15.75" customHeight="1" s="60">
      <c r="A813" s="41" t="n"/>
      <c r="B813" s="41" t="n"/>
    </row>
    <row r="814" ht="15.75" customHeight="1" s="60">
      <c r="A814" s="41" t="n"/>
      <c r="B814" s="41" t="n"/>
    </row>
    <row r="815" ht="15.75" customHeight="1" s="60">
      <c r="A815" s="41" t="n"/>
      <c r="B815" s="41" t="n"/>
    </row>
    <row r="816" ht="15.75" customHeight="1" s="60">
      <c r="A816" s="41" t="n"/>
      <c r="B816" s="41" t="n"/>
    </row>
    <row r="817" ht="15.75" customHeight="1" s="60">
      <c r="A817" s="41" t="n"/>
      <c r="B817" s="41" t="n"/>
    </row>
    <row r="818" ht="15.75" customHeight="1" s="60">
      <c r="A818" s="41" t="n"/>
      <c r="B818" s="41" t="n"/>
    </row>
    <row r="819" ht="15.75" customHeight="1" s="60">
      <c r="A819" s="41" t="n"/>
      <c r="B819" s="41" t="n"/>
    </row>
    <row r="820" ht="15.75" customHeight="1" s="60">
      <c r="A820" s="41" t="n"/>
      <c r="B820" s="41" t="n"/>
    </row>
    <row r="821" ht="15.75" customHeight="1" s="60">
      <c r="A821" s="41" t="n"/>
      <c r="B821" s="41" t="n"/>
    </row>
    <row r="822" ht="15.75" customHeight="1" s="60">
      <c r="A822" s="41" t="n"/>
      <c r="B822" s="41" t="n"/>
    </row>
    <row r="823" ht="15.75" customHeight="1" s="60">
      <c r="A823" s="41" t="n"/>
      <c r="B823" s="41" t="n"/>
    </row>
    <row r="824" ht="15.75" customHeight="1" s="60">
      <c r="A824" s="41" t="n"/>
      <c r="B824" s="41" t="n"/>
    </row>
    <row r="825" ht="15.75" customHeight="1" s="60">
      <c r="A825" s="41" t="n"/>
      <c r="B825" s="41" t="n"/>
    </row>
    <row r="826" ht="15.75" customHeight="1" s="60">
      <c r="A826" s="41" t="n"/>
      <c r="B826" s="41" t="n"/>
    </row>
    <row r="827" ht="15.75" customHeight="1" s="60">
      <c r="A827" s="41" t="n"/>
      <c r="B827" s="41" t="n"/>
    </row>
    <row r="828" ht="15.75" customHeight="1" s="60">
      <c r="A828" s="41" t="n"/>
      <c r="B828" s="41" t="n"/>
    </row>
    <row r="829" ht="15.75" customHeight="1" s="60">
      <c r="A829" s="41" t="n"/>
      <c r="B829" s="41" t="n"/>
    </row>
    <row r="830" ht="15.75" customHeight="1" s="60">
      <c r="A830" s="41" t="n"/>
      <c r="B830" s="41" t="n"/>
    </row>
    <row r="831" ht="15.75" customHeight="1" s="60">
      <c r="A831" s="41" t="n"/>
      <c r="B831" s="41" t="n"/>
    </row>
    <row r="832" ht="15.75" customHeight="1" s="60">
      <c r="A832" s="41" t="n"/>
      <c r="B832" s="41" t="n"/>
    </row>
    <row r="833" ht="15.75" customHeight="1" s="60">
      <c r="A833" s="41" t="n"/>
      <c r="B833" s="41" t="n"/>
    </row>
    <row r="834" ht="15.75" customHeight="1" s="60">
      <c r="A834" s="41" t="n"/>
      <c r="B834" s="41" t="n"/>
    </row>
    <row r="835" ht="15.75" customHeight="1" s="60">
      <c r="A835" s="41" t="n"/>
      <c r="B835" s="41" t="n"/>
    </row>
    <row r="836" ht="15.75" customHeight="1" s="60">
      <c r="A836" s="41" t="n"/>
      <c r="B836" s="41" t="n"/>
    </row>
    <row r="837" ht="15.75" customHeight="1" s="60">
      <c r="A837" s="41" t="n"/>
      <c r="B837" s="41" t="n"/>
    </row>
    <row r="838" ht="15.75" customHeight="1" s="60">
      <c r="A838" s="41" t="n"/>
      <c r="B838" s="41" t="n"/>
    </row>
    <row r="839" ht="15.75" customHeight="1" s="60">
      <c r="A839" s="41" t="n"/>
      <c r="B839" s="41" t="n"/>
    </row>
    <row r="840" ht="15.75" customHeight="1" s="60">
      <c r="A840" s="41" t="n"/>
      <c r="B840" s="41" t="n"/>
    </row>
    <row r="841" ht="15.75" customHeight="1" s="60">
      <c r="A841" s="41" t="n"/>
      <c r="B841" s="41" t="n"/>
    </row>
    <row r="842" ht="15.75" customHeight="1" s="60">
      <c r="A842" s="41" t="n"/>
      <c r="B842" s="41" t="n"/>
    </row>
    <row r="843" ht="15.75" customHeight="1" s="60">
      <c r="A843" s="41" t="n"/>
      <c r="B843" s="41" t="n"/>
    </row>
    <row r="844" ht="15.75" customHeight="1" s="60">
      <c r="A844" s="41" t="n"/>
      <c r="B844" s="41" t="n"/>
    </row>
    <row r="845" ht="15.75" customHeight="1" s="60">
      <c r="A845" s="41" t="n"/>
      <c r="B845" s="41" t="n"/>
    </row>
    <row r="846" ht="15.75" customHeight="1" s="60">
      <c r="A846" s="41" t="n"/>
      <c r="B846" s="41" t="n"/>
    </row>
    <row r="847" ht="15.75" customHeight="1" s="60">
      <c r="A847" s="41" t="n"/>
      <c r="B847" s="41" t="n"/>
    </row>
    <row r="848" ht="15.75" customHeight="1" s="60">
      <c r="A848" s="41" t="n"/>
      <c r="B848" s="41" t="n"/>
    </row>
    <row r="849" ht="15.75" customHeight="1" s="60">
      <c r="A849" s="41" t="n"/>
      <c r="B849" s="41" t="n"/>
    </row>
    <row r="850" ht="15.75" customHeight="1" s="60">
      <c r="A850" s="41" t="n"/>
      <c r="B850" s="41" t="n"/>
    </row>
    <row r="851" ht="15.75" customHeight="1" s="60">
      <c r="A851" s="41" t="n"/>
      <c r="B851" s="41" t="n"/>
    </row>
    <row r="852" ht="15.75" customHeight="1" s="60">
      <c r="A852" s="41" t="n"/>
      <c r="B852" s="41" t="n"/>
    </row>
    <row r="853" ht="15.75" customHeight="1" s="60">
      <c r="A853" s="41" t="n"/>
      <c r="B853" s="41" t="n"/>
    </row>
    <row r="854" ht="15.75" customHeight="1" s="60">
      <c r="A854" s="41" t="n"/>
      <c r="B854" s="41" t="n"/>
    </row>
    <row r="855" ht="15.75" customHeight="1" s="60">
      <c r="A855" s="41" t="n"/>
      <c r="B855" s="41" t="n"/>
    </row>
    <row r="856" ht="15.75" customHeight="1" s="60">
      <c r="A856" s="41" t="n"/>
      <c r="B856" s="41" t="n"/>
    </row>
    <row r="857" ht="15.75" customHeight="1" s="60">
      <c r="A857" s="41" t="n"/>
      <c r="B857" s="41" t="n"/>
    </row>
    <row r="858" ht="15.75" customHeight="1" s="60">
      <c r="A858" s="41" t="n"/>
      <c r="B858" s="41" t="n"/>
    </row>
    <row r="859" ht="15.75" customHeight="1" s="60">
      <c r="A859" s="41" t="n"/>
      <c r="B859" s="41" t="n"/>
    </row>
    <row r="860" ht="15.75" customHeight="1" s="60">
      <c r="A860" s="41" t="n"/>
      <c r="B860" s="41" t="n"/>
    </row>
    <row r="861" ht="15.75" customHeight="1" s="60">
      <c r="A861" s="41" t="n"/>
      <c r="B861" s="41" t="n"/>
    </row>
    <row r="862" ht="15.75" customHeight="1" s="60">
      <c r="A862" s="41" t="n"/>
      <c r="B862" s="41" t="n"/>
    </row>
    <row r="863" ht="15.75" customHeight="1" s="60">
      <c r="A863" s="41" t="n"/>
      <c r="B863" s="41" t="n"/>
    </row>
    <row r="864" ht="15.75" customHeight="1" s="60">
      <c r="A864" s="41" t="n"/>
      <c r="B864" s="41" t="n"/>
    </row>
    <row r="865" ht="15.75" customHeight="1" s="60">
      <c r="A865" s="41" t="n"/>
      <c r="B865" s="41" t="n"/>
    </row>
    <row r="866" ht="15.75" customHeight="1" s="60">
      <c r="A866" s="41" t="n"/>
      <c r="B866" s="41" t="n"/>
    </row>
    <row r="867" ht="15.75" customHeight="1" s="60">
      <c r="A867" s="41" t="n"/>
      <c r="B867" s="41" t="n"/>
    </row>
    <row r="868" ht="15.75" customHeight="1" s="60">
      <c r="A868" s="41" t="n"/>
      <c r="B868" s="41" t="n"/>
    </row>
    <row r="869" ht="15.75" customHeight="1" s="60">
      <c r="A869" s="41" t="n"/>
      <c r="B869" s="41" t="n"/>
    </row>
    <row r="870" ht="15.75" customHeight="1" s="60">
      <c r="A870" s="41" t="n"/>
      <c r="B870" s="41" t="n"/>
    </row>
    <row r="871" ht="15.75" customHeight="1" s="60">
      <c r="A871" s="41" t="n"/>
      <c r="B871" s="41" t="n"/>
    </row>
    <row r="872" ht="15.75" customHeight="1" s="60">
      <c r="A872" s="41" t="n"/>
      <c r="B872" s="41" t="n"/>
    </row>
    <row r="873" ht="15.75" customHeight="1" s="60">
      <c r="A873" s="41" t="n"/>
      <c r="B873" s="41" t="n"/>
    </row>
    <row r="874" ht="15.75" customHeight="1" s="60">
      <c r="A874" s="41" t="n"/>
      <c r="B874" s="41" t="n"/>
    </row>
    <row r="875" ht="15.75" customHeight="1" s="60">
      <c r="A875" s="41" t="n"/>
      <c r="B875" s="41" t="n"/>
    </row>
    <row r="876" ht="15.75" customHeight="1" s="60">
      <c r="A876" s="41" t="n"/>
      <c r="B876" s="41" t="n"/>
    </row>
    <row r="877" ht="15.75" customHeight="1" s="60">
      <c r="A877" s="41" t="n"/>
      <c r="B877" s="41" t="n"/>
    </row>
    <row r="878" ht="15.75" customHeight="1" s="60">
      <c r="A878" s="41" t="n"/>
      <c r="B878" s="41" t="n"/>
    </row>
    <row r="879" ht="15.75" customHeight="1" s="60">
      <c r="A879" s="41" t="n"/>
      <c r="B879" s="41" t="n"/>
    </row>
    <row r="880" ht="15.75" customHeight="1" s="60">
      <c r="A880" s="41" t="n"/>
      <c r="B880" s="41" t="n"/>
    </row>
    <row r="881" ht="15.75" customHeight="1" s="60">
      <c r="A881" s="41" t="n"/>
      <c r="B881" s="41" t="n"/>
    </row>
    <row r="882" ht="15.75" customHeight="1" s="60">
      <c r="A882" s="41" t="n"/>
      <c r="B882" s="41" t="n"/>
    </row>
    <row r="883" ht="15.75" customHeight="1" s="60">
      <c r="A883" s="41" t="n"/>
      <c r="B883" s="41" t="n"/>
    </row>
    <row r="884" ht="15.75" customHeight="1" s="60">
      <c r="A884" s="41" t="n"/>
      <c r="B884" s="41" t="n"/>
    </row>
    <row r="885" ht="15.75" customHeight="1" s="60">
      <c r="A885" s="41" t="n"/>
      <c r="B885" s="41" t="n"/>
    </row>
    <row r="886" ht="15.75" customHeight="1" s="60">
      <c r="A886" s="41" t="n"/>
      <c r="B886" s="41" t="n"/>
    </row>
    <row r="887" ht="15.75" customHeight="1" s="60">
      <c r="A887" s="41" t="n"/>
      <c r="B887" s="41" t="n"/>
    </row>
    <row r="888" ht="15.75" customHeight="1" s="60">
      <c r="A888" s="41" t="n"/>
      <c r="B888" s="41" t="n"/>
    </row>
    <row r="889" ht="15.75" customHeight="1" s="60">
      <c r="A889" s="41" t="n"/>
      <c r="B889" s="41" t="n"/>
    </row>
    <row r="890" ht="15.75" customHeight="1" s="60">
      <c r="A890" s="41" t="n"/>
      <c r="B890" s="41" t="n"/>
    </row>
    <row r="891" ht="15.75" customHeight="1" s="60">
      <c r="A891" s="41" t="n"/>
      <c r="B891" s="41" t="n"/>
    </row>
    <row r="892" ht="15.75" customHeight="1" s="60">
      <c r="A892" s="41" t="n"/>
      <c r="B892" s="41" t="n"/>
    </row>
    <row r="893" ht="15.75" customHeight="1" s="60">
      <c r="A893" s="41" t="n"/>
      <c r="B893" s="41" t="n"/>
    </row>
    <row r="894" ht="15.75" customHeight="1" s="60">
      <c r="A894" s="41" t="n"/>
      <c r="B894" s="41" t="n"/>
    </row>
    <row r="895" ht="15.75" customHeight="1" s="60">
      <c r="A895" s="41" t="n"/>
      <c r="B895" s="41" t="n"/>
    </row>
    <row r="896" ht="15.75" customHeight="1" s="60">
      <c r="A896" s="41" t="n"/>
      <c r="B896" s="41" t="n"/>
    </row>
    <row r="897" ht="15.75" customHeight="1" s="60">
      <c r="A897" s="41" t="n"/>
      <c r="B897" s="41" t="n"/>
    </row>
    <row r="898" ht="15.75" customHeight="1" s="60">
      <c r="A898" s="41" t="n"/>
      <c r="B898" s="41" t="n"/>
    </row>
    <row r="899" ht="15.75" customHeight="1" s="60">
      <c r="A899" s="41" t="n"/>
      <c r="B899" s="41" t="n"/>
    </row>
    <row r="900" ht="15.75" customHeight="1" s="60">
      <c r="A900" s="41" t="n"/>
      <c r="B900" s="41" t="n"/>
    </row>
    <row r="901" ht="15.75" customHeight="1" s="60">
      <c r="A901" s="41" t="n"/>
      <c r="B901" s="41" t="n"/>
    </row>
    <row r="902" ht="15.75" customHeight="1" s="60">
      <c r="A902" s="41" t="n"/>
      <c r="B902" s="41" t="n"/>
    </row>
    <row r="903" ht="15.75" customHeight="1" s="60">
      <c r="A903" s="41" t="n"/>
      <c r="B903" s="41" t="n"/>
    </row>
    <row r="904" ht="15.75" customHeight="1" s="60">
      <c r="A904" s="41" t="n"/>
      <c r="B904" s="41" t="n"/>
    </row>
    <row r="905" ht="15.75" customHeight="1" s="60">
      <c r="A905" s="41" t="n"/>
      <c r="B905" s="41" t="n"/>
    </row>
    <row r="906" ht="15.75" customHeight="1" s="60">
      <c r="A906" s="41" t="n"/>
      <c r="B906" s="41" t="n"/>
    </row>
    <row r="907" ht="15.75" customHeight="1" s="60">
      <c r="A907" s="41" t="n"/>
      <c r="B907" s="41" t="n"/>
    </row>
    <row r="908" ht="15.75" customHeight="1" s="60">
      <c r="A908" s="41" t="n"/>
      <c r="B908" s="41" t="n"/>
    </row>
    <row r="909" ht="15.75" customHeight="1" s="60">
      <c r="A909" s="41" t="n"/>
      <c r="B909" s="41" t="n"/>
    </row>
    <row r="910" ht="15.75" customHeight="1" s="60">
      <c r="A910" s="41" t="n"/>
      <c r="B910" s="41" t="n"/>
    </row>
    <row r="911" ht="15.75" customHeight="1" s="60">
      <c r="A911" s="41" t="n"/>
      <c r="B911" s="41" t="n"/>
    </row>
    <row r="912" ht="15.75" customHeight="1" s="60">
      <c r="A912" s="41" t="n"/>
      <c r="B912" s="41" t="n"/>
    </row>
    <row r="913" ht="15.75" customHeight="1" s="60">
      <c r="A913" s="41" t="n"/>
      <c r="B913" s="41" t="n"/>
    </row>
    <row r="914" ht="15.75" customHeight="1" s="60">
      <c r="A914" s="41" t="n"/>
      <c r="B914" s="41" t="n"/>
    </row>
    <row r="915" ht="15.75" customHeight="1" s="60">
      <c r="A915" s="41" t="n"/>
      <c r="B915" s="41" t="n"/>
    </row>
    <row r="916" ht="15.75" customHeight="1" s="60">
      <c r="A916" s="41" t="n"/>
      <c r="B916" s="41" t="n"/>
    </row>
    <row r="917" ht="15.75" customHeight="1" s="60">
      <c r="A917" s="41" t="n"/>
      <c r="B917" s="41" t="n"/>
    </row>
    <row r="918" ht="15.75" customHeight="1" s="60">
      <c r="A918" s="41" t="n"/>
      <c r="B918" s="41" t="n"/>
    </row>
    <row r="919" ht="15.75" customHeight="1" s="60">
      <c r="A919" s="41" t="n"/>
      <c r="B919" s="41" t="n"/>
    </row>
    <row r="920" ht="15.75" customHeight="1" s="60">
      <c r="A920" s="41" t="n"/>
      <c r="B920" s="41" t="n"/>
    </row>
    <row r="921" ht="15.75" customHeight="1" s="60">
      <c r="A921" s="41" t="n"/>
      <c r="B921" s="41" t="n"/>
    </row>
    <row r="922" ht="15.75" customHeight="1" s="60">
      <c r="A922" s="41" t="n"/>
      <c r="B922" s="41" t="n"/>
    </row>
    <row r="923" ht="15.75" customHeight="1" s="60">
      <c r="A923" s="41" t="n"/>
      <c r="B923" s="41" t="n"/>
    </row>
    <row r="924" ht="15.75" customHeight="1" s="60">
      <c r="A924" s="41" t="n"/>
      <c r="B924" s="41" t="n"/>
    </row>
    <row r="925" ht="15.75" customHeight="1" s="60">
      <c r="A925" s="41" t="n"/>
      <c r="B925" s="41" t="n"/>
    </row>
    <row r="926" ht="15.75" customHeight="1" s="60">
      <c r="A926" s="41" t="n"/>
      <c r="B926" s="41" t="n"/>
    </row>
    <row r="927" ht="15.75" customHeight="1" s="60">
      <c r="A927" s="41" t="n"/>
      <c r="B927" s="41" t="n"/>
    </row>
    <row r="928" ht="15.75" customHeight="1" s="60">
      <c r="A928" s="41" t="n"/>
      <c r="B928" s="41" t="n"/>
    </row>
    <row r="929" ht="15.75" customHeight="1" s="60">
      <c r="A929" s="41" t="n"/>
      <c r="B929" s="41" t="n"/>
    </row>
    <row r="930" ht="15.75" customHeight="1" s="60">
      <c r="A930" s="41" t="n"/>
      <c r="B930" s="41" t="n"/>
    </row>
    <row r="931" ht="15.75" customHeight="1" s="60">
      <c r="A931" s="41" t="n"/>
      <c r="B931" s="41" t="n"/>
    </row>
    <row r="932" ht="15.75" customHeight="1" s="60">
      <c r="A932" s="41" t="n"/>
      <c r="B932" s="41" t="n"/>
    </row>
    <row r="933" ht="15.75" customHeight="1" s="60">
      <c r="A933" s="41" t="n"/>
      <c r="B933" s="41" t="n"/>
    </row>
    <row r="934" ht="15.75" customHeight="1" s="60">
      <c r="A934" s="41" t="n"/>
      <c r="B934" s="41" t="n"/>
    </row>
    <row r="935" ht="15.75" customHeight="1" s="60">
      <c r="A935" s="41" t="n"/>
      <c r="B935" s="41" t="n"/>
    </row>
    <row r="936" ht="15.75" customHeight="1" s="60">
      <c r="A936" s="41" t="n"/>
      <c r="B936" s="41" t="n"/>
    </row>
    <row r="937" ht="15.75" customHeight="1" s="60">
      <c r="A937" s="41" t="n"/>
      <c r="B937" s="41" t="n"/>
    </row>
    <row r="938" ht="15.75" customHeight="1" s="60">
      <c r="A938" s="41" t="n"/>
      <c r="B938" s="41" t="n"/>
    </row>
    <row r="939" ht="15.75" customHeight="1" s="60">
      <c r="A939" s="41" t="n"/>
      <c r="B939" s="41" t="n"/>
    </row>
    <row r="940" ht="15.75" customHeight="1" s="60">
      <c r="A940" s="41" t="n"/>
      <c r="B940" s="41" t="n"/>
    </row>
    <row r="941" ht="15.75" customHeight="1" s="60">
      <c r="A941" s="41" t="n"/>
      <c r="B941" s="41" t="n"/>
    </row>
    <row r="942" ht="15.75" customHeight="1" s="60">
      <c r="A942" s="41" t="n"/>
      <c r="B942" s="41" t="n"/>
    </row>
    <row r="943" ht="15.75" customHeight="1" s="60">
      <c r="A943" s="41" t="n"/>
      <c r="B943" s="41" t="n"/>
    </row>
    <row r="944" ht="15.75" customHeight="1" s="60">
      <c r="A944" s="41" t="n"/>
      <c r="B944" s="41" t="n"/>
    </row>
    <row r="945" ht="15.75" customHeight="1" s="60">
      <c r="A945" s="41" t="n"/>
      <c r="B945" s="41" t="n"/>
    </row>
    <row r="946" ht="15.75" customHeight="1" s="60">
      <c r="A946" s="41" t="n"/>
      <c r="B946" s="41" t="n"/>
    </row>
    <row r="947" ht="15.75" customHeight="1" s="60">
      <c r="A947" s="41" t="n"/>
      <c r="B947" s="41" t="n"/>
    </row>
    <row r="948" ht="15.75" customHeight="1" s="60">
      <c r="A948" s="41" t="n"/>
      <c r="B948" s="41" t="n"/>
    </row>
    <row r="949" ht="15.75" customHeight="1" s="60">
      <c r="A949" s="41" t="n"/>
      <c r="B949" s="41" t="n"/>
    </row>
    <row r="950" ht="15.75" customHeight="1" s="60">
      <c r="A950" s="41" t="n"/>
      <c r="B950" s="41" t="n"/>
    </row>
    <row r="951" ht="15.75" customHeight="1" s="60">
      <c r="A951" s="41" t="n"/>
      <c r="B951" s="41" t="n"/>
    </row>
    <row r="952" ht="15.75" customHeight="1" s="60">
      <c r="A952" s="41" t="n"/>
      <c r="B952" s="41" t="n"/>
    </row>
    <row r="953" ht="15.75" customHeight="1" s="60">
      <c r="A953" s="41" t="n"/>
      <c r="B953" s="41" t="n"/>
    </row>
    <row r="954" ht="15.75" customHeight="1" s="60">
      <c r="A954" s="41" t="n"/>
      <c r="B954" s="41" t="n"/>
    </row>
    <row r="955" ht="15.75" customHeight="1" s="60">
      <c r="A955" s="41" t="n"/>
      <c r="B955" s="41" t="n"/>
    </row>
    <row r="956" ht="15.75" customHeight="1" s="60">
      <c r="A956" s="41" t="n"/>
      <c r="B956" s="41" t="n"/>
    </row>
    <row r="957" ht="15.75" customHeight="1" s="60">
      <c r="A957" s="41" t="n"/>
      <c r="B957" s="41" t="n"/>
    </row>
    <row r="958" ht="15.75" customHeight="1" s="60">
      <c r="A958" s="41" t="n"/>
      <c r="B958" s="41" t="n"/>
    </row>
    <row r="959" ht="15.75" customHeight="1" s="60">
      <c r="A959" s="41" t="n"/>
      <c r="B959" s="41" t="n"/>
    </row>
    <row r="960" ht="15.75" customHeight="1" s="60">
      <c r="A960" s="41" t="n"/>
      <c r="B960" s="41" t="n"/>
    </row>
    <row r="961" ht="15.75" customHeight="1" s="60">
      <c r="A961" s="41" t="n"/>
      <c r="B961" s="41" t="n"/>
    </row>
    <row r="962" ht="15.75" customHeight="1" s="60">
      <c r="A962" s="41" t="n"/>
      <c r="B962" s="41" t="n"/>
    </row>
    <row r="963" ht="15.75" customHeight="1" s="60">
      <c r="A963" s="41" t="n"/>
      <c r="B963" s="41" t="n"/>
    </row>
    <row r="964" ht="15.75" customHeight="1" s="60">
      <c r="A964" s="41" t="n"/>
      <c r="B964" s="41" t="n"/>
    </row>
    <row r="965" ht="15.75" customHeight="1" s="60">
      <c r="A965" s="41" t="n"/>
      <c r="B965" s="41" t="n"/>
    </row>
    <row r="966" ht="15.75" customHeight="1" s="60">
      <c r="A966" s="41" t="n"/>
      <c r="B966" s="41" t="n"/>
    </row>
    <row r="967" ht="15.75" customHeight="1" s="60">
      <c r="A967" s="41" t="n"/>
      <c r="B967" s="41" t="n"/>
    </row>
    <row r="968" ht="15.75" customHeight="1" s="60">
      <c r="A968" s="41" t="n"/>
      <c r="B968" s="41" t="n"/>
    </row>
    <row r="969" ht="15.75" customHeight="1" s="60">
      <c r="A969" s="41" t="n"/>
      <c r="B969" s="41" t="n"/>
    </row>
    <row r="970" ht="15.75" customHeight="1" s="60">
      <c r="A970" s="41" t="n"/>
      <c r="B970" s="41" t="n"/>
    </row>
    <row r="971" ht="15.75" customHeight="1" s="60">
      <c r="A971" s="41" t="n"/>
      <c r="B971" s="41" t="n"/>
    </row>
    <row r="972" ht="15.75" customHeight="1" s="60">
      <c r="A972" s="41" t="n"/>
      <c r="B972" s="41" t="n"/>
    </row>
    <row r="973" ht="15.75" customHeight="1" s="60">
      <c r="A973" s="41" t="n"/>
      <c r="B973" s="41" t="n"/>
    </row>
    <row r="974" ht="15.75" customHeight="1" s="60">
      <c r="A974" s="41" t="n"/>
      <c r="B974" s="41" t="n"/>
    </row>
    <row r="975" ht="15.75" customHeight="1" s="60">
      <c r="A975" s="41" t="n"/>
      <c r="B975" s="41" t="n"/>
    </row>
    <row r="976" ht="15.75" customHeight="1" s="60">
      <c r="A976" s="41" t="n"/>
      <c r="B976" s="41" t="n"/>
    </row>
    <row r="977" ht="15.75" customHeight="1" s="60">
      <c r="A977" s="41" t="n"/>
      <c r="B977" s="41" t="n"/>
    </row>
    <row r="978" ht="15.75" customHeight="1" s="60">
      <c r="A978" s="41" t="n"/>
      <c r="B978" s="41" t="n"/>
    </row>
    <row r="979" ht="15.75" customHeight="1" s="60">
      <c r="A979" s="41" t="n"/>
      <c r="B979" s="41" t="n"/>
    </row>
    <row r="980" ht="15.75" customHeight="1" s="60">
      <c r="A980" s="41" t="n"/>
      <c r="B980" s="41" t="n"/>
    </row>
    <row r="981" ht="15.75" customHeight="1" s="60">
      <c r="A981" s="41" t="n"/>
      <c r="B981" s="41" t="n"/>
    </row>
    <row r="982" ht="15.75" customHeight="1" s="60">
      <c r="A982" s="41" t="n"/>
      <c r="B982" s="41" t="n"/>
    </row>
    <row r="983" ht="15.75" customHeight="1" s="60">
      <c r="A983" s="41" t="n"/>
      <c r="B983" s="41" t="n"/>
    </row>
    <row r="984" ht="15.75" customHeight="1" s="60">
      <c r="A984" s="41" t="n"/>
      <c r="B984" s="41" t="n"/>
    </row>
    <row r="985" ht="15.75" customHeight="1" s="60">
      <c r="A985" s="41" t="n"/>
      <c r="B985" s="41" t="n"/>
    </row>
    <row r="986" ht="15.75" customHeight="1" s="60">
      <c r="A986" s="41" t="n"/>
      <c r="B986" s="41" t="n"/>
    </row>
    <row r="987" ht="15.75" customHeight="1" s="60">
      <c r="A987" s="41" t="n"/>
      <c r="B987" s="41" t="n"/>
    </row>
    <row r="988" ht="15.75" customHeight="1" s="60">
      <c r="A988" s="41" t="n"/>
      <c r="B988" s="41" t="n"/>
    </row>
    <row r="989" ht="15.75" customHeight="1" s="60">
      <c r="A989" s="41" t="n"/>
      <c r="B989" s="41" t="n"/>
    </row>
    <row r="990" ht="15.75" customHeight="1" s="60">
      <c r="A990" s="41" t="n"/>
      <c r="B990" s="41" t="n"/>
    </row>
    <row r="991" ht="15.75" customHeight="1" s="60">
      <c r="A991" s="41" t="n"/>
      <c r="B991" s="41" t="n"/>
    </row>
    <row r="992" ht="15.75" customHeight="1" s="60">
      <c r="A992" s="41" t="n"/>
      <c r="B992" s="41" t="n"/>
    </row>
    <row r="993" ht="15.75" customHeight="1" s="60">
      <c r="A993" s="41" t="n"/>
      <c r="B993" s="41" t="n"/>
    </row>
    <row r="994" ht="15.75" customHeight="1" s="60">
      <c r="A994" s="41" t="n"/>
      <c r="B994" s="41" t="n"/>
    </row>
    <row r="995" ht="15.75" customHeight="1" s="60">
      <c r="A995" s="41" t="n"/>
      <c r="B995" s="41" t="n"/>
    </row>
    <row r="996" ht="15.75" customHeight="1" s="60">
      <c r="A996" s="41" t="n"/>
      <c r="B996" s="41" t="n"/>
    </row>
    <row r="997" ht="15.75" customHeight="1" s="60">
      <c r="A997" s="41" t="n"/>
      <c r="B997" s="41" t="n"/>
    </row>
    <row r="998" ht="15.75" customHeight="1" s="60">
      <c r="A998" s="41" t="n"/>
      <c r="B998" s="41" t="n"/>
    </row>
    <row r="999" ht="15.75" customHeight="1" s="60">
      <c r="A999" s="41" t="n"/>
      <c r="B999" s="41" t="n"/>
    </row>
    <row r="1000" ht="15.75" customHeight="1" s="60">
      <c r="A1000" s="41" t="n"/>
      <c r="B1000" s="41" t="n"/>
    </row>
  </sheetData>
  <pageMargins left="0.75" right="0.75" top="1" bottom="1" header="0" footer="0"/>
  <pageSetup orientation="portrait" paperSize="9"/>
</worksheet>
</file>

<file path=xl/worksheets/sheet15.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44" customWidth="1" style="60" min="1" max="1"/>
    <col width="18" customWidth="1" style="60" min="2" max="2"/>
    <col width="8.710000000000001" customWidth="1" style="60" min="3" max="26"/>
  </cols>
  <sheetData>
    <row r="1" ht="17.25" customHeight="1" s="60">
      <c r="A1" s="1" t="inlineStr">
        <is>
          <t>WANG RUNCIT (PETTY CASH) — SEMAKAN</t>
        </is>
      </c>
      <c r="B1" s="41" t="n"/>
    </row>
    <row r="2" ht="15" customHeight="1" s="60">
      <c r="A2" s="5" t="inlineStr">
        <is>
          <t>Setiap perbelanjaan runcit dicatat terus: Debit akaun perbelanjaan, Kredit Wang Runcit (1080). Isi semula (float top-up): Debit Wang Runcit, Kredit Bank.</t>
        </is>
      </c>
      <c r="B2" s="41" t="n"/>
    </row>
    <row r="3">
      <c r="A3" s="41" t="n"/>
      <c r="B3" s="41" t="n"/>
    </row>
    <row r="4" ht="15" customHeight="1" s="60">
      <c r="A4" s="10" t="inlineStr">
        <is>
          <t>Float ditetapkan / diisytiharkan (RM) - rujukan sahaja</t>
        </is>
      </c>
      <c r="B4" s="52" t="n">
        <v>500</v>
      </c>
    </row>
    <row r="5" ht="15" customHeight="1" s="60">
      <c r="A5" s="10" t="inlineStr">
        <is>
          <t>Baki mengikut buku (Wang Runcit, kod 1080)</t>
        </is>
      </c>
      <c r="B5" s="53">
        <f>SUMIF(Imbangan_Duga!$A$5:$A$150,1080,Imbangan_Duga!$H$5:$H$150)</f>
        <v/>
      </c>
    </row>
    <row r="6" ht="15" customHeight="1" s="60">
      <c r="A6" s="38" t="inlineStr">
        <is>
          <t>Tarikh pengiraan fizikal terakhir</t>
        </is>
      </c>
      <c r="B6" s="14" t="n"/>
    </row>
    <row r="7" ht="15" customHeight="1" s="60">
      <c r="A7" s="38" t="inlineStr">
        <is>
          <t>Baki dikira semasa pengiraan fizikal (kira duit sebenar dalam tin/peti)</t>
        </is>
      </c>
      <c r="B7" s="52" t="n"/>
    </row>
    <row r="8">
      <c r="A8" s="41" t="n"/>
      <c r="B8" s="41" t="n"/>
    </row>
    <row r="9" ht="15" customHeight="1" s="60">
      <c r="A9" s="10" t="inlineStr">
        <is>
          <t>PERBEZAAN (Baki Buku - Baki Fizikal)</t>
        </is>
      </c>
      <c r="B9" s="47">
        <f>IF(B7="","",B5-B7)</f>
        <v/>
      </c>
    </row>
    <row r="10" ht="15" customHeight="1" s="60">
      <c r="A10" s="10" t="inlineStr">
        <is>
          <t>Status</t>
        </is>
      </c>
      <c r="B10" s="10">
        <f>IF(B7="","BELUM DIKIRA",IF(ROUND(B9,2)=0,"SEPADAN","PERLU SIASAT - lihat lajur Nota di Baris_Transaksi untuk perbelanjaan terbaru"))</f>
        <v/>
      </c>
    </row>
    <row r="11">
      <c r="A11" s="41" t="n"/>
      <c r="B11" s="41" t="n"/>
    </row>
    <row r="12" ht="15" customHeight="1" s="60">
      <c r="A12" s="32" t="inlineStr">
        <is>
          <t>Nota</t>
        </is>
      </c>
      <c r="B12" s="41" t="n"/>
    </row>
    <row r="13" ht="45" customHeight="1" s="60">
      <c r="A13" s="37" t="inlineStr">
        <is>
          <t>Baki Buku di atas ialah baki SEBENAR akaun 1080 dalam lejar - bukan dikira daripada float. Sebelum guna helaian ini, catat SATU transaksi "wujudkan float": Debit Wang Runcit RM{float}, Kredit Bank/Wang Di Tangan RM{float}, dalam Baris_Transaksi. Selepas itu, setiap perbelanjaan runcit ialah Debit akaun perbelanjaan, Kredit Wang Runcit - baki di atas turun sendiri ikut perbelanjaan sebenar, tiada pengiraan tambahan diperlukan.</t>
        </is>
      </c>
      <c r="B13" s="41" t="n"/>
    </row>
    <row r="14">
      <c r="A14" s="41" t="n"/>
      <c r="B14" s="41" t="n"/>
    </row>
    <row r="15">
      <c r="A15" s="41" t="n"/>
      <c r="B15" s="41" t="n"/>
    </row>
    <row r="16">
      <c r="A16" s="41" t="n"/>
      <c r="B16" s="41" t="n"/>
    </row>
    <row r="17">
      <c r="A17" s="41" t="n"/>
      <c r="B17" s="41" t="n"/>
    </row>
    <row r="18">
      <c r="A18" s="41" t="n"/>
      <c r="B18" s="41" t="n"/>
    </row>
    <row r="19">
      <c r="A19" s="41" t="n"/>
      <c r="B19" s="41" t="n"/>
    </row>
    <row r="20">
      <c r="A20" s="41" t="n"/>
      <c r="B20" s="41" t="n"/>
    </row>
    <row r="21" ht="15.75" customHeight="1" s="60">
      <c r="A21" s="41" t="n"/>
      <c r="B21" s="41" t="n"/>
    </row>
    <row r="22" ht="15.75" customHeight="1" s="60">
      <c r="A22" s="41" t="n"/>
      <c r="B22" s="41" t="n"/>
    </row>
    <row r="23" ht="15.75" customHeight="1" s="60">
      <c r="A23" s="41" t="n"/>
      <c r="B23" s="41" t="n"/>
    </row>
    <row r="24" ht="15.75" customHeight="1" s="60">
      <c r="A24" s="41" t="n"/>
      <c r="B24" s="41" t="n"/>
    </row>
    <row r="25" ht="15.75" customHeight="1" s="60">
      <c r="A25" s="41" t="n"/>
      <c r="B25" s="41" t="n"/>
    </row>
    <row r="26" ht="15.75" customHeight="1" s="60">
      <c r="A26" s="41" t="n"/>
      <c r="B26" s="41" t="n"/>
    </row>
    <row r="27" ht="15.75" customHeight="1" s="60">
      <c r="A27" s="41" t="n"/>
      <c r="B27" s="41" t="n"/>
    </row>
    <row r="28" ht="15.75" customHeight="1" s="60">
      <c r="A28" s="41" t="n"/>
      <c r="B28" s="41" t="n"/>
    </row>
    <row r="29" ht="15.75" customHeight="1" s="60">
      <c r="A29" s="41" t="n"/>
      <c r="B29" s="41" t="n"/>
    </row>
    <row r="30" ht="15.75" customHeight="1" s="60">
      <c r="A30" s="41" t="n"/>
      <c r="B30" s="41" t="n"/>
    </row>
    <row r="31" ht="15.75" customHeight="1" s="60">
      <c r="A31" s="41" t="n"/>
      <c r="B31" s="41" t="n"/>
    </row>
    <row r="32" ht="15.75" customHeight="1" s="60">
      <c r="A32" s="41" t="n"/>
      <c r="B32" s="41" t="n"/>
    </row>
    <row r="33" ht="15.75" customHeight="1" s="60">
      <c r="A33" s="41" t="n"/>
      <c r="B33" s="41" t="n"/>
    </row>
    <row r="34" ht="15.75" customHeight="1" s="60">
      <c r="A34" s="41" t="n"/>
      <c r="B34" s="41" t="n"/>
    </row>
    <row r="35" ht="15.75" customHeight="1" s="60">
      <c r="A35" s="41" t="n"/>
      <c r="B35" s="41" t="n"/>
    </row>
    <row r="36" ht="15.75" customHeight="1" s="60">
      <c r="A36" s="41" t="n"/>
      <c r="B36" s="41" t="n"/>
    </row>
    <row r="37" ht="15.75" customHeight="1" s="60">
      <c r="A37" s="41" t="n"/>
      <c r="B37" s="41" t="n"/>
    </row>
    <row r="38" ht="15.75" customHeight="1" s="60">
      <c r="A38" s="41" t="n"/>
      <c r="B38" s="41" t="n"/>
    </row>
    <row r="39" ht="15.75" customHeight="1" s="60">
      <c r="A39" s="41" t="n"/>
      <c r="B39" s="41" t="n"/>
    </row>
    <row r="40" ht="15.75" customHeight="1" s="60">
      <c r="A40" s="41" t="n"/>
      <c r="B40" s="41" t="n"/>
    </row>
    <row r="41" ht="15.75" customHeight="1" s="60">
      <c r="A41" s="41" t="n"/>
      <c r="B41" s="41" t="n"/>
    </row>
    <row r="42" ht="15.75" customHeight="1" s="60">
      <c r="A42" s="41" t="n"/>
      <c r="B42" s="41" t="n"/>
    </row>
    <row r="43" ht="15.75" customHeight="1" s="60">
      <c r="A43" s="41" t="n"/>
      <c r="B43" s="41" t="n"/>
    </row>
    <row r="44" ht="15.75" customHeight="1" s="60">
      <c r="A44" s="41" t="n"/>
      <c r="B44" s="41" t="n"/>
    </row>
    <row r="45" ht="15.75" customHeight="1" s="60">
      <c r="A45" s="41" t="n"/>
      <c r="B45" s="41" t="n"/>
    </row>
    <row r="46" ht="15.75" customHeight="1" s="60">
      <c r="A46" s="41" t="n"/>
      <c r="B46" s="41" t="n"/>
    </row>
    <row r="47" ht="15.75" customHeight="1" s="60">
      <c r="A47" s="41" t="n"/>
      <c r="B47" s="41" t="n"/>
    </row>
    <row r="48" ht="15.75" customHeight="1" s="60">
      <c r="A48" s="41" t="n"/>
      <c r="B48" s="41" t="n"/>
    </row>
    <row r="49" ht="15.75" customHeight="1" s="60">
      <c r="A49" s="41" t="n"/>
      <c r="B49" s="41" t="n"/>
    </row>
    <row r="50" ht="15.75" customHeight="1" s="60">
      <c r="A50" s="41" t="n"/>
      <c r="B50" s="41" t="n"/>
    </row>
    <row r="51" ht="15.75" customHeight="1" s="60">
      <c r="A51" s="41" t="n"/>
      <c r="B51" s="41" t="n"/>
    </row>
    <row r="52" ht="15.75" customHeight="1" s="60">
      <c r="A52" s="41" t="n"/>
      <c r="B52" s="41" t="n"/>
    </row>
    <row r="53" ht="15.75" customHeight="1" s="60">
      <c r="A53" s="41" t="n"/>
      <c r="B53" s="41" t="n"/>
    </row>
    <row r="54" ht="15.75" customHeight="1" s="60">
      <c r="A54" s="41" t="n"/>
      <c r="B54" s="41" t="n"/>
    </row>
    <row r="55" ht="15.75" customHeight="1" s="60">
      <c r="A55" s="41" t="n"/>
      <c r="B55" s="41" t="n"/>
    </row>
    <row r="56" ht="15.75" customHeight="1" s="60">
      <c r="A56" s="41" t="n"/>
      <c r="B56" s="41" t="n"/>
    </row>
    <row r="57" ht="15.75" customHeight="1" s="60">
      <c r="A57" s="41" t="n"/>
      <c r="B57" s="41" t="n"/>
    </row>
    <row r="58" ht="15.75" customHeight="1" s="60">
      <c r="A58" s="41" t="n"/>
      <c r="B58" s="41" t="n"/>
    </row>
    <row r="59" ht="15.75" customHeight="1" s="60">
      <c r="A59" s="41" t="n"/>
      <c r="B59" s="41" t="n"/>
    </row>
    <row r="60" ht="15.75" customHeight="1" s="60">
      <c r="A60" s="41" t="n"/>
      <c r="B60" s="41" t="n"/>
    </row>
    <row r="61" ht="15.75" customHeight="1" s="60">
      <c r="A61" s="41" t="n"/>
      <c r="B61" s="41" t="n"/>
    </row>
    <row r="62" ht="15.75" customHeight="1" s="60">
      <c r="A62" s="41" t="n"/>
      <c r="B62" s="41" t="n"/>
    </row>
    <row r="63" ht="15.75" customHeight="1" s="60">
      <c r="A63" s="41" t="n"/>
      <c r="B63" s="41" t="n"/>
    </row>
    <row r="64" ht="15.75" customHeight="1" s="60">
      <c r="A64" s="41" t="n"/>
      <c r="B64" s="41" t="n"/>
    </row>
    <row r="65" ht="15.75" customHeight="1" s="60">
      <c r="A65" s="41" t="n"/>
      <c r="B65" s="41" t="n"/>
    </row>
    <row r="66" ht="15.75" customHeight="1" s="60">
      <c r="A66" s="41" t="n"/>
      <c r="B66" s="41" t="n"/>
    </row>
    <row r="67" ht="15.75" customHeight="1" s="60">
      <c r="A67" s="41" t="n"/>
      <c r="B67" s="41" t="n"/>
    </row>
    <row r="68" ht="15.75" customHeight="1" s="60">
      <c r="A68" s="41" t="n"/>
      <c r="B68" s="41" t="n"/>
    </row>
    <row r="69" ht="15.75" customHeight="1" s="60">
      <c r="A69" s="41" t="n"/>
      <c r="B69" s="41" t="n"/>
    </row>
    <row r="70" ht="15.75" customHeight="1" s="60">
      <c r="A70" s="41" t="n"/>
      <c r="B70" s="41" t="n"/>
    </row>
    <row r="71" ht="15.75" customHeight="1" s="60">
      <c r="A71" s="41" t="n"/>
      <c r="B71" s="41" t="n"/>
    </row>
    <row r="72" ht="15.75" customHeight="1" s="60">
      <c r="A72" s="41" t="n"/>
      <c r="B72" s="41" t="n"/>
    </row>
    <row r="73" ht="15.75" customHeight="1" s="60">
      <c r="A73" s="41" t="n"/>
      <c r="B73" s="41" t="n"/>
    </row>
    <row r="74" ht="15.75" customHeight="1" s="60">
      <c r="A74" s="41" t="n"/>
      <c r="B74" s="41" t="n"/>
    </row>
    <row r="75" ht="15.75" customHeight="1" s="60">
      <c r="A75" s="41" t="n"/>
      <c r="B75" s="41" t="n"/>
    </row>
    <row r="76" ht="15.75" customHeight="1" s="60">
      <c r="A76" s="41" t="n"/>
      <c r="B76" s="41" t="n"/>
    </row>
    <row r="77" ht="15.75" customHeight="1" s="60">
      <c r="A77" s="41" t="n"/>
      <c r="B77" s="41" t="n"/>
    </row>
    <row r="78" ht="15.75" customHeight="1" s="60">
      <c r="A78" s="41" t="n"/>
      <c r="B78" s="41" t="n"/>
    </row>
    <row r="79" ht="15.75" customHeight="1" s="60">
      <c r="A79" s="41" t="n"/>
      <c r="B79" s="41" t="n"/>
    </row>
    <row r="80" ht="15.75" customHeight="1" s="60">
      <c r="A80" s="41" t="n"/>
      <c r="B80" s="41" t="n"/>
    </row>
    <row r="81" ht="15.75" customHeight="1" s="60">
      <c r="A81" s="41" t="n"/>
      <c r="B81" s="41" t="n"/>
    </row>
    <row r="82" ht="15.75" customHeight="1" s="60">
      <c r="A82" s="41" t="n"/>
      <c r="B82" s="41" t="n"/>
    </row>
    <row r="83" ht="15.75" customHeight="1" s="60">
      <c r="A83" s="41" t="n"/>
      <c r="B83" s="41" t="n"/>
    </row>
    <row r="84" ht="15.75" customHeight="1" s="60">
      <c r="A84" s="41" t="n"/>
      <c r="B84" s="41" t="n"/>
    </row>
    <row r="85" ht="15.75" customHeight="1" s="60">
      <c r="A85" s="41" t="n"/>
      <c r="B85" s="41" t="n"/>
    </row>
    <row r="86" ht="15.75" customHeight="1" s="60">
      <c r="A86" s="41" t="n"/>
      <c r="B86" s="41" t="n"/>
    </row>
    <row r="87" ht="15.75" customHeight="1" s="60">
      <c r="A87" s="41" t="n"/>
      <c r="B87" s="41" t="n"/>
    </row>
    <row r="88" ht="15.75" customHeight="1" s="60">
      <c r="A88" s="41" t="n"/>
      <c r="B88" s="41" t="n"/>
    </row>
    <row r="89" ht="15.75" customHeight="1" s="60">
      <c r="A89" s="41" t="n"/>
      <c r="B89" s="41" t="n"/>
    </row>
    <row r="90" ht="15.75" customHeight="1" s="60">
      <c r="A90" s="41" t="n"/>
      <c r="B90" s="41" t="n"/>
    </row>
    <row r="91" ht="15.75" customHeight="1" s="60">
      <c r="A91" s="41" t="n"/>
      <c r="B91" s="41" t="n"/>
    </row>
    <row r="92" ht="15.75" customHeight="1" s="60">
      <c r="A92" s="41" t="n"/>
      <c r="B92" s="41" t="n"/>
    </row>
    <row r="93" ht="15.75" customHeight="1" s="60">
      <c r="A93" s="41" t="n"/>
      <c r="B93" s="41" t="n"/>
    </row>
    <row r="94" ht="15.75" customHeight="1" s="60">
      <c r="A94" s="41" t="n"/>
      <c r="B94" s="41" t="n"/>
    </row>
    <row r="95" ht="15.75" customHeight="1" s="60">
      <c r="A95" s="41" t="n"/>
      <c r="B95" s="41" t="n"/>
    </row>
    <row r="96" ht="15.75" customHeight="1" s="60">
      <c r="A96" s="41" t="n"/>
      <c r="B96" s="41" t="n"/>
    </row>
    <row r="97" ht="15.75" customHeight="1" s="60">
      <c r="A97" s="41" t="n"/>
      <c r="B97" s="41" t="n"/>
    </row>
    <row r="98" ht="15.75" customHeight="1" s="60">
      <c r="A98" s="41" t="n"/>
      <c r="B98" s="41" t="n"/>
    </row>
    <row r="99" ht="15.75" customHeight="1" s="60">
      <c r="A99" s="41" t="n"/>
      <c r="B99" s="41" t="n"/>
    </row>
    <row r="100" ht="15.75" customHeight="1" s="60">
      <c r="A100" s="41" t="n"/>
      <c r="B100" s="41" t="n"/>
    </row>
    <row r="101" ht="15.75" customHeight="1" s="60">
      <c r="A101" s="41" t="n"/>
      <c r="B101" s="41" t="n"/>
    </row>
    <row r="102" ht="15.75" customHeight="1" s="60">
      <c r="A102" s="41" t="n"/>
      <c r="B102" s="41" t="n"/>
    </row>
    <row r="103" ht="15.75" customHeight="1" s="60">
      <c r="A103" s="41" t="n"/>
      <c r="B103" s="41" t="n"/>
    </row>
    <row r="104" ht="15.75" customHeight="1" s="60">
      <c r="A104" s="41" t="n"/>
      <c r="B104" s="41" t="n"/>
    </row>
    <row r="105" ht="15.75" customHeight="1" s="60">
      <c r="A105" s="41" t="n"/>
      <c r="B105" s="41" t="n"/>
    </row>
    <row r="106" ht="15.75" customHeight="1" s="60">
      <c r="A106" s="41" t="n"/>
      <c r="B106" s="41" t="n"/>
    </row>
    <row r="107" ht="15.75" customHeight="1" s="60">
      <c r="A107" s="41" t="n"/>
      <c r="B107" s="41" t="n"/>
    </row>
    <row r="108" ht="15.75" customHeight="1" s="60">
      <c r="A108" s="41" t="n"/>
      <c r="B108" s="41" t="n"/>
    </row>
    <row r="109" ht="15.75" customHeight="1" s="60">
      <c r="A109" s="41" t="n"/>
      <c r="B109" s="41" t="n"/>
    </row>
    <row r="110" ht="15.75" customHeight="1" s="60">
      <c r="A110" s="41" t="n"/>
      <c r="B110" s="41" t="n"/>
    </row>
    <row r="111" ht="15.75" customHeight="1" s="60">
      <c r="A111" s="41" t="n"/>
      <c r="B111" s="41" t="n"/>
    </row>
    <row r="112" ht="15.75" customHeight="1" s="60">
      <c r="A112" s="41" t="n"/>
      <c r="B112" s="41" t="n"/>
    </row>
    <row r="113" ht="15.75" customHeight="1" s="60">
      <c r="A113" s="41" t="n"/>
      <c r="B113" s="41" t="n"/>
    </row>
    <row r="114" ht="15.75" customHeight="1" s="60">
      <c r="A114" s="41" t="n"/>
      <c r="B114" s="41" t="n"/>
    </row>
    <row r="115" ht="15.75" customHeight="1" s="60">
      <c r="A115" s="41" t="n"/>
      <c r="B115" s="41" t="n"/>
    </row>
    <row r="116" ht="15.75" customHeight="1" s="60">
      <c r="A116" s="41" t="n"/>
      <c r="B116" s="41" t="n"/>
    </row>
    <row r="117" ht="15.75" customHeight="1" s="60">
      <c r="A117" s="41" t="n"/>
      <c r="B117" s="41" t="n"/>
    </row>
    <row r="118" ht="15.75" customHeight="1" s="60">
      <c r="A118" s="41" t="n"/>
      <c r="B118" s="41" t="n"/>
    </row>
    <row r="119" ht="15.75" customHeight="1" s="60">
      <c r="A119" s="41" t="n"/>
      <c r="B119" s="41" t="n"/>
    </row>
    <row r="120" ht="15.75" customHeight="1" s="60">
      <c r="A120" s="41" t="n"/>
      <c r="B120" s="41" t="n"/>
    </row>
    <row r="121" ht="15.75" customHeight="1" s="60">
      <c r="A121" s="41" t="n"/>
      <c r="B121" s="41" t="n"/>
    </row>
    <row r="122" ht="15.75" customHeight="1" s="60">
      <c r="A122" s="41" t="n"/>
      <c r="B122" s="41" t="n"/>
    </row>
    <row r="123" ht="15.75" customHeight="1" s="60">
      <c r="A123" s="41" t="n"/>
      <c r="B123" s="41" t="n"/>
    </row>
    <row r="124" ht="15.75" customHeight="1" s="60">
      <c r="A124" s="41" t="n"/>
      <c r="B124" s="41" t="n"/>
    </row>
    <row r="125" ht="15.75" customHeight="1" s="60">
      <c r="A125" s="41" t="n"/>
      <c r="B125" s="41" t="n"/>
    </row>
    <row r="126" ht="15.75" customHeight="1" s="60">
      <c r="A126" s="41" t="n"/>
      <c r="B126" s="41" t="n"/>
    </row>
    <row r="127" ht="15.75" customHeight="1" s="60">
      <c r="A127" s="41" t="n"/>
      <c r="B127" s="41" t="n"/>
    </row>
    <row r="128" ht="15.75" customHeight="1" s="60">
      <c r="A128" s="41" t="n"/>
      <c r="B128" s="41" t="n"/>
    </row>
    <row r="129" ht="15.75" customHeight="1" s="60">
      <c r="A129" s="41" t="n"/>
      <c r="B129" s="41" t="n"/>
    </row>
    <row r="130" ht="15.75" customHeight="1" s="60">
      <c r="A130" s="41" t="n"/>
      <c r="B130" s="41" t="n"/>
    </row>
    <row r="131" ht="15.75" customHeight="1" s="60">
      <c r="A131" s="41" t="n"/>
      <c r="B131" s="41" t="n"/>
    </row>
    <row r="132" ht="15.75" customHeight="1" s="60">
      <c r="A132" s="41" t="n"/>
      <c r="B132" s="41" t="n"/>
    </row>
    <row r="133" ht="15.75" customHeight="1" s="60">
      <c r="A133" s="41" t="n"/>
      <c r="B133" s="41" t="n"/>
    </row>
    <row r="134" ht="15.75" customHeight="1" s="60">
      <c r="A134" s="41" t="n"/>
      <c r="B134" s="41" t="n"/>
    </row>
    <row r="135" ht="15.75" customHeight="1" s="60">
      <c r="A135" s="41" t="n"/>
      <c r="B135" s="41" t="n"/>
    </row>
    <row r="136" ht="15.75" customHeight="1" s="60">
      <c r="A136" s="41" t="n"/>
      <c r="B136" s="41" t="n"/>
    </row>
    <row r="137" ht="15.75" customHeight="1" s="60">
      <c r="A137" s="41" t="n"/>
      <c r="B137" s="41" t="n"/>
    </row>
    <row r="138" ht="15.75" customHeight="1" s="60">
      <c r="A138" s="41" t="n"/>
      <c r="B138" s="41" t="n"/>
    </row>
    <row r="139" ht="15.75" customHeight="1" s="60">
      <c r="A139" s="41" t="n"/>
      <c r="B139" s="41" t="n"/>
    </row>
    <row r="140" ht="15.75" customHeight="1" s="60">
      <c r="A140" s="41" t="n"/>
      <c r="B140" s="41" t="n"/>
    </row>
    <row r="141" ht="15.75" customHeight="1" s="60">
      <c r="A141" s="41" t="n"/>
      <c r="B141" s="41" t="n"/>
    </row>
    <row r="142" ht="15.75" customHeight="1" s="60">
      <c r="A142" s="41" t="n"/>
      <c r="B142" s="41" t="n"/>
    </row>
    <row r="143" ht="15.75" customHeight="1" s="60">
      <c r="A143" s="41" t="n"/>
      <c r="B143" s="41" t="n"/>
    </row>
    <row r="144" ht="15.75" customHeight="1" s="60">
      <c r="A144" s="41" t="n"/>
      <c r="B144" s="41" t="n"/>
    </row>
    <row r="145" ht="15.75" customHeight="1" s="60">
      <c r="A145" s="41" t="n"/>
      <c r="B145" s="41" t="n"/>
    </row>
    <row r="146" ht="15.75" customHeight="1" s="60">
      <c r="A146" s="41" t="n"/>
      <c r="B146" s="41" t="n"/>
    </row>
    <row r="147" ht="15.75" customHeight="1" s="60">
      <c r="A147" s="41" t="n"/>
      <c r="B147" s="41" t="n"/>
    </row>
    <row r="148" ht="15.75" customHeight="1" s="60">
      <c r="A148" s="41" t="n"/>
      <c r="B148" s="41" t="n"/>
    </row>
    <row r="149" ht="15.75" customHeight="1" s="60">
      <c r="A149" s="41" t="n"/>
      <c r="B149" s="41" t="n"/>
    </row>
    <row r="150" ht="15.75" customHeight="1" s="60">
      <c r="A150" s="41" t="n"/>
      <c r="B150" s="41" t="n"/>
    </row>
    <row r="151" ht="15.75" customHeight="1" s="60">
      <c r="A151" s="41" t="n"/>
      <c r="B151" s="41" t="n"/>
    </row>
    <row r="152" ht="15.75" customHeight="1" s="60">
      <c r="A152" s="41" t="n"/>
      <c r="B152" s="41" t="n"/>
    </row>
    <row r="153" ht="15.75" customHeight="1" s="60">
      <c r="A153" s="41" t="n"/>
      <c r="B153" s="41" t="n"/>
    </row>
    <row r="154" ht="15.75" customHeight="1" s="60">
      <c r="A154" s="41" t="n"/>
      <c r="B154" s="41" t="n"/>
    </row>
    <row r="155" ht="15.75" customHeight="1" s="60">
      <c r="A155" s="41" t="n"/>
      <c r="B155" s="41" t="n"/>
    </row>
    <row r="156" ht="15.75" customHeight="1" s="60">
      <c r="A156" s="41" t="n"/>
      <c r="B156" s="41" t="n"/>
    </row>
    <row r="157" ht="15.75" customHeight="1" s="60">
      <c r="A157" s="41" t="n"/>
      <c r="B157" s="41" t="n"/>
    </row>
    <row r="158" ht="15.75" customHeight="1" s="60">
      <c r="A158" s="41" t="n"/>
      <c r="B158" s="41" t="n"/>
    </row>
    <row r="159" ht="15.75" customHeight="1" s="60">
      <c r="A159" s="41" t="n"/>
      <c r="B159" s="41" t="n"/>
    </row>
    <row r="160" ht="15.75" customHeight="1" s="60">
      <c r="A160" s="41" t="n"/>
      <c r="B160" s="41" t="n"/>
    </row>
    <row r="161" ht="15.75" customHeight="1" s="60">
      <c r="A161" s="41" t="n"/>
      <c r="B161" s="41" t="n"/>
    </row>
    <row r="162" ht="15.75" customHeight="1" s="60">
      <c r="A162" s="41" t="n"/>
      <c r="B162" s="41" t="n"/>
    </row>
    <row r="163" ht="15.75" customHeight="1" s="60">
      <c r="A163" s="41" t="n"/>
      <c r="B163" s="41" t="n"/>
    </row>
    <row r="164" ht="15.75" customHeight="1" s="60">
      <c r="A164" s="41" t="n"/>
      <c r="B164" s="41" t="n"/>
    </row>
    <row r="165" ht="15.75" customHeight="1" s="60">
      <c r="A165" s="41" t="n"/>
      <c r="B165" s="41" t="n"/>
    </row>
    <row r="166" ht="15.75" customHeight="1" s="60">
      <c r="A166" s="41" t="n"/>
      <c r="B166" s="41" t="n"/>
    </row>
    <row r="167" ht="15.75" customHeight="1" s="60">
      <c r="A167" s="41" t="n"/>
      <c r="B167" s="41" t="n"/>
    </row>
    <row r="168" ht="15.75" customHeight="1" s="60">
      <c r="A168" s="41" t="n"/>
      <c r="B168" s="41" t="n"/>
    </row>
    <row r="169" ht="15.75" customHeight="1" s="60">
      <c r="A169" s="41" t="n"/>
      <c r="B169" s="41" t="n"/>
    </row>
    <row r="170" ht="15.75" customHeight="1" s="60">
      <c r="A170" s="41" t="n"/>
      <c r="B170" s="41" t="n"/>
    </row>
    <row r="171" ht="15.75" customHeight="1" s="60">
      <c r="A171" s="41" t="n"/>
      <c r="B171" s="41" t="n"/>
    </row>
    <row r="172" ht="15.75" customHeight="1" s="60">
      <c r="A172" s="41" t="n"/>
      <c r="B172" s="41" t="n"/>
    </row>
    <row r="173" ht="15.75" customHeight="1" s="60">
      <c r="A173" s="41" t="n"/>
      <c r="B173" s="41" t="n"/>
    </row>
    <row r="174" ht="15.75" customHeight="1" s="60">
      <c r="A174" s="41" t="n"/>
      <c r="B174" s="41" t="n"/>
    </row>
    <row r="175" ht="15.75" customHeight="1" s="60">
      <c r="A175" s="41" t="n"/>
      <c r="B175" s="41" t="n"/>
    </row>
    <row r="176" ht="15.75" customHeight="1" s="60">
      <c r="A176" s="41" t="n"/>
      <c r="B176" s="41" t="n"/>
    </row>
    <row r="177" ht="15.75" customHeight="1" s="60">
      <c r="A177" s="41" t="n"/>
      <c r="B177" s="41" t="n"/>
    </row>
    <row r="178" ht="15.75" customHeight="1" s="60">
      <c r="A178" s="41" t="n"/>
      <c r="B178" s="41" t="n"/>
    </row>
    <row r="179" ht="15.75" customHeight="1" s="60">
      <c r="A179" s="41" t="n"/>
      <c r="B179" s="41" t="n"/>
    </row>
    <row r="180" ht="15.75" customHeight="1" s="60">
      <c r="A180" s="41" t="n"/>
      <c r="B180" s="41" t="n"/>
    </row>
    <row r="181" ht="15.75" customHeight="1" s="60">
      <c r="A181" s="41" t="n"/>
      <c r="B181" s="41" t="n"/>
    </row>
    <row r="182" ht="15.75" customHeight="1" s="60">
      <c r="A182" s="41" t="n"/>
      <c r="B182" s="41" t="n"/>
    </row>
    <row r="183" ht="15.75" customHeight="1" s="60">
      <c r="A183" s="41" t="n"/>
      <c r="B183" s="41" t="n"/>
    </row>
    <row r="184" ht="15.75" customHeight="1" s="60">
      <c r="A184" s="41" t="n"/>
      <c r="B184" s="41" t="n"/>
    </row>
    <row r="185" ht="15.75" customHeight="1" s="60">
      <c r="A185" s="41" t="n"/>
      <c r="B185" s="41" t="n"/>
    </row>
    <row r="186" ht="15.75" customHeight="1" s="60">
      <c r="A186" s="41" t="n"/>
      <c r="B186" s="41" t="n"/>
    </row>
    <row r="187" ht="15.75" customHeight="1" s="60">
      <c r="A187" s="41" t="n"/>
      <c r="B187" s="41" t="n"/>
    </row>
    <row r="188" ht="15.75" customHeight="1" s="60">
      <c r="A188" s="41" t="n"/>
      <c r="B188" s="41" t="n"/>
    </row>
    <row r="189" ht="15.75" customHeight="1" s="60">
      <c r="A189" s="41" t="n"/>
      <c r="B189" s="41" t="n"/>
    </row>
    <row r="190" ht="15.75" customHeight="1" s="60">
      <c r="A190" s="41" t="n"/>
      <c r="B190" s="41" t="n"/>
    </row>
    <row r="191" ht="15.75" customHeight="1" s="60">
      <c r="A191" s="41" t="n"/>
      <c r="B191" s="41" t="n"/>
    </row>
    <row r="192" ht="15.75" customHeight="1" s="60">
      <c r="A192" s="41" t="n"/>
      <c r="B192" s="41" t="n"/>
    </row>
    <row r="193" ht="15.75" customHeight="1" s="60">
      <c r="A193" s="41" t="n"/>
      <c r="B193" s="41" t="n"/>
    </row>
    <row r="194" ht="15.75" customHeight="1" s="60">
      <c r="A194" s="41" t="n"/>
      <c r="B194" s="41" t="n"/>
    </row>
    <row r="195" ht="15.75" customHeight="1" s="60">
      <c r="A195" s="41" t="n"/>
      <c r="B195" s="41" t="n"/>
    </row>
    <row r="196" ht="15.75" customHeight="1" s="60">
      <c r="A196" s="41" t="n"/>
      <c r="B196" s="41" t="n"/>
    </row>
    <row r="197" ht="15.75" customHeight="1" s="60">
      <c r="A197" s="41" t="n"/>
      <c r="B197" s="41" t="n"/>
    </row>
    <row r="198" ht="15.75" customHeight="1" s="60">
      <c r="A198" s="41" t="n"/>
      <c r="B198" s="41" t="n"/>
    </row>
    <row r="199" ht="15.75" customHeight="1" s="60">
      <c r="A199" s="41" t="n"/>
      <c r="B199" s="41" t="n"/>
    </row>
    <row r="200" ht="15.75" customHeight="1" s="60">
      <c r="A200" s="41" t="n"/>
      <c r="B200" s="41" t="n"/>
    </row>
    <row r="201" ht="15.75" customHeight="1" s="60">
      <c r="A201" s="41" t="n"/>
      <c r="B201" s="41" t="n"/>
    </row>
    <row r="202" ht="15.75" customHeight="1" s="60">
      <c r="A202" s="41" t="n"/>
      <c r="B202" s="41" t="n"/>
    </row>
    <row r="203" ht="15.75" customHeight="1" s="60">
      <c r="A203" s="41" t="n"/>
      <c r="B203" s="41" t="n"/>
    </row>
    <row r="204" ht="15.75" customHeight="1" s="60">
      <c r="A204" s="41" t="n"/>
      <c r="B204" s="41" t="n"/>
    </row>
    <row r="205" ht="15.75" customHeight="1" s="60">
      <c r="A205" s="41" t="n"/>
      <c r="B205" s="41" t="n"/>
    </row>
    <row r="206" ht="15.75" customHeight="1" s="60">
      <c r="A206" s="41" t="n"/>
      <c r="B206" s="41" t="n"/>
    </row>
    <row r="207" ht="15.75" customHeight="1" s="60">
      <c r="A207" s="41" t="n"/>
      <c r="B207" s="41" t="n"/>
    </row>
    <row r="208" ht="15.75" customHeight="1" s="60">
      <c r="A208" s="41" t="n"/>
      <c r="B208" s="41" t="n"/>
    </row>
    <row r="209" ht="15.75" customHeight="1" s="60">
      <c r="A209" s="41" t="n"/>
      <c r="B209" s="41" t="n"/>
    </row>
    <row r="210" ht="15.75" customHeight="1" s="60">
      <c r="A210" s="41" t="n"/>
      <c r="B210" s="41" t="n"/>
    </row>
    <row r="211" ht="15.75" customHeight="1" s="60">
      <c r="A211" s="41" t="n"/>
      <c r="B211" s="41" t="n"/>
    </row>
    <row r="212" ht="15.75" customHeight="1" s="60">
      <c r="A212" s="41" t="n"/>
      <c r="B212" s="41" t="n"/>
    </row>
    <row r="213" ht="15.75" customHeight="1" s="60">
      <c r="A213" s="41" t="n"/>
      <c r="B213" s="41" t="n"/>
    </row>
    <row r="214" ht="15.75" customHeight="1" s="60">
      <c r="A214" s="41" t="n"/>
      <c r="B214" s="41" t="n"/>
    </row>
    <row r="215" ht="15.75" customHeight="1" s="60">
      <c r="A215" s="41" t="n"/>
      <c r="B215" s="41" t="n"/>
    </row>
    <row r="216" ht="15.75" customHeight="1" s="60">
      <c r="A216" s="41" t="n"/>
      <c r="B216" s="41" t="n"/>
    </row>
    <row r="217" ht="15.75" customHeight="1" s="60">
      <c r="A217" s="41" t="n"/>
      <c r="B217" s="41" t="n"/>
    </row>
    <row r="218" ht="15.75" customHeight="1" s="60">
      <c r="A218" s="41" t="n"/>
      <c r="B218" s="41" t="n"/>
    </row>
    <row r="219" ht="15.75" customHeight="1" s="60">
      <c r="A219" s="41" t="n"/>
      <c r="B219" s="41" t="n"/>
    </row>
    <row r="220" ht="15.75" customHeight="1" s="60">
      <c r="A220" s="41" t="n"/>
      <c r="B220" s="41" t="n"/>
    </row>
    <row r="221" ht="15.75" customHeight="1" s="60">
      <c r="A221" s="41" t="n"/>
      <c r="B221" s="41" t="n"/>
    </row>
    <row r="222" ht="15.75" customHeight="1" s="60">
      <c r="A222" s="41" t="n"/>
      <c r="B222" s="41" t="n"/>
    </row>
    <row r="223" ht="15.75" customHeight="1" s="60">
      <c r="A223" s="41" t="n"/>
      <c r="B223" s="41" t="n"/>
    </row>
    <row r="224" ht="15.75" customHeight="1" s="60">
      <c r="A224" s="41" t="n"/>
      <c r="B224" s="41" t="n"/>
    </row>
    <row r="225" ht="15.75" customHeight="1" s="60">
      <c r="A225" s="41" t="n"/>
      <c r="B225" s="41" t="n"/>
    </row>
    <row r="226" ht="15.75" customHeight="1" s="60">
      <c r="A226" s="41" t="n"/>
      <c r="B226" s="41" t="n"/>
    </row>
    <row r="227" ht="15.75" customHeight="1" s="60">
      <c r="A227" s="41" t="n"/>
      <c r="B227" s="41" t="n"/>
    </row>
    <row r="228" ht="15.75" customHeight="1" s="60">
      <c r="A228" s="41" t="n"/>
      <c r="B228" s="41" t="n"/>
    </row>
    <row r="229" ht="15.75" customHeight="1" s="60">
      <c r="A229" s="41" t="n"/>
      <c r="B229" s="41" t="n"/>
    </row>
    <row r="230" ht="15.75" customHeight="1" s="60">
      <c r="A230" s="41" t="n"/>
      <c r="B230" s="41" t="n"/>
    </row>
    <row r="231" ht="15.75" customHeight="1" s="60">
      <c r="A231" s="41" t="n"/>
      <c r="B231" s="41" t="n"/>
    </row>
    <row r="232" ht="15.75" customHeight="1" s="60">
      <c r="A232" s="41" t="n"/>
      <c r="B232" s="41" t="n"/>
    </row>
    <row r="233" ht="15.75" customHeight="1" s="60">
      <c r="A233" s="41" t="n"/>
      <c r="B233" s="41" t="n"/>
    </row>
    <row r="234" ht="15.75" customHeight="1" s="60">
      <c r="A234" s="41" t="n"/>
      <c r="B234" s="41" t="n"/>
    </row>
    <row r="235" ht="15.75" customHeight="1" s="60">
      <c r="A235" s="41" t="n"/>
      <c r="B235" s="41" t="n"/>
    </row>
    <row r="236" ht="15.75" customHeight="1" s="60">
      <c r="A236" s="41" t="n"/>
      <c r="B236" s="41" t="n"/>
    </row>
    <row r="237" ht="15.75" customHeight="1" s="60">
      <c r="A237" s="41" t="n"/>
      <c r="B237" s="41" t="n"/>
    </row>
    <row r="238" ht="15.75" customHeight="1" s="60">
      <c r="A238" s="41" t="n"/>
      <c r="B238" s="41" t="n"/>
    </row>
    <row r="239" ht="15.75" customHeight="1" s="60">
      <c r="A239" s="41" t="n"/>
      <c r="B239" s="41" t="n"/>
    </row>
    <row r="240" ht="15.75" customHeight="1" s="60">
      <c r="A240" s="41" t="n"/>
      <c r="B240" s="41" t="n"/>
    </row>
    <row r="241" ht="15.75" customHeight="1" s="60">
      <c r="A241" s="41" t="n"/>
      <c r="B241" s="41" t="n"/>
    </row>
    <row r="242" ht="15.75" customHeight="1" s="60">
      <c r="A242" s="41" t="n"/>
      <c r="B242" s="41" t="n"/>
    </row>
    <row r="243" ht="15.75" customHeight="1" s="60">
      <c r="A243" s="41" t="n"/>
      <c r="B243" s="41" t="n"/>
    </row>
    <row r="244" ht="15.75" customHeight="1" s="60">
      <c r="A244" s="41" t="n"/>
      <c r="B244" s="41" t="n"/>
    </row>
    <row r="245" ht="15.75" customHeight="1" s="60">
      <c r="A245" s="41" t="n"/>
      <c r="B245" s="41" t="n"/>
    </row>
    <row r="246" ht="15.75" customHeight="1" s="60">
      <c r="A246" s="41" t="n"/>
      <c r="B246" s="41" t="n"/>
    </row>
    <row r="247" ht="15.75" customHeight="1" s="60">
      <c r="A247" s="41" t="n"/>
      <c r="B247" s="41" t="n"/>
    </row>
    <row r="248" ht="15.75" customHeight="1" s="60">
      <c r="A248" s="41" t="n"/>
      <c r="B248" s="41" t="n"/>
    </row>
    <row r="249" ht="15.75" customHeight="1" s="60">
      <c r="A249" s="41" t="n"/>
      <c r="B249" s="41" t="n"/>
    </row>
    <row r="250" ht="15.75" customHeight="1" s="60">
      <c r="A250" s="41" t="n"/>
      <c r="B250" s="41" t="n"/>
    </row>
    <row r="251" ht="15.75" customHeight="1" s="60">
      <c r="A251" s="41" t="n"/>
      <c r="B251" s="41" t="n"/>
    </row>
    <row r="252" ht="15.75" customHeight="1" s="60">
      <c r="A252" s="41" t="n"/>
      <c r="B252" s="41" t="n"/>
    </row>
    <row r="253" ht="15.75" customHeight="1" s="60">
      <c r="A253" s="41" t="n"/>
      <c r="B253" s="41" t="n"/>
    </row>
    <row r="254" ht="15.75" customHeight="1" s="60">
      <c r="A254" s="41" t="n"/>
      <c r="B254" s="41" t="n"/>
    </row>
    <row r="255" ht="15.75" customHeight="1" s="60">
      <c r="A255" s="41" t="n"/>
      <c r="B255" s="41" t="n"/>
    </row>
    <row r="256" ht="15.75" customHeight="1" s="60">
      <c r="A256" s="41" t="n"/>
      <c r="B256" s="41" t="n"/>
    </row>
    <row r="257" ht="15.75" customHeight="1" s="60">
      <c r="A257" s="41" t="n"/>
      <c r="B257" s="41" t="n"/>
    </row>
    <row r="258" ht="15.75" customHeight="1" s="60">
      <c r="A258" s="41" t="n"/>
      <c r="B258" s="41" t="n"/>
    </row>
    <row r="259" ht="15.75" customHeight="1" s="60">
      <c r="A259" s="41" t="n"/>
      <c r="B259" s="41" t="n"/>
    </row>
    <row r="260" ht="15.75" customHeight="1" s="60">
      <c r="A260" s="41" t="n"/>
      <c r="B260" s="41" t="n"/>
    </row>
    <row r="261" ht="15.75" customHeight="1" s="60">
      <c r="A261" s="41" t="n"/>
      <c r="B261" s="41" t="n"/>
    </row>
    <row r="262" ht="15.75" customHeight="1" s="60">
      <c r="A262" s="41" t="n"/>
      <c r="B262" s="41" t="n"/>
    </row>
    <row r="263" ht="15.75" customHeight="1" s="60">
      <c r="A263" s="41" t="n"/>
      <c r="B263" s="41" t="n"/>
    </row>
    <row r="264" ht="15.75" customHeight="1" s="60">
      <c r="A264" s="41" t="n"/>
      <c r="B264" s="41" t="n"/>
    </row>
    <row r="265" ht="15.75" customHeight="1" s="60">
      <c r="A265" s="41" t="n"/>
      <c r="B265" s="41" t="n"/>
    </row>
    <row r="266" ht="15.75" customHeight="1" s="60">
      <c r="A266" s="41" t="n"/>
      <c r="B266" s="41" t="n"/>
    </row>
    <row r="267" ht="15.75" customHeight="1" s="60">
      <c r="A267" s="41" t="n"/>
      <c r="B267" s="41" t="n"/>
    </row>
    <row r="268" ht="15.75" customHeight="1" s="60">
      <c r="A268" s="41" t="n"/>
      <c r="B268" s="41" t="n"/>
    </row>
    <row r="269" ht="15.75" customHeight="1" s="60">
      <c r="A269" s="41" t="n"/>
      <c r="B269" s="41" t="n"/>
    </row>
    <row r="270" ht="15.75" customHeight="1" s="60">
      <c r="A270" s="41" t="n"/>
      <c r="B270" s="41" t="n"/>
    </row>
    <row r="271" ht="15.75" customHeight="1" s="60">
      <c r="A271" s="41" t="n"/>
      <c r="B271" s="41" t="n"/>
    </row>
    <row r="272" ht="15.75" customHeight="1" s="60">
      <c r="A272" s="41" t="n"/>
      <c r="B272" s="41" t="n"/>
    </row>
    <row r="273" ht="15.75" customHeight="1" s="60">
      <c r="A273" s="41" t="n"/>
      <c r="B273" s="41" t="n"/>
    </row>
    <row r="274" ht="15.75" customHeight="1" s="60">
      <c r="A274" s="41" t="n"/>
      <c r="B274" s="41" t="n"/>
    </row>
    <row r="275" ht="15.75" customHeight="1" s="60">
      <c r="A275" s="41" t="n"/>
      <c r="B275" s="41" t="n"/>
    </row>
    <row r="276" ht="15.75" customHeight="1" s="60">
      <c r="A276" s="41" t="n"/>
      <c r="B276" s="41" t="n"/>
    </row>
    <row r="277" ht="15.75" customHeight="1" s="60">
      <c r="A277" s="41" t="n"/>
      <c r="B277" s="41" t="n"/>
    </row>
    <row r="278" ht="15.75" customHeight="1" s="60">
      <c r="A278" s="41" t="n"/>
      <c r="B278" s="41" t="n"/>
    </row>
    <row r="279" ht="15.75" customHeight="1" s="60">
      <c r="A279" s="41" t="n"/>
      <c r="B279" s="41" t="n"/>
    </row>
    <row r="280" ht="15.75" customHeight="1" s="60">
      <c r="A280" s="41" t="n"/>
      <c r="B280" s="41" t="n"/>
    </row>
    <row r="281" ht="15.75" customHeight="1" s="60">
      <c r="A281" s="41" t="n"/>
      <c r="B281" s="41" t="n"/>
    </row>
    <row r="282" ht="15.75" customHeight="1" s="60">
      <c r="A282" s="41" t="n"/>
      <c r="B282" s="41" t="n"/>
    </row>
    <row r="283" ht="15.75" customHeight="1" s="60">
      <c r="A283" s="41" t="n"/>
      <c r="B283" s="41" t="n"/>
    </row>
    <row r="284" ht="15.75" customHeight="1" s="60">
      <c r="A284" s="41" t="n"/>
      <c r="B284" s="41" t="n"/>
    </row>
    <row r="285" ht="15.75" customHeight="1" s="60">
      <c r="A285" s="41" t="n"/>
      <c r="B285" s="41" t="n"/>
    </row>
    <row r="286" ht="15.75" customHeight="1" s="60">
      <c r="A286" s="41" t="n"/>
      <c r="B286" s="41" t="n"/>
    </row>
    <row r="287" ht="15.75" customHeight="1" s="60">
      <c r="A287" s="41" t="n"/>
      <c r="B287" s="41" t="n"/>
    </row>
    <row r="288" ht="15.75" customHeight="1" s="60">
      <c r="A288" s="41" t="n"/>
      <c r="B288" s="41" t="n"/>
    </row>
    <row r="289" ht="15.75" customHeight="1" s="60">
      <c r="A289" s="41" t="n"/>
      <c r="B289" s="41" t="n"/>
    </row>
    <row r="290" ht="15.75" customHeight="1" s="60">
      <c r="A290" s="41" t="n"/>
      <c r="B290" s="41" t="n"/>
    </row>
    <row r="291" ht="15.75" customHeight="1" s="60">
      <c r="A291" s="41" t="n"/>
      <c r="B291" s="41" t="n"/>
    </row>
    <row r="292" ht="15.75" customHeight="1" s="60">
      <c r="A292" s="41" t="n"/>
      <c r="B292" s="41" t="n"/>
    </row>
    <row r="293" ht="15.75" customHeight="1" s="60">
      <c r="A293" s="41" t="n"/>
      <c r="B293" s="41" t="n"/>
    </row>
    <row r="294" ht="15.75" customHeight="1" s="60">
      <c r="A294" s="41" t="n"/>
      <c r="B294" s="41" t="n"/>
    </row>
    <row r="295" ht="15.75" customHeight="1" s="60">
      <c r="A295" s="41" t="n"/>
      <c r="B295" s="41" t="n"/>
    </row>
    <row r="296" ht="15.75" customHeight="1" s="60">
      <c r="A296" s="41" t="n"/>
      <c r="B296" s="41" t="n"/>
    </row>
    <row r="297" ht="15.75" customHeight="1" s="60">
      <c r="A297" s="41" t="n"/>
      <c r="B297" s="41" t="n"/>
    </row>
    <row r="298" ht="15.75" customHeight="1" s="60">
      <c r="A298" s="41" t="n"/>
      <c r="B298" s="41" t="n"/>
    </row>
    <row r="299" ht="15.75" customHeight="1" s="60">
      <c r="A299" s="41" t="n"/>
      <c r="B299" s="41" t="n"/>
    </row>
    <row r="300" ht="15.75" customHeight="1" s="60">
      <c r="A300" s="41" t="n"/>
      <c r="B300" s="41" t="n"/>
    </row>
    <row r="301" ht="15.75" customHeight="1" s="60">
      <c r="A301" s="41" t="n"/>
      <c r="B301" s="41" t="n"/>
    </row>
    <row r="302" ht="15.75" customHeight="1" s="60">
      <c r="A302" s="41" t="n"/>
      <c r="B302" s="41" t="n"/>
    </row>
    <row r="303" ht="15.75" customHeight="1" s="60">
      <c r="A303" s="41" t="n"/>
      <c r="B303" s="41" t="n"/>
    </row>
    <row r="304" ht="15.75" customHeight="1" s="60">
      <c r="A304" s="41" t="n"/>
      <c r="B304" s="41" t="n"/>
    </row>
    <row r="305" ht="15.75" customHeight="1" s="60">
      <c r="A305" s="41" t="n"/>
      <c r="B305" s="41" t="n"/>
    </row>
    <row r="306" ht="15.75" customHeight="1" s="60">
      <c r="A306" s="41" t="n"/>
      <c r="B306" s="41" t="n"/>
    </row>
    <row r="307" ht="15.75" customHeight="1" s="60">
      <c r="A307" s="41" t="n"/>
      <c r="B307" s="41" t="n"/>
    </row>
    <row r="308" ht="15.75" customHeight="1" s="60">
      <c r="A308" s="41" t="n"/>
      <c r="B308" s="41" t="n"/>
    </row>
    <row r="309" ht="15.75" customHeight="1" s="60">
      <c r="A309" s="41" t="n"/>
      <c r="B309" s="41" t="n"/>
    </row>
    <row r="310" ht="15.75" customHeight="1" s="60">
      <c r="A310" s="41" t="n"/>
      <c r="B310" s="41" t="n"/>
    </row>
    <row r="311" ht="15.75" customHeight="1" s="60">
      <c r="A311" s="41" t="n"/>
      <c r="B311" s="41" t="n"/>
    </row>
    <row r="312" ht="15.75" customHeight="1" s="60">
      <c r="A312" s="41" t="n"/>
      <c r="B312" s="41" t="n"/>
    </row>
    <row r="313" ht="15.75" customHeight="1" s="60">
      <c r="A313" s="41" t="n"/>
      <c r="B313" s="41" t="n"/>
    </row>
    <row r="314" ht="15.75" customHeight="1" s="60">
      <c r="A314" s="41" t="n"/>
      <c r="B314" s="41" t="n"/>
    </row>
    <row r="315" ht="15.75" customHeight="1" s="60">
      <c r="A315" s="41" t="n"/>
      <c r="B315" s="41" t="n"/>
    </row>
    <row r="316" ht="15.75" customHeight="1" s="60">
      <c r="A316" s="41" t="n"/>
      <c r="B316" s="41" t="n"/>
    </row>
    <row r="317" ht="15.75" customHeight="1" s="60">
      <c r="A317" s="41" t="n"/>
      <c r="B317" s="41" t="n"/>
    </row>
    <row r="318" ht="15.75" customHeight="1" s="60">
      <c r="A318" s="41" t="n"/>
      <c r="B318" s="41" t="n"/>
    </row>
    <row r="319" ht="15.75" customHeight="1" s="60">
      <c r="A319" s="41" t="n"/>
      <c r="B319" s="41" t="n"/>
    </row>
    <row r="320" ht="15.75" customHeight="1" s="60">
      <c r="A320" s="41" t="n"/>
      <c r="B320" s="41" t="n"/>
    </row>
    <row r="321" ht="15.75" customHeight="1" s="60">
      <c r="A321" s="41" t="n"/>
      <c r="B321" s="41" t="n"/>
    </row>
    <row r="322" ht="15.75" customHeight="1" s="60">
      <c r="A322" s="41" t="n"/>
      <c r="B322" s="41" t="n"/>
    </row>
    <row r="323" ht="15.75" customHeight="1" s="60">
      <c r="A323" s="41" t="n"/>
      <c r="B323" s="41" t="n"/>
    </row>
    <row r="324" ht="15.75" customHeight="1" s="60">
      <c r="A324" s="41" t="n"/>
      <c r="B324" s="41" t="n"/>
    </row>
    <row r="325" ht="15.75" customHeight="1" s="60">
      <c r="A325" s="41" t="n"/>
      <c r="B325" s="41" t="n"/>
    </row>
    <row r="326" ht="15.75" customHeight="1" s="60">
      <c r="A326" s="41" t="n"/>
      <c r="B326" s="41" t="n"/>
    </row>
    <row r="327" ht="15.75" customHeight="1" s="60">
      <c r="A327" s="41" t="n"/>
      <c r="B327" s="41" t="n"/>
    </row>
    <row r="328" ht="15.75" customHeight="1" s="60">
      <c r="A328" s="41" t="n"/>
      <c r="B328" s="41" t="n"/>
    </row>
    <row r="329" ht="15.75" customHeight="1" s="60">
      <c r="A329" s="41" t="n"/>
      <c r="B329" s="41" t="n"/>
    </row>
    <row r="330" ht="15.75" customHeight="1" s="60">
      <c r="A330" s="41" t="n"/>
      <c r="B330" s="41" t="n"/>
    </row>
    <row r="331" ht="15.75" customHeight="1" s="60">
      <c r="A331" s="41" t="n"/>
      <c r="B331" s="41" t="n"/>
    </row>
    <row r="332" ht="15.75" customHeight="1" s="60">
      <c r="A332" s="41" t="n"/>
      <c r="B332" s="41" t="n"/>
    </row>
    <row r="333" ht="15.75" customHeight="1" s="60">
      <c r="A333" s="41" t="n"/>
      <c r="B333" s="41" t="n"/>
    </row>
    <row r="334" ht="15.75" customHeight="1" s="60">
      <c r="A334" s="41" t="n"/>
      <c r="B334" s="41" t="n"/>
    </row>
    <row r="335" ht="15.75" customHeight="1" s="60">
      <c r="A335" s="41" t="n"/>
      <c r="B335" s="41" t="n"/>
    </row>
    <row r="336" ht="15.75" customHeight="1" s="60">
      <c r="A336" s="41" t="n"/>
      <c r="B336" s="41" t="n"/>
    </row>
    <row r="337" ht="15.75" customHeight="1" s="60">
      <c r="A337" s="41" t="n"/>
      <c r="B337" s="41" t="n"/>
    </row>
    <row r="338" ht="15.75" customHeight="1" s="60">
      <c r="A338" s="41" t="n"/>
      <c r="B338" s="41" t="n"/>
    </row>
    <row r="339" ht="15.75" customHeight="1" s="60">
      <c r="A339" s="41" t="n"/>
      <c r="B339" s="41" t="n"/>
    </row>
    <row r="340" ht="15.75" customHeight="1" s="60">
      <c r="A340" s="41" t="n"/>
      <c r="B340" s="41" t="n"/>
    </row>
    <row r="341" ht="15.75" customHeight="1" s="60">
      <c r="A341" s="41" t="n"/>
      <c r="B341" s="41" t="n"/>
    </row>
    <row r="342" ht="15.75" customHeight="1" s="60">
      <c r="A342" s="41" t="n"/>
      <c r="B342" s="41" t="n"/>
    </row>
    <row r="343" ht="15.75" customHeight="1" s="60">
      <c r="A343" s="41" t="n"/>
      <c r="B343" s="41" t="n"/>
    </row>
    <row r="344" ht="15.75" customHeight="1" s="60">
      <c r="A344" s="41" t="n"/>
      <c r="B344" s="41" t="n"/>
    </row>
    <row r="345" ht="15.75" customHeight="1" s="60">
      <c r="A345" s="41" t="n"/>
      <c r="B345" s="41" t="n"/>
    </row>
    <row r="346" ht="15.75" customHeight="1" s="60">
      <c r="A346" s="41" t="n"/>
      <c r="B346" s="41" t="n"/>
    </row>
    <row r="347" ht="15.75" customHeight="1" s="60">
      <c r="A347" s="41" t="n"/>
      <c r="B347" s="41" t="n"/>
    </row>
    <row r="348" ht="15.75" customHeight="1" s="60">
      <c r="A348" s="41" t="n"/>
      <c r="B348" s="41" t="n"/>
    </row>
    <row r="349" ht="15.75" customHeight="1" s="60">
      <c r="A349" s="41" t="n"/>
      <c r="B349" s="41" t="n"/>
    </row>
    <row r="350" ht="15.75" customHeight="1" s="60">
      <c r="A350" s="41" t="n"/>
      <c r="B350" s="41" t="n"/>
    </row>
    <row r="351" ht="15.75" customHeight="1" s="60">
      <c r="A351" s="41" t="n"/>
      <c r="B351" s="41" t="n"/>
    </row>
    <row r="352" ht="15.75" customHeight="1" s="60">
      <c r="A352" s="41" t="n"/>
      <c r="B352" s="41" t="n"/>
    </row>
    <row r="353" ht="15.75" customHeight="1" s="60">
      <c r="A353" s="41" t="n"/>
      <c r="B353" s="41" t="n"/>
    </row>
    <row r="354" ht="15.75" customHeight="1" s="60">
      <c r="A354" s="41" t="n"/>
      <c r="B354" s="41" t="n"/>
    </row>
    <row r="355" ht="15.75" customHeight="1" s="60">
      <c r="A355" s="41" t="n"/>
      <c r="B355" s="41" t="n"/>
    </row>
    <row r="356" ht="15.75" customHeight="1" s="60">
      <c r="A356" s="41" t="n"/>
      <c r="B356" s="41" t="n"/>
    </row>
    <row r="357" ht="15.75" customHeight="1" s="60">
      <c r="A357" s="41" t="n"/>
      <c r="B357" s="41" t="n"/>
    </row>
    <row r="358" ht="15.75" customHeight="1" s="60">
      <c r="A358" s="41" t="n"/>
      <c r="B358" s="41" t="n"/>
    </row>
    <row r="359" ht="15.75" customHeight="1" s="60">
      <c r="A359" s="41" t="n"/>
      <c r="B359" s="41" t="n"/>
    </row>
    <row r="360" ht="15.75" customHeight="1" s="60">
      <c r="A360" s="41" t="n"/>
      <c r="B360" s="41" t="n"/>
    </row>
    <row r="361" ht="15.75" customHeight="1" s="60">
      <c r="A361" s="41" t="n"/>
      <c r="B361" s="41" t="n"/>
    </row>
    <row r="362" ht="15.75" customHeight="1" s="60">
      <c r="A362" s="41" t="n"/>
      <c r="B362" s="41" t="n"/>
    </row>
    <row r="363" ht="15.75" customHeight="1" s="60">
      <c r="A363" s="41" t="n"/>
      <c r="B363" s="41" t="n"/>
    </row>
    <row r="364" ht="15.75" customHeight="1" s="60">
      <c r="A364" s="41" t="n"/>
      <c r="B364" s="41" t="n"/>
    </row>
    <row r="365" ht="15.75" customHeight="1" s="60">
      <c r="A365" s="41" t="n"/>
      <c r="B365" s="41" t="n"/>
    </row>
    <row r="366" ht="15.75" customHeight="1" s="60">
      <c r="A366" s="41" t="n"/>
      <c r="B366" s="41" t="n"/>
    </row>
    <row r="367" ht="15.75" customHeight="1" s="60">
      <c r="A367" s="41" t="n"/>
      <c r="B367" s="41" t="n"/>
    </row>
    <row r="368" ht="15.75" customHeight="1" s="60">
      <c r="A368" s="41" t="n"/>
      <c r="B368" s="41" t="n"/>
    </row>
    <row r="369" ht="15.75" customHeight="1" s="60">
      <c r="A369" s="41" t="n"/>
      <c r="B369" s="41" t="n"/>
    </row>
    <row r="370" ht="15.75" customHeight="1" s="60">
      <c r="A370" s="41" t="n"/>
      <c r="B370" s="41" t="n"/>
    </row>
    <row r="371" ht="15.75" customHeight="1" s="60">
      <c r="A371" s="41" t="n"/>
      <c r="B371" s="41" t="n"/>
    </row>
    <row r="372" ht="15.75" customHeight="1" s="60">
      <c r="A372" s="41" t="n"/>
      <c r="B372" s="41" t="n"/>
    </row>
    <row r="373" ht="15.75" customHeight="1" s="60">
      <c r="A373" s="41" t="n"/>
      <c r="B373" s="41" t="n"/>
    </row>
    <row r="374" ht="15.75" customHeight="1" s="60">
      <c r="A374" s="41" t="n"/>
      <c r="B374" s="41" t="n"/>
    </row>
    <row r="375" ht="15.75" customHeight="1" s="60">
      <c r="A375" s="41" t="n"/>
      <c r="B375" s="41" t="n"/>
    </row>
    <row r="376" ht="15.75" customHeight="1" s="60">
      <c r="A376" s="41" t="n"/>
      <c r="B376" s="41" t="n"/>
    </row>
    <row r="377" ht="15.75" customHeight="1" s="60">
      <c r="A377" s="41" t="n"/>
      <c r="B377" s="41" t="n"/>
    </row>
    <row r="378" ht="15.75" customHeight="1" s="60">
      <c r="A378" s="41" t="n"/>
      <c r="B378" s="41" t="n"/>
    </row>
    <row r="379" ht="15.75" customHeight="1" s="60">
      <c r="A379" s="41" t="n"/>
      <c r="B379" s="41" t="n"/>
    </row>
    <row r="380" ht="15.75" customHeight="1" s="60">
      <c r="A380" s="41" t="n"/>
      <c r="B380" s="41" t="n"/>
    </row>
    <row r="381" ht="15.75" customHeight="1" s="60">
      <c r="A381" s="41" t="n"/>
      <c r="B381" s="41" t="n"/>
    </row>
    <row r="382" ht="15.75" customHeight="1" s="60">
      <c r="A382" s="41" t="n"/>
      <c r="B382" s="41" t="n"/>
    </row>
    <row r="383" ht="15.75" customHeight="1" s="60">
      <c r="A383" s="41" t="n"/>
      <c r="B383" s="41" t="n"/>
    </row>
    <row r="384" ht="15.75" customHeight="1" s="60">
      <c r="A384" s="41" t="n"/>
      <c r="B384" s="41" t="n"/>
    </row>
    <row r="385" ht="15.75" customHeight="1" s="60">
      <c r="A385" s="41" t="n"/>
      <c r="B385" s="41" t="n"/>
    </row>
    <row r="386" ht="15.75" customHeight="1" s="60">
      <c r="A386" s="41" t="n"/>
      <c r="B386" s="41" t="n"/>
    </row>
    <row r="387" ht="15.75" customHeight="1" s="60">
      <c r="A387" s="41" t="n"/>
      <c r="B387" s="41" t="n"/>
    </row>
    <row r="388" ht="15.75" customHeight="1" s="60">
      <c r="A388" s="41" t="n"/>
      <c r="B388" s="41" t="n"/>
    </row>
    <row r="389" ht="15.75" customHeight="1" s="60">
      <c r="A389" s="41" t="n"/>
      <c r="B389" s="41" t="n"/>
    </row>
    <row r="390" ht="15.75" customHeight="1" s="60">
      <c r="A390" s="41" t="n"/>
      <c r="B390" s="41" t="n"/>
    </row>
    <row r="391" ht="15.75" customHeight="1" s="60">
      <c r="A391" s="41" t="n"/>
      <c r="B391" s="41" t="n"/>
    </row>
    <row r="392" ht="15.75" customHeight="1" s="60">
      <c r="A392" s="41" t="n"/>
      <c r="B392" s="41" t="n"/>
    </row>
    <row r="393" ht="15.75" customHeight="1" s="60">
      <c r="A393" s="41" t="n"/>
      <c r="B393" s="41" t="n"/>
    </row>
    <row r="394" ht="15.75" customHeight="1" s="60">
      <c r="A394" s="41" t="n"/>
      <c r="B394" s="41" t="n"/>
    </row>
    <row r="395" ht="15.75" customHeight="1" s="60">
      <c r="A395" s="41" t="n"/>
      <c r="B395" s="41" t="n"/>
    </row>
    <row r="396" ht="15.75" customHeight="1" s="60">
      <c r="A396" s="41" t="n"/>
      <c r="B396" s="41" t="n"/>
    </row>
    <row r="397" ht="15.75" customHeight="1" s="60">
      <c r="A397" s="41" t="n"/>
      <c r="B397" s="41" t="n"/>
    </row>
    <row r="398" ht="15.75" customHeight="1" s="60">
      <c r="A398" s="41" t="n"/>
      <c r="B398" s="41" t="n"/>
    </row>
    <row r="399" ht="15.75" customHeight="1" s="60">
      <c r="A399" s="41" t="n"/>
      <c r="B399" s="41" t="n"/>
    </row>
    <row r="400" ht="15.75" customHeight="1" s="60">
      <c r="A400" s="41" t="n"/>
      <c r="B400" s="41" t="n"/>
    </row>
    <row r="401" ht="15.75" customHeight="1" s="60">
      <c r="A401" s="41" t="n"/>
      <c r="B401" s="41" t="n"/>
    </row>
    <row r="402" ht="15.75" customHeight="1" s="60">
      <c r="A402" s="41" t="n"/>
      <c r="B402" s="41" t="n"/>
    </row>
    <row r="403" ht="15.75" customHeight="1" s="60">
      <c r="A403" s="41" t="n"/>
      <c r="B403" s="41" t="n"/>
    </row>
    <row r="404" ht="15.75" customHeight="1" s="60">
      <c r="A404" s="41" t="n"/>
      <c r="B404" s="41" t="n"/>
    </row>
    <row r="405" ht="15.75" customHeight="1" s="60">
      <c r="A405" s="41" t="n"/>
      <c r="B405" s="41" t="n"/>
    </row>
    <row r="406" ht="15.75" customHeight="1" s="60">
      <c r="A406" s="41" t="n"/>
      <c r="B406" s="41" t="n"/>
    </row>
    <row r="407" ht="15.75" customHeight="1" s="60">
      <c r="A407" s="41" t="n"/>
      <c r="B407" s="41" t="n"/>
    </row>
    <row r="408" ht="15.75" customHeight="1" s="60">
      <c r="A408" s="41" t="n"/>
      <c r="B408" s="41" t="n"/>
    </row>
    <row r="409" ht="15.75" customHeight="1" s="60">
      <c r="A409" s="41" t="n"/>
      <c r="B409" s="41" t="n"/>
    </row>
    <row r="410" ht="15.75" customHeight="1" s="60">
      <c r="A410" s="41" t="n"/>
      <c r="B410" s="41" t="n"/>
    </row>
    <row r="411" ht="15.75" customHeight="1" s="60">
      <c r="A411" s="41" t="n"/>
      <c r="B411" s="41" t="n"/>
    </row>
    <row r="412" ht="15.75" customHeight="1" s="60">
      <c r="A412" s="41" t="n"/>
      <c r="B412" s="41" t="n"/>
    </row>
    <row r="413" ht="15.75" customHeight="1" s="60">
      <c r="A413" s="41" t="n"/>
      <c r="B413" s="41" t="n"/>
    </row>
    <row r="414" ht="15.75" customHeight="1" s="60">
      <c r="A414" s="41" t="n"/>
      <c r="B414" s="41" t="n"/>
    </row>
    <row r="415" ht="15.75" customHeight="1" s="60">
      <c r="A415" s="41" t="n"/>
      <c r="B415" s="41" t="n"/>
    </row>
    <row r="416" ht="15.75" customHeight="1" s="60">
      <c r="A416" s="41" t="n"/>
      <c r="B416" s="41" t="n"/>
    </row>
    <row r="417" ht="15.75" customHeight="1" s="60">
      <c r="A417" s="41" t="n"/>
      <c r="B417" s="41" t="n"/>
    </row>
    <row r="418" ht="15.75" customHeight="1" s="60">
      <c r="A418" s="41" t="n"/>
      <c r="B418" s="41" t="n"/>
    </row>
    <row r="419" ht="15.75" customHeight="1" s="60">
      <c r="A419" s="41" t="n"/>
      <c r="B419" s="41" t="n"/>
    </row>
    <row r="420" ht="15.75" customHeight="1" s="60">
      <c r="A420" s="41" t="n"/>
      <c r="B420" s="41" t="n"/>
    </row>
    <row r="421" ht="15.75" customHeight="1" s="60">
      <c r="A421" s="41" t="n"/>
      <c r="B421" s="41" t="n"/>
    </row>
    <row r="422" ht="15.75" customHeight="1" s="60">
      <c r="A422" s="41" t="n"/>
      <c r="B422" s="41" t="n"/>
    </row>
    <row r="423" ht="15.75" customHeight="1" s="60">
      <c r="A423" s="41" t="n"/>
      <c r="B423" s="41" t="n"/>
    </row>
    <row r="424" ht="15.75" customHeight="1" s="60">
      <c r="A424" s="41" t="n"/>
      <c r="B424" s="41" t="n"/>
    </row>
    <row r="425" ht="15.75" customHeight="1" s="60">
      <c r="A425" s="41" t="n"/>
      <c r="B425" s="41" t="n"/>
    </row>
    <row r="426" ht="15.75" customHeight="1" s="60">
      <c r="A426" s="41" t="n"/>
      <c r="B426" s="41" t="n"/>
    </row>
    <row r="427" ht="15.75" customHeight="1" s="60">
      <c r="A427" s="41" t="n"/>
      <c r="B427" s="41" t="n"/>
    </row>
    <row r="428" ht="15.75" customHeight="1" s="60">
      <c r="A428" s="41" t="n"/>
      <c r="B428" s="41" t="n"/>
    </row>
    <row r="429" ht="15.75" customHeight="1" s="60">
      <c r="A429" s="41" t="n"/>
      <c r="B429" s="41" t="n"/>
    </row>
    <row r="430" ht="15.75" customHeight="1" s="60">
      <c r="A430" s="41" t="n"/>
      <c r="B430" s="41" t="n"/>
    </row>
    <row r="431" ht="15.75" customHeight="1" s="60">
      <c r="A431" s="41" t="n"/>
      <c r="B431" s="41" t="n"/>
    </row>
    <row r="432" ht="15.75" customHeight="1" s="60">
      <c r="A432" s="41" t="n"/>
      <c r="B432" s="41" t="n"/>
    </row>
    <row r="433" ht="15.75" customHeight="1" s="60">
      <c r="A433" s="41" t="n"/>
      <c r="B433" s="41" t="n"/>
    </row>
    <row r="434" ht="15.75" customHeight="1" s="60">
      <c r="A434" s="41" t="n"/>
      <c r="B434" s="41" t="n"/>
    </row>
    <row r="435" ht="15.75" customHeight="1" s="60">
      <c r="A435" s="41" t="n"/>
      <c r="B435" s="41" t="n"/>
    </row>
    <row r="436" ht="15.75" customHeight="1" s="60">
      <c r="A436" s="41" t="n"/>
      <c r="B436" s="41" t="n"/>
    </row>
    <row r="437" ht="15.75" customHeight="1" s="60">
      <c r="A437" s="41" t="n"/>
      <c r="B437" s="41" t="n"/>
    </row>
    <row r="438" ht="15.75" customHeight="1" s="60">
      <c r="A438" s="41" t="n"/>
      <c r="B438" s="41" t="n"/>
    </row>
    <row r="439" ht="15.75" customHeight="1" s="60">
      <c r="A439" s="41" t="n"/>
      <c r="B439" s="41" t="n"/>
    </row>
    <row r="440" ht="15.75" customHeight="1" s="60">
      <c r="A440" s="41" t="n"/>
      <c r="B440" s="41" t="n"/>
    </row>
    <row r="441" ht="15.75" customHeight="1" s="60">
      <c r="A441" s="41" t="n"/>
      <c r="B441" s="41" t="n"/>
    </row>
    <row r="442" ht="15.75" customHeight="1" s="60">
      <c r="A442" s="41" t="n"/>
      <c r="B442" s="41" t="n"/>
    </row>
    <row r="443" ht="15.75" customHeight="1" s="60">
      <c r="A443" s="41" t="n"/>
      <c r="B443" s="41" t="n"/>
    </row>
    <row r="444" ht="15.75" customHeight="1" s="60">
      <c r="A444" s="41" t="n"/>
      <c r="B444" s="41" t="n"/>
    </row>
    <row r="445" ht="15.75" customHeight="1" s="60">
      <c r="A445" s="41" t="n"/>
      <c r="B445" s="41" t="n"/>
    </row>
    <row r="446" ht="15.75" customHeight="1" s="60">
      <c r="A446" s="41" t="n"/>
      <c r="B446" s="41" t="n"/>
    </row>
    <row r="447" ht="15.75" customHeight="1" s="60">
      <c r="A447" s="41" t="n"/>
      <c r="B447" s="41" t="n"/>
    </row>
    <row r="448" ht="15.75" customHeight="1" s="60">
      <c r="A448" s="41" t="n"/>
      <c r="B448" s="41" t="n"/>
    </row>
    <row r="449" ht="15.75" customHeight="1" s="60">
      <c r="A449" s="41" t="n"/>
      <c r="B449" s="41" t="n"/>
    </row>
    <row r="450" ht="15.75" customHeight="1" s="60">
      <c r="A450" s="41" t="n"/>
      <c r="B450" s="41" t="n"/>
    </row>
    <row r="451" ht="15.75" customHeight="1" s="60">
      <c r="A451" s="41" t="n"/>
      <c r="B451" s="41" t="n"/>
    </row>
    <row r="452" ht="15.75" customHeight="1" s="60">
      <c r="A452" s="41" t="n"/>
      <c r="B452" s="41" t="n"/>
    </row>
    <row r="453" ht="15.75" customHeight="1" s="60">
      <c r="A453" s="41" t="n"/>
      <c r="B453" s="41" t="n"/>
    </row>
    <row r="454" ht="15.75" customHeight="1" s="60">
      <c r="A454" s="41" t="n"/>
      <c r="B454" s="41" t="n"/>
    </row>
    <row r="455" ht="15.75" customHeight="1" s="60">
      <c r="A455" s="41" t="n"/>
      <c r="B455" s="41" t="n"/>
    </row>
    <row r="456" ht="15.75" customHeight="1" s="60">
      <c r="A456" s="41" t="n"/>
      <c r="B456" s="41" t="n"/>
    </row>
    <row r="457" ht="15.75" customHeight="1" s="60">
      <c r="A457" s="41" t="n"/>
      <c r="B457" s="41" t="n"/>
    </row>
    <row r="458" ht="15.75" customHeight="1" s="60">
      <c r="A458" s="41" t="n"/>
      <c r="B458" s="41" t="n"/>
    </row>
    <row r="459" ht="15.75" customHeight="1" s="60">
      <c r="A459" s="41" t="n"/>
      <c r="B459" s="41" t="n"/>
    </row>
    <row r="460" ht="15.75" customHeight="1" s="60">
      <c r="A460" s="41" t="n"/>
      <c r="B460" s="41" t="n"/>
    </row>
    <row r="461" ht="15.75" customHeight="1" s="60">
      <c r="A461" s="41" t="n"/>
      <c r="B461" s="41" t="n"/>
    </row>
    <row r="462" ht="15.75" customHeight="1" s="60">
      <c r="A462" s="41" t="n"/>
      <c r="B462" s="41" t="n"/>
    </row>
    <row r="463" ht="15.75" customHeight="1" s="60">
      <c r="A463" s="41" t="n"/>
      <c r="B463" s="41" t="n"/>
    </row>
    <row r="464" ht="15.75" customHeight="1" s="60">
      <c r="A464" s="41" t="n"/>
      <c r="B464" s="41" t="n"/>
    </row>
    <row r="465" ht="15.75" customHeight="1" s="60">
      <c r="A465" s="41" t="n"/>
      <c r="B465" s="41" t="n"/>
    </row>
    <row r="466" ht="15.75" customHeight="1" s="60">
      <c r="A466" s="41" t="n"/>
      <c r="B466" s="41" t="n"/>
    </row>
    <row r="467" ht="15.75" customHeight="1" s="60">
      <c r="A467" s="41" t="n"/>
      <c r="B467" s="41" t="n"/>
    </row>
    <row r="468" ht="15.75" customHeight="1" s="60">
      <c r="A468" s="41" t="n"/>
      <c r="B468" s="41" t="n"/>
    </row>
    <row r="469" ht="15.75" customHeight="1" s="60">
      <c r="A469" s="41" t="n"/>
      <c r="B469" s="41" t="n"/>
    </row>
    <row r="470" ht="15.75" customHeight="1" s="60">
      <c r="A470" s="41" t="n"/>
      <c r="B470" s="41" t="n"/>
    </row>
    <row r="471" ht="15.75" customHeight="1" s="60">
      <c r="A471" s="41" t="n"/>
      <c r="B471" s="41" t="n"/>
    </row>
    <row r="472" ht="15.75" customHeight="1" s="60">
      <c r="A472" s="41" t="n"/>
      <c r="B472" s="41" t="n"/>
    </row>
    <row r="473" ht="15.75" customHeight="1" s="60">
      <c r="A473" s="41" t="n"/>
      <c r="B473" s="41" t="n"/>
    </row>
    <row r="474" ht="15.75" customHeight="1" s="60">
      <c r="A474" s="41" t="n"/>
      <c r="B474" s="41" t="n"/>
    </row>
    <row r="475" ht="15.75" customHeight="1" s="60">
      <c r="A475" s="41" t="n"/>
      <c r="B475" s="41" t="n"/>
    </row>
    <row r="476" ht="15.75" customHeight="1" s="60">
      <c r="A476" s="41" t="n"/>
      <c r="B476" s="41" t="n"/>
    </row>
    <row r="477" ht="15.75" customHeight="1" s="60">
      <c r="A477" s="41" t="n"/>
      <c r="B477" s="41" t="n"/>
    </row>
    <row r="478" ht="15.75" customHeight="1" s="60">
      <c r="A478" s="41" t="n"/>
      <c r="B478" s="41" t="n"/>
    </row>
    <row r="479" ht="15.75" customHeight="1" s="60">
      <c r="A479" s="41" t="n"/>
      <c r="B479" s="41" t="n"/>
    </row>
    <row r="480" ht="15.75" customHeight="1" s="60">
      <c r="A480" s="41" t="n"/>
      <c r="B480" s="41" t="n"/>
    </row>
    <row r="481" ht="15.75" customHeight="1" s="60">
      <c r="A481" s="41" t="n"/>
      <c r="B481" s="41" t="n"/>
    </row>
    <row r="482" ht="15.75" customHeight="1" s="60">
      <c r="A482" s="41" t="n"/>
      <c r="B482" s="41" t="n"/>
    </row>
    <row r="483" ht="15.75" customHeight="1" s="60">
      <c r="A483" s="41" t="n"/>
      <c r="B483" s="41" t="n"/>
    </row>
    <row r="484" ht="15.75" customHeight="1" s="60">
      <c r="A484" s="41" t="n"/>
      <c r="B484" s="41" t="n"/>
    </row>
    <row r="485" ht="15.75" customHeight="1" s="60">
      <c r="A485" s="41" t="n"/>
      <c r="B485" s="41" t="n"/>
    </row>
    <row r="486" ht="15.75" customHeight="1" s="60">
      <c r="A486" s="41" t="n"/>
      <c r="B486" s="41" t="n"/>
    </row>
    <row r="487" ht="15.75" customHeight="1" s="60">
      <c r="A487" s="41" t="n"/>
      <c r="B487" s="41" t="n"/>
    </row>
    <row r="488" ht="15.75" customHeight="1" s="60">
      <c r="A488" s="41" t="n"/>
      <c r="B488" s="41" t="n"/>
    </row>
    <row r="489" ht="15.75" customHeight="1" s="60">
      <c r="A489" s="41" t="n"/>
      <c r="B489" s="41" t="n"/>
    </row>
    <row r="490" ht="15.75" customHeight="1" s="60">
      <c r="A490" s="41" t="n"/>
      <c r="B490" s="41" t="n"/>
    </row>
    <row r="491" ht="15.75" customHeight="1" s="60">
      <c r="A491" s="41" t="n"/>
      <c r="B491" s="41" t="n"/>
    </row>
    <row r="492" ht="15.75" customHeight="1" s="60">
      <c r="A492" s="41" t="n"/>
      <c r="B492" s="41" t="n"/>
    </row>
    <row r="493" ht="15.75" customHeight="1" s="60">
      <c r="A493" s="41" t="n"/>
      <c r="B493" s="41" t="n"/>
    </row>
    <row r="494" ht="15.75" customHeight="1" s="60">
      <c r="A494" s="41" t="n"/>
      <c r="B494" s="41" t="n"/>
    </row>
    <row r="495" ht="15.75" customHeight="1" s="60">
      <c r="A495" s="41" t="n"/>
      <c r="B495" s="41" t="n"/>
    </row>
    <row r="496" ht="15.75" customHeight="1" s="60">
      <c r="A496" s="41" t="n"/>
      <c r="B496" s="41" t="n"/>
    </row>
    <row r="497" ht="15.75" customHeight="1" s="60">
      <c r="A497" s="41" t="n"/>
      <c r="B497" s="41" t="n"/>
    </row>
    <row r="498" ht="15.75" customHeight="1" s="60">
      <c r="A498" s="41" t="n"/>
      <c r="B498" s="41" t="n"/>
    </row>
    <row r="499" ht="15.75" customHeight="1" s="60">
      <c r="A499" s="41" t="n"/>
      <c r="B499" s="41" t="n"/>
    </row>
    <row r="500" ht="15.75" customHeight="1" s="60">
      <c r="A500" s="41" t="n"/>
      <c r="B500" s="41" t="n"/>
    </row>
    <row r="501" ht="15.75" customHeight="1" s="60">
      <c r="A501" s="41" t="n"/>
      <c r="B501" s="41" t="n"/>
    </row>
    <row r="502" ht="15.75" customHeight="1" s="60">
      <c r="A502" s="41" t="n"/>
      <c r="B502" s="41" t="n"/>
    </row>
    <row r="503" ht="15.75" customHeight="1" s="60">
      <c r="A503" s="41" t="n"/>
      <c r="B503" s="41" t="n"/>
    </row>
    <row r="504" ht="15.75" customHeight="1" s="60">
      <c r="A504" s="41" t="n"/>
      <c r="B504" s="41" t="n"/>
    </row>
    <row r="505" ht="15.75" customHeight="1" s="60">
      <c r="A505" s="41" t="n"/>
      <c r="B505" s="41" t="n"/>
    </row>
    <row r="506" ht="15.75" customHeight="1" s="60">
      <c r="A506" s="41" t="n"/>
      <c r="B506" s="41" t="n"/>
    </row>
    <row r="507" ht="15.75" customHeight="1" s="60">
      <c r="A507" s="41" t="n"/>
      <c r="B507" s="41" t="n"/>
    </row>
    <row r="508" ht="15.75" customHeight="1" s="60">
      <c r="A508" s="41" t="n"/>
      <c r="B508" s="41" t="n"/>
    </row>
    <row r="509" ht="15.75" customHeight="1" s="60">
      <c r="A509" s="41" t="n"/>
      <c r="B509" s="41" t="n"/>
    </row>
    <row r="510" ht="15.75" customHeight="1" s="60">
      <c r="A510" s="41" t="n"/>
      <c r="B510" s="41" t="n"/>
    </row>
    <row r="511" ht="15.75" customHeight="1" s="60">
      <c r="A511" s="41" t="n"/>
      <c r="B511" s="41" t="n"/>
    </row>
    <row r="512" ht="15.75" customHeight="1" s="60">
      <c r="A512" s="41" t="n"/>
      <c r="B512" s="41" t="n"/>
    </row>
    <row r="513" ht="15.75" customHeight="1" s="60">
      <c r="A513" s="41" t="n"/>
      <c r="B513" s="41" t="n"/>
    </row>
    <row r="514" ht="15.75" customHeight="1" s="60">
      <c r="A514" s="41" t="n"/>
      <c r="B514" s="41" t="n"/>
    </row>
    <row r="515" ht="15.75" customHeight="1" s="60">
      <c r="A515" s="41" t="n"/>
      <c r="B515" s="41" t="n"/>
    </row>
    <row r="516" ht="15.75" customHeight="1" s="60">
      <c r="A516" s="41" t="n"/>
      <c r="B516" s="41" t="n"/>
    </row>
    <row r="517" ht="15.75" customHeight="1" s="60">
      <c r="A517" s="41" t="n"/>
      <c r="B517" s="41" t="n"/>
    </row>
    <row r="518" ht="15.75" customHeight="1" s="60">
      <c r="A518" s="41" t="n"/>
      <c r="B518" s="41" t="n"/>
    </row>
    <row r="519" ht="15.75" customHeight="1" s="60">
      <c r="A519" s="41" t="n"/>
      <c r="B519" s="41" t="n"/>
    </row>
    <row r="520" ht="15.75" customHeight="1" s="60">
      <c r="A520" s="41" t="n"/>
      <c r="B520" s="41" t="n"/>
    </row>
    <row r="521" ht="15.75" customHeight="1" s="60">
      <c r="A521" s="41" t="n"/>
      <c r="B521" s="41" t="n"/>
    </row>
    <row r="522" ht="15.75" customHeight="1" s="60">
      <c r="A522" s="41" t="n"/>
      <c r="B522" s="41" t="n"/>
    </row>
    <row r="523" ht="15.75" customHeight="1" s="60">
      <c r="A523" s="41" t="n"/>
      <c r="B523" s="41" t="n"/>
    </row>
    <row r="524" ht="15.75" customHeight="1" s="60">
      <c r="A524" s="41" t="n"/>
      <c r="B524" s="41" t="n"/>
    </row>
    <row r="525" ht="15.75" customHeight="1" s="60">
      <c r="A525" s="41" t="n"/>
      <c r="B525" s="41" t="n"/>
    </row>
    <row r="526" ht="15.75" customHeight="1" s="60">
      <c r="A526" s="41" t="n"/>
      <c r="B526" s="41" t="n"/>
    </row>
    <row r="527" ht="15.75" customHeight="1" s="60">
      <c r="A527" s="41" t="n"/>
      <c r="B527" s="41" t="n"/>
    </row>
    <row r="528" ht="15.75" customHeight="1" s="60">
      <c r="A528" s="41" t="n"/>
      <c r="B528" s="41" t="n"/>
    </row>
    <row r="529" ht="15.75" customHeight="1" s="60">
      <c r="A529" s="41" t="n"/>
      <c r="B529" s="41" t="n"/>
    </row>
    <row r="530" ht="15.75" customHeight="1" s="60">
      <c r="A530" s="41" t="n"/>
      <c r="B530" s="41" t="n"/>
    </row>
    <row r="531" ht="15.75" customHeight="1" s="60">
      <c r="A531" s="41" t="n"/>
      <c r="B531" s="41" t="n"/>
    </row>
    <row r="532" ht="15.75" customHeight="1" s="60">
      <c r="A532" s="41" t="n"/>
      <c r="B532" s="41" t="n"/>
    </row>
    <row r="533" ht="15.75" customHeight="1" s="60">
      <c r="A533" s="41" t="n"/>
      <c r="B533" s="41" t="n"/>
    </row>
    <row r="534" ht="15.75" customHeight="1" s="60">
      <c r="A534" s="41" t="n"/>
      <c r="B534" s="41" t="n"/>
    </row>
    <row r="535" ht="15.75" customHeight="1" s="60">
      <c r="A535" s="41" t="n"/>
      <c r="B535" s="41" t="n"/>
    </row>
    <row r="536" ht="15.75" customHeight="1" s="60">
      <c r="A536" s="41" t="n"/>
      <c r="B536" s="41" t="n"/>
    </row>
    <row r="537" ht="15.75" customHeight="1" s="60">
      <c r="A537" s="41" t="n"/>
      <c r="B537" s="41" t="n"/>
    </row>
    <row r="538" ht="15.75" customHeight="1" s="60">
      <c r="A538" s="41" t="n"/>
      <c r="B538" s="41" t="n"/>
    </row>
    <row r="539" ht="15.75" customHeight="1" s="60">
      <c r="A539" s="41" t="n"/>
      <c r="B539" s="41" t="n"/>
    </row>
    <row r="540" ht="15.75" customHeight="1" s="60">
      <c r="A540" s="41" t="n"/>
      <c r="B540" s="41" t="n"/>
    </row>
    <row r="541" ht="15.75" customHeight="1" s="60">
      <c r="A541" s="41" t="n"/>
      <c r="B541" s="41" t="n"/>
    </row>
    <row r="542" ht="15.75" customHeight="1" s="60">
      <c r="A542" s="41" t="n"/>
      <c r="B542" s="41" t="n"/>
    </row>
    <row r="543" ht="15.75" customHeight="1" s="60">
      <c r="A543" s="41" t="n"/>
      <c r="B543" s="41" t="n"/>
    </row>
    <row r="544" ht="15.75" customHeight="1" s="60">
      <c r="A544" s="41" t="n"/>
      <c r="B544" s="41" t="n"/>
    </row>
    <row r="545" ht="15.75" customHeight="1" s="60">
      <c r="A545" s="41" t="n"/>
      <c r="B545" s="41" t="n"/>
    </row>
    <row r="546" ht="15.75" customHeight="1" s="60">
      <c r="A546" s="41" t="n"/>
      <c r="B546" s="41" t="n"/>
    </row>
    <row r="547" ht="15.75" customHeight="1" s="60">
      <c r="A547" s="41" t="n"/>
      <c r="B547" s="41" t="n"/>
    </row>
    <row r="548" ht="15.75" customHeight="1" s="60">
      <c r="A548" s="41" t="n"/>
      <c r="B548" s="41" t="n"/>
    </row>
    <row r="549" ht="15.75" customHeight="1" s="60">
      <c r="A549" s="41" t="n"/>
      <c r="B549" s="41" t="n"/>
    </row>
    <row r="550" ht="15.75" customHeight="1" s="60">
      <c r="A550" s="41" t="n"/>
      <c r="B550" s="41" t="n"/>
    </row>
    <row r="551" ht="15.75" customHeight="1" s="60">
      <c r="A551" s="41" t="n"/>
      <c r="B551" s="41" t="n"/>
    </row>
    <row r="552" ht="15.75" customHeight="1" s="60">
      <c r="A552" s="41" t="n"/>
      <c r="B552" s="41" t="n"/>
    </row>
    <row r="553" ht="15.75" customHeight="1" s="60">
      <c r="A553" s="41" t="n"/>
      <c r="B553" s="41" t="n"/>
    </row>
    <row r="554" ht="15.75" customHeight="1" s="60">
      <c r="A554" s="41" t="n"/>
      <c r="B554" s="41" t="n"/>
    </row>
    <row r="555" ht="15.75" customHeight="1" s="60">
      <c r="A555" s="41" t="n"/>
      <c r="B555" s="41" t="n"/>
    </row>
    <row r="556" ht="15.75" customHeight="1" s="60">
      <c r="A556" s="41" t="n"/>
      <c r="B556" s="41" t="n"/>
    </row>
    <row r="557" ht="15.75" customHeight="1" s="60">
      <c r="A557" s="41" t="n"/>
      <c r="B557" s="41" t="n"/>
    </row>
    <row r="558" ht="15.75" customHeight="1" s="60">
      <c r="A558" s="41" t="n"/>
      <c r="B558" s="41" t="n"/>
    </row>
    <row r="559" ht="15.75" customHeight="1" s="60">
      <c r="A559" s="41" t="n"/>
      <c r="B559" s="41" t="n"/>
    </row>
    <row r="560" ht="15.75" customHeight="1" s="60">
      <c r="A560" s="41" t="n"/>
      <c r="B560" s="41" t="n"/>
    </row>
    <row r="561" ht="15.75" customHeight="1" s="60">
      <c r="A561" s="41" t="n"/>
      <c r="B561" s="41" t="n"/>
    </row>
    <row r="562" ht="15.75" customHeight="1" s="60">
      <c r="A562" s="41" t="n"/>
      <c r="B562" s="41" t="n"/>
    </row>
    <row r="563" ht="15.75" customHeight="1" s="60">
      <c r="A563" s="41" t="n"/>
      <c r="B563" s="41" t="n"/>
    </row>
    <row r="564" ht="15.75" customHeight="1" s="60">
      <c r="A564" s="41" t="n"/>
      <c r="B564" s="41" t="n"/>
    </row>
    <row r="565" ht="15.75" customHeight="1" s="60">
      <c r="A565" s="41" t="n"/>
      <c r="B565" s="41" t="n"/>
    </row>
    <row r="566" ht="15.75" customHeight="1" s="60">
      <c r="A566" s="41" t="n"/>
      <c r="B566" s="41" t="n"/>
    </row>
    <row r="567" ht="15.75" customHeight="1" s="60">
      <c r="A567" s="41" t="n"/>
      <c r="B567" s="41" t="n"/>
    </row>
    <row r="568" ht="15.75" customHeight="1" s="60">
      <c r="A568" s="41" t="n"/>
      <c r="B568" s="41" t="n"/>
    </row>
    <row r="569" ht="15.75" customHeight="1" s="60">
      <c r="A569" s="41" t="n"/>
      <c r="B569" s="41" t="n"/>
    </row>
    <row r="570" ht="15.75" customHeight="1" s="60">
      <c r="A570" s="41" t="n"/>
      <c r="B570" s="41" t="n"/>
    </row>
    <row r="571" ht="15.75" customHeight="1" s="60">
      <c r="A571" s="41" t="n"/>
      <c r="B571" s="41" t="n"/>
    </row>
    <row r="572" ht="15.75" customHeight="1" s="60">
      <c r="A572" s="41" t="n"/>
      <c r="B572" s="41" t="n"/>
    </row>
    <row r="573" ht="15.75" customHeight="1" s="60">
      <c r="A573" s="41" t="n"/>
      <c r="B573" s="41" t="n"/>
    </row>
    <row r="574" ht="15.75" customHeight="1" s="60">
      <c r="A574" s="41" t="n"/>
      <c r="B574" s="41" t="n"/>
    </row>
    <row r="575" ht="15.75" customHeight="1" s="60">
      <c r="A575" s="41" t="n"/>
      <c r="B575" s="41" t="n"/>
    </row>
    <row r="576" ht="15.75" customHeight="1" s="60">
      <c r="A576" s="41" t="n"/>
      <c r="B576" s="41" t="n"/>
    </row>
    <row r="577" ht="15.75" customHeight="1" s="60">
      <c r="A577" s="41" t="n"/>
      <c r="B577" s="41" t="n"/>
    </row>
    <row r="578" ht="15.75" customHeight="1" s="60">
      <c r="A578" s="41" t="n"/>
      <c r="B578" s="41" t="n"/>
    </row>
    <row r="579" ht="15.75" customHeight="1" s="60">
      <c r="A579" s="41" t="n"/>
      <c r="B579" s="41" t="n"/>
    </row>
    <row r="580" ht="15.75" customHeight="1" s="60">
      <c r="A580" s="41" t="n"/>
      <c r="B580" s="41" t="n"/>
    </row>
    <row r="581" ht="15.75" customHeight="1" s="60">
      <c r="A581" s="41" t="n"/>
      <c r="B581" s="41" t="n"/>
    </row>
    <row r="582" ht="15.75" customHeight="1" s="60">
      <c r="A582" s="41" t="n"/>
      <c r="B582" s="41" t="n"/>
    </row>
    <row r="583" ht="15.75" customHeight="1" s="60">
      <c r="A583" s="41" t="n"/>
      <c r="B583" s="41" t="n"/>
    </row>
    <row r="584" ht="15.75" customHeight="1" s="60">
      <c r="A584" s="41" t="n"/>
      <c r="B584" s="41" t="n"/>
    </row>
    <row r="585" ht="15.75" customHeight="1" s="60">
      <c r="A585" s="41" t="n"/>
      <c r="B585" s="41" t="n"/>
    </row>
    <row r="586" ht="15.75" customHeight="1" s="60">
      <c r="A586" s="41" t="n"/>
      <c r="B586" s="41" t="n"/>
    </row>
    <row r="587" ht="15.75" customHeight="1" s="60">
      <c r="A587" s="41" t="n"/>
      <c r="B587" s="41" t="n"/>
    </row>
    <row r="588" ht="15.75" customHeight="1" s="60">
      <c r="A588" s="41" t="n"/>
      <c r="B588" s="41" t="n"/>
    </row>
    <row r="589" ht="15.75" customHeight="1" s="60">
      <c r="A589" s="41" t="n"/>
      <c r="B589" s="41" t="n"/>
    </row>
    <row r="590" ht="15.75" customHeight="1" s="60">
      <c r="A590" s="41" t="n"/>
      <c r="B590" s="41" t="n"/>
    </row>
    <row r="591" ht="15.75" customHeight="1" s="60">
      <c r="A591" s="41" t="n"/>
      <c r="B591" s="41" t="n"/>
    </row>
    <row r="592" ht="15.75" customHeight="1" s="60">
      <c r="A592" s="41" t="n"/>
      <c r="B592" s="41" t="n"/>
    </row>
    <row r="593" ht="15.75" customHeight="1" s="60">
      <c r="A593" s="41" t="n"/>
      <c r="B593" s="41" t="n"/>
    </row>
    <row r="594" ht="15.75" customHeight="1" s="60">
      <c r="A594" s="41" t="n"/>
      <c r="B594" s="41" t="n"/>
    </row>
    <row r="595" ht="15.75" customHeight="1" s="60">
      <c r="A595" s="41" t="n"/>
      <c r="B595" s="41" t="n"/>
    </row>
    <row r="596" ht="15.75" customHeight="1" s="60">
      <c r="A596" s="41" t="n"/>
      <c r="B596" s="41" t="n"/>
    </row>
    <row r="597" ht="15.75" customHeight="1" s="60">
      <c r="A597" s="41" t="n"/>
      <c r="B597" s="41" t="n"/>
    </row>
    <row r="598" ht="15.75" customHeight="1" s="60">
      <c r="A598" s="41" t="n"/>
      <c r="B598" s="41" t="n"/>
    </row>
    <row r="599" ht="15.75" customHeight="1" s="60">
      <c r="A599" s="41" t="n"/>
      <c r="B599" s="41" t="n"/>
    </row>
    <row r="600" ht="15.75" customHeight="1" s="60">
      <c r="A600" s="41" t="n"/>
      <c r="B600" s="41" t="n"/>
    </row>
    <row r="601" ht="15.75" customHeight="1" s="60">
      <c r="A601" s="41" t="n"/>
      <c r="B601" s="41" t="n"/>
    </row>
    <row r="602" ht="15.75" customHeight="1" s="60">
      <c r="A602" s="41" t="n"/>
      <c r="B602" s="41" t="n"/>
    </row>
    <row r="603" ht="15.75" customHeight="1" s="60">
      <c r="A603" s="41" t="n"/>
      <c r="B603" s="41" t="n"/>
    </row>
    <row r="604" ht="15.75" customHeight="1" s="60">
      <c r="A604" s="41" t="n"/>
      <c r="B604" s="41" t="n"/>
    </row>
    <row r="605" ht="15.75" customHeight="1" s="60">
      <c r="A605" s="41" t="n"/>
      <c r="B605" s="41" t="n"/>
    </row>
    <row r="606" ht="15.75" customHeight="1" s="60">
      <c r="A606" s="41" t="n"/>
      <c r="B606" s="41" t="n"/>
    </row>
    <row r="607" ht="15.75" customHeight="1" s="60">
      <c r="A607" s="41" t="n"/>
      <c r="B607" s="41" t="n"/>
    </row>
    <row r="608" ht="15.75" customHeight="1" s="60">
      <c r="A608" s="41" t="n"/>
      <c r="B608" s="41" t="n"/>
    </row>
    <row r="609" ht="15.75" customHeight="1" s="60">
      <c r="A609" s="41" t="n"/>
      <c r="B609" s="41" t="n"/>
    </row>
    <row r="610" ht="15.75" customHeight="1" s="60">
      <c r="A610" s="41" t="n"/>
      <c r="B610" s="41" t="n"/>
    </row>
    <row r="611" ht="15.75" customHeight="1" s="60">
      <c r="A611" s="41" t="n"/>
      <c r="B611" s="41" t="n"/>
    </row>
    <row r="612" ht="15.75" customHeight="1" s="60">
      <c r="A612" s="41" t="n"/>
      <c r="B612" s="41" t="n"/>
    </row>
    <row r="613" ht="15.75" customHeight="1" s="60">
      <c r="A613" s="41" t="n"/>
      <c r="B613" s="41" t="n"/>
    </row>
    <row r="614" ht="15.75" customHeight="1" s="60">
      <c r="A614" s="41" t="n"/>
      <c r="B614" s="41" t="n"/>
    </row>
    <row r="615" ht="15.75" customHeight="1" s="60">
      <c r="A615" s="41" t="n"/>
      <c r="B615" s="41" t="n"/>
    </row>
    <row r="616" ht="15.75" customHeight="1" s="60">
      <c r="A616" s="41" t="n"/>
      <c r="B616" s="41" t="n"/>
    </row>
    <row r="617" ht="15.75" customHeight="1" s="60">
      <c r="A617" s="41" t="n"/>
      <c r="B617" s="41" t="n"/>
    </row>
    <row r="618" ht="15.75" customHeight="1" s="60">
      <c r="A618" s="41" t="n"/>
      <c r="B618" s="41" t="n"/>
    </row>
    <row r="619" ht="15.75" customHeight="1" s="60">
      <c r="A619" s="41" t="n"/>
      <c r="B619" s="41" t="n"/>
    </row>
    <row r="620" ht="15.75" customHeight="1" s="60">
      <c r="A620" s="41" t="n"/>
      <c r="B620" s="41" t="n"/>
    </row>
    <row r="621" ht="15.75" customHeight="1" s="60">
      <c r="A621" s="41" t="n"/>
      <c r="B621" s="41" t="n"/>
    </row>
    <row r="622" ht="15.75" customHeight="1" s="60">
      <c r="A622" s="41" t="n"/>
      <c r="B622" s="41" t="n"/>
    </row>
    <row r="623" ht="15.75" customHeight="1" s="60">
      <c r="A623" s="41" t="n"/>
      <c r="B623" s="41" t="n"/>
    </row>
    <row r="624" ht="15.75" customHeight="1" s="60">
      <c r="A624" s="41" t="n"/>
      <c r="B624" s="41" t="n"/>
    </row>
    <row r="625" ht="15.75" customHeight="1" s="60">
      <c r="A625" s="41" t="n"/>
      <c r="B625" s="41" t="n"/>
    </row>
    <row r="626" ht="15.75" customHeight="1" s="60">
      <c r="A626" s="41" t="n"/>
      <c r="B626" s="41" t="n"/>
    </row>
    <row r="627" ht="15.75" customHeight="1" s="60">
      <c r="A627" s="41" t="n"/>
      <c r="B627" s="41" t="n"/>
    </row>
    <row r="628" ht="15.75" customHeight="1" s="60">
      <c r="A628" s="41" t="n"/>
      <c r="B628" s="41" t="n"/>
    </row>
    <row r="629" ht="15.75" customHeight="1" s="60">
      <c r="A629" s="41" t="n"/>
      <c r="B629" s="41" t="n"/>
    </row>
    <row r="630" ht="15.75" customHeight="1" s="60">
      <c r="A630" s="41" t="n"/>
      <c r="B630" s="41" t="n"/>
    </row>
    <row r="631" ht="15.75" customHeight="1" s="60">
      <c r="A631" s="41" t="n"/>
      <c r="B631" s="41" t="n"/>
    </row>
    <row r="632" ht="15.75" customHeight="1" s="60">
      <c r="A632" s="41" t="n"/>
      <c r="B632" s="41" t="n"/>
    </row>
    <row r="633" ht="15.75" customHeight="1" s="60">
      <c r="A633" s="41" t="n"/>
      <c r="B633" s="41" t="n"/>
    </row>
    <row r="634" ht="15.75" customHeight="1" s="60">
      <c r="A634" s="41" t="n"/>
      <c r="B634" s="41" t="n"/>
    </row>
    <row r="635" ht="15.75" customHeight="1" s="60">
      <c r="A635" s="41" t="n"/>
      <c r="B635" s="41" t="n"/>
    </row>
    <row r="636" ht="15.75" customHeight="1" s="60">
      <c r="A636" s="41" t="n"/>
      <c r="B636" s="41" t="n"/>
    </row>
    <row r="637" ht="15.75" customHeight="1" s="60">
      <c r="A637" s="41" t="n"/>
      <c r="B637" s="41" t="n"/>
    </row>
    <row r="638" ht="15.75" customHeight="1" s="60">
      <c r="A638" s="41" t="n"/>
      <c r="B638" s="41" t="n"/>
    </row>
    <row r="639" ht="15.75" customHeight="1" s="60">
      <c r="A639" s="41" t="n"/>
      <c r="B639" s="41" t="n"/>
    </row>
    <row r="640" ht="15.75" customHeight="1" s="60">
      <c r="A640" s="41" t="n"/>
      <c r="B640" s="41" t="n"/>
    </row>
    <row r="641" ht="15.75" customHeight="1" s="60">
      <c r="A641" s="41" t="n"/>
      <c r="B641" s="41" t="n"/>
    </row>
    <row r="642" ht="15.75" customHeight="1" s="60">
      <c r="A642" s="41" t="n"/>
      <c r="B642" s="41" t="n"/>
    </row>
    <row r="643" ht="15.75" customHeight="1" s="60">
      <c r="A643" s="41" t="n"/>
      <c r="B643" s="41" t="n"/>
    </row>
    <row r="644" ht="15.75" customHeight="1" s="60">
      <c r="A644" s="41" t="n"/>
      <c r="B644" s="41" t="n"/>
    </row>
    <row r="645" ht="15.75" customHeight="1" s="60">
      <c r="A645" s="41" t="n"/>
      <c r="B645" s="41" t="n"/>
    </row>
    <row r="646" ht="15.75" customHeight="1" s="60">
      <c r="A646" s="41" t="n"/>
      <c r="B646" s="41" t="n"/>
    </row>
    <row r="647" ht="15.75" customHeight="1" s="60">
      <c r="A647" s="41" t="n"/>
      <c r="B647" s="41" t="n"/>
    </row>
    <row r="648" ht="15.75" customHeight="1" s="60">
      <c r="A648" s="41" t="n"/>
      <c r="B648" s="41" t="n"/>
    </row>
    <row r="649" ht="15.75" customHeight="1" s="60">
      <c r="A649" s="41" t="n"/>
      <c r="B649" s="41" t="n"/>
    </row>
    <row r="650" ht="15.75" customHeight="1" s="60">
      <c r="A650" s="41" t="n"/>
      <c r="B650" s="41" t="n"/>
    </row>
    <row r="651" ht="15.75" customHeight="1" s="60">
      <c r="A651" s="41" t="n"/>
      <c r="B651" s="41" t="n"/>
    </row>
    <row r="652" ht="15.75" customHeight="1" s="60">
      <c r="A652" s="41" t="n"/>
      <c r="B652" s="41" t="n"/>
    </row>
    <row r="653" ht="15.75" customHeight="1" s="60">
      <c r="A653" s="41" t="n"/>
      <c r="B653" s="41" t="n"/>
    </row>
    <row r="654" ht="15.75" customHeight="1" s="60">
      <c r="A654" s="41" t="n"/>
      <c r="B654" s="41" t="n"/>
    </row>
    <row r="655" ht="15.75" customHeight="1" s="60">
      <c r="A655" s="41" t="n"/>
      <c r="B655" s="41" t="n"/>
    </row>
    <row r="656" ht="15.75" customHeight="1" s="60">
      <c r="A656" s="41" t="n"/>
      <c r="B656" s="41" t="n"/>
    </row>
    <row r="657" ht="15.75" customHeight="1" s="60">
      <c r="A657" s="41" t="n"/>
      <c r="B657" s="41" t="n"/>
    </row>
    <row r="658" ht="15.75" customHeight="1" s="60">
      <c r="A658" s="41" t="n"/>
      <c r="B658" s="41" t="n"/>
    </row>
    <row r="659" ht="15.75" customHeight="1" s="60">
      <c r="A659" s="41" t="n"/>
      <c r="B659" s="41" t="n"/>
    </row>
    <row r="660" ht="15.75" customHeight="1" s="60">
      <c r="A660" s="41" t="n"/>
      <c r="B660" s="41" t="n"/>
    </row>
    <row r="661" ht="15.75" customHeight="1" s="60">
      <c r="A661" s="41" t="n"/>
      <c r="B661" s="41" t="n"/>
    </row>
    <row r="662" ht="15.75" customHeight="1" s="60">
      <c r="A662" s="41" t="n"/>
      <c r="B662" s="41" t="n"/>
    </row>
    <row r="663" ht="15.75" customHeight="1" s="60">
      <c r="A663" s="41" t="n"/>
      <c r="B663" s="41" t="n"/>
    </row>
    <row r="664" ht="15.75" customHeight="1" s="60">
      <c r="A664" s="41" t="n"/>
      <c r="B664" s="41" t="n"/>
    </row>
    <row r="665" ht="15.75" customHeight="1" s="60">
      <c r="A665" s="41" t="n"/>
      <c r="B665" s="41" t="n"/>
    </row>
    <row r="666" ht="15.75" customHeight="1" s="60">
      <c r="A666" s="41" t="n"/>
      <c r="B666" s="41" t="n"/>
    </row>
    <row r="667" ht="15.75" customHeight="1" s="60">
      <c r="A667" s="41" t="n"/>
      <c r="B667" s="41" t="n"/>
    </row>
    <row r="668" ht="15.75" customHeight="1" s="60">
      <c r="A668" s="41" t="n"/>
      <c r="B668" s="41" t="n"/>
    </row>
    <row r="669" ht="15.75" customHeight="1" s="60">
      <c r="A669" s="41" t="n"/>
      <c r="B669" s="41" t="n"/>
    </row>
    <row r="670" ht="15.75" customHeight="1" s="60">
      <c r="A670" s="41" t="n"/>
      <c r="B670" s="41" t="n"/>
    </row>
    <row r="671" ht="15.75" customHeight="1" s="60">
      <c r="A671" s="41" t="n"/>
      <c r="B671" s="41" t="n"/>
    </row>
    <row r="672" ht="15.75" customHeight="1" s="60">
      <c r="A672" s="41" t="n"/>
      <c r="B672" s="41" t="n"/>
    </row>
    <row r="673" ht="15.75" customHeight="1" s="60">
      <c r="A673" s="41" t="n"/>
      <c r="B673" s="41" t="n"/>
    </row>
    <row r="674" ht="15.75" customHeight="1" s="60">
      <c r="A674" s="41" t="n"/>
      <c r="B674" s="41" t="n"/>
    </row>
    <row r="675" ht="15.75" customHeight="1" s="60">
      <c r="A675" s="41" t="n"/>
      <c r="B675" s="41" t="n"/>
    </row>
    <row r="676" ht="15.75" customHeight="1" s="60">
      <c r="A676" s="41" t="n"/>
      <c r="B676" s="41" t="n"/>
    </row>
    <row r="677" ht="15.75" customHeight="1" s="60">
      <c r="A677" s="41" t="n"/>
      <c r="B677" s="41" t="n"/>
    </row>
    <row r="678" ht="15.75" customHeight="1" s="60">
      <c r="A678" s="41" t="n"/>
      <c r="B678" s="41" t="n"/>
    </row>
    <row r="679" ht="15.75" customHeight="1" s="60">
      <c r="A679" s="41" t="n"/>
      <c r="B679" s="41" t="n"/>
    </row>
    <row r="680" ht="15.75" customHeight="1" s="60">
      <c r="A680" s="41" t="n"/>
      <c r="B680" s="41" t="n"/>
    </row>
    <row r="681" ht="15.75" customHeight="1" s="60">
      <c r="A681" s="41" t="n"/>
      <c r="B681" s="41" t="n"/>
    </row>
    <row r="682" ht="15.75" customHeight="1" s="60">
      <c r="A682" s="41" t="n"/>
      <c r="B682" s="41" t="n"/>
    </row>
    <row r="683" ht="15.75" customHeight="1" s="60">
      <c r="A683" s="41" t="n"/>
      <c r="B683" s="41" t="n"/>
    </row>
    <row r="684" ht="15.75" customHeight="1" s="60">
      <c r="A684" s="41" t="n"/>
      <c r="B684" s="41" t="n"/>
    </row>
    <row r="685" ht="15.75" customHeight="1" s="60">
      <c r="A685" s="41" t="n"/>
      <c r="B685" s="41" t="n"/>
    </row>
    <row r="686" ht="15.75" customHeight="1" s="60">
      <c r="A686" s="41" t="n"/>
      <c r="B686" s="41" t="n"/>
    </row>
    <row r="687" ht="15.75" customHeight="1" s="60">
      <c r="A687" s="41" t="n"/>
      <c r="B687" s="41" t="n"/>
    </row>
    <row r="688" ht="15.75" customHeight="1" s="60">
      <c r="A688" s="41" t="n"/>
      <c r="B688" s="41" t="n"/>
    </row>
    <row r="689" ht="15.75" customHeight="1" s="60">
      <c r="A689" s="41" t="n"/>
      <c r="B689" s="41" t="n"/>
    </row>
    <row r="690" ht="15.75" customHeight="1" s="60">
      <c r="A690" s="41" t="n"/>
      <c r="B690" s="41" t="n"/>
    </row>
    <row r="691" ht="15.75" customHeight="1" s="60">
      <c r="A691" s="41" t="n"/>
      <c r="B691" s="41" t="n"/>
    </row>
    <row r="692" ht="15.75" customHeight="1" s="60">
      <c r="A692" s="41" t="n"/>
      <c r="B692" s="41" t="n"/>
    </row>
    <row r="693" ht="15.75" customHeight="1" s="60">
      <c r="A693" s="41" t="n"/>
      <c r="B693" s="41" t="n"/>
    </row>
    <row r="694" ht="15.75" customHeight="1" s="60">
      <c r="A694" s="41" t="n"/>
      <c r="B694" s="41" t="n"/>
    </row>
    <row r="695" ht="15.75" customHeight="1" s="60">
      <c r="A695" s="41" t="n"/>
      <c r="B695" s="41" t="n"/>
    </row>
    <row r="696" ht="15.75" customHeight="1" s="60">
      <c r="A696" s="41" t="n"/>
      <c r="B696" s="41" t="n"/>
    </row>
    <row r="697" ht="15.75" customHeight="1" s="60">
      <c r="A697" s="41" t="n"/>
      <c r="B697" s="41" t="n"/>
    </row>
    <row r="698" ht="15.75" customHeight="1" s="60">
      <c r="A698" s="41" t="n"/>
      <c r="B698" s="41" t="n"/>
    </row>
    <row r="699" ht="15.75" customHeight="1" s="60">
      <c r="A699" s="41" t="n"/>
      <c r="B699" s="41" t="n"/>
    </row>
    <row r="700" ht="15.75" customHeight="1" s="60">
      <c r="A700" s="41" t="n"/>
      <c r="B700" s="41" t="n"/>
    </row>
    <row r="701" ht="15.75" customHeight="1" s="60">
      <c r="A701" s="41" t="n"/>
      <c r="B701" s="41" t="n"/>
    </row>
    <row r="702" ht="15.75" customHeight="1" s="60">
      <c r="A702" s="41" t="n"/>
      <c r="B702" s="41" t="n"/>
    </row>
    <row r="703" ht="15.75" customHeight="1" s="60">
      <c r="A703" s="41" t="n"/>
      <c r="B703" s="41" t="n"/>
    </row>
    <row r="704" ht="15.75" customHeight="1" s="60">
      <c r="A704" s="41" t="n"/>
      <c r="B704" s="41" t="n"/>
    </row>
    <row r="705" ht="15.75" customHeight="1" s="60">
      <c r="A705" s="41" t="n"/>
      <c r="B705" s="41" t="n"/>
    </row>
    <row r="706" ht="15.75" customHeight="1" s="60">
      <c r="A706" s="41" t="n"/>
      <c r="B706" s="41" t="n"/>
    </row>
    <row r="707" ht="15.75" customHeight="1" s="60">
      <c r="A707" s="41" t="n"/>
      <c r="B707" s="41" t="n"/>
    </row>
    <row r="708" ht="15.75" customHeight="1" s="60">
      <c r="A708" s="41" t="n"/>
      <c r="B708" s="41" t="n"/>
    </row>
    <row r="709" ht="15.75" customHeight="1" s="60">
      <c r="A709" s="41" t="n"/>
      <c r="B709" s="41" t="n"/>
    </row>
    <row r="710" ht="15.75" customHeight="1" s="60">
      <c r="A710" s="41" t="n"/>
      <c r="B710" s="41" t="n"/>
    </row>
    <row r="711" ht="15.75" customHeight="1" s="60">
      <c r="A711" s="41" t="n"/>
      <c r="B711" s="41" t="n"/>
    </row>
    <row r="712" ht="15.75" customHeight="1" s="60">
      <c r="A712" s="41" t="n"/>
      <c r="B712" s="41" t="n"/>
    </row>
    <row r="713" ht="15.75" customHeight="1" s="60">
      <c r="A713" s="41" t="n"/>
      <c r="B713" s="41" t="n"/>
    </row>
    <row r="714" ht="15.75" customHeight="1" s="60">
      <c r="A714" s="41" t="n"/>
      <c r="B714" s="41" t="n"/>
    </row>
    <row r="715" ht="15.75" customHeight="1" s="60">
      <c r="A715" s="41" t="n"/>
      <c r="B715" s="41" t="n"/>
    </row>
    <row r="716" ht="15.75" customHeight="1" s="60">
      <c r="A716" s="41" t="n"/>
      <c r="B716" s="41" t="n"/>
    </row>
    <row r="717" ht="15.75" customHeight="1" s="60">
      <c r="A717" s="41" t="n"/>
      <c r="B717" s="41" t="n"/>
    </row>
    <row r="718" ht="15.75" customHeight="1" s="60">
      <c r="A718" s="41" t="n"/>
      <c r="B718" s="41" t="n"/>
    </row>
    <row r="719" ht="15.75" customHeight="1" s="60">
      <c r="A719" s="41" t="n"/>
      <c r="B719" s="41" t="n"/>
    </row>
    <row r="720" ht="15.75" customHeight="1" s="60">
      <c r="A720" s="41" t="n"/>
      <c r="B720" s="41" t="n"/>
    </row>
    <row r="721" ht="15.75" customHeight="1" s="60">
      <c r="A721" s="41" t="n"/>
      <c r="B721" s="41" t="n"/>
    </row>
    <row r="722" ht="15.75" customHeight="1" s="60">
      <c r="A722" s="41" t="n"/>
      <c r="B722" s="41" t="n"/>
    </row>
    <row r="723" ht="15.75" customHeight="1" s="60">
      <c r="A723" s="41" t="n"/>
      <c r="B723" s="41" t="n"/>
    </row>
    <row r="724" ht="15.75" customHeight="1" s="60">
      <c r="A724" s="41" t="n"/>
      <c r="B724" s="41" t="n"/>
    </row>
    <row r="725" ht="15.75" customHeight="1" s="60">
      <c r="A725" s="41" t="n"/>
      <c r="B725" s="41" t="n"/>
    </row>
    <row r="726" ht="15.75" customHeight="1" s="60">
      <c r="A726" s="41" t="n"/>
      <c r="B726" s="41" t="n"/>
    </row>
    <row r="727" ht="15.75" customHeight="1" s="60">
      <c r="A727" s="41" t="n"/>
      <c r="B727" s="41" t="n"/>
    </row>
    <row r="728" ht="15.75" customHeight="1" s="60">
      <c r="A728" s="41" t="n"/>
      <c r="B728" s="41" t="n"/>
    </row>
    <row r="729" ht="15.75" customHeight="1" s="60">
      <c r="A729" s="41" t="n"/>
      <c r="B729" s="41" t="n"/>
    </row>
    <row r="730" ht="15.75" customHeight="1" s="60">
      <c r="A730" s="41" t="n"/>
      <c r="B730" s="41" t="n"/>
    </row>
    <row r="731" ht="15.75" customHeight="1" s="60">
      <c r="A731" s="41" t="n"/>
      <c r="B731" s="41" t="n"/>
    </row>
    <row r="732" ht="15.75" customHeight="1" s="60">
      <c r="A732" s="41" t="n"/>
      <c r="B732" s="41" t="n"/>
    </row>
    <row r="733" ht="15.75" customHeight="1" s="60">
      <c r="A733" s="41" t="n"/>
      <c r="B733" s="41" t="n"/>
    </row>
    <row r="734" ht="15.75" customHeight="1" s="60">
      <c r="A734" s="41" t="n"/>
      <c r="B734" s="41" t="n"/>
    </row>
    <row r="735" ht="15.75" customHeight="1" s="60">
      <c r="A735" s="41" t="n"/>
      <c r="B735" s="41" t="n"/>
    </row>
    <row r="736" ht="15.75" customHeight="1" s="60">
      <c r="A736" s="41" t="n"/>
      <c r="B736" s="41" t="n"/>
    </row>
    <row r="737" ht="15.75" customHeight="1" s="60">
      <c r="A737" s="41" t="n"/>
      <c r="B737" s="41" t="n"/>
    </row>
    <row r="738" ht="15.75" customHeight="1" s="60">
      <c r="A738" s="41" t="n"/>
      <c r="B738" s="41" t="n"/>
    </row>
    <row r="739" ht="15.75" customHeight="1" s="60">
      <c r="A739" s="41" t="n"/>
      <c r="B739" s="41" t="n"/>
    </row>
    <row r="740" ht="15.75" customHeight="1" s="60">
      <c r="A740" s="41" t="n"/>
      <c r="B740" s="41" t="n"/>
    </row>
    <row r="741" ht="15.75" customHeight="1" s="60">
      <c r="A741" s="41" t="n"/>
      <c r="B741" s="41" t="n"/>
    </row>
    <row r="742" ht="15.75" customHeight="1" s="60">
      <c r="A742" s="41" t="n"/>
      <c r="B742" s="41" t="n"/>
    </row>
    <row r="743" ht="15.75" customHeight="1" s="60">
      <c r="A743" s="41" t="n"/>
      <c r="B743" s="41" t="n"/>
    </row>
    <row r="744" ht="15.75" customHeight="1" s="60">
      <c r="A744" s="41" t="n"/>
      <c r="B744" s="41" t="n"/>
    </row>
    <row r="745" ht="15.75" customHeight="1" s="60">
      <c r="A745" s="41" t="n"/>
      <c r="B745" s="41" t="n"/>
    </row>
    <row r="746" ht="15.75" customHeight="1" s="60">
      <c r="A746" s="41" t="n"/>
      <c r="B746" s="41" t="n"/>
    </row>
    <row r="747" ht="15.75" customHeight="1" s="60">
      <c r="A747" s="41" t="n"/>
      <c r="B747" s="41" t="n"/>
    </row>
    <row r="748" ht="15.75" customHeight="1" s="60">
      <c r="A748" s="41" t="n"/>
      <c r="B748" s="41" t="n"/>
    </row>
    <row r="749" ht="15.75" customHeight="1" s="60">
      <c r="A749" s="41" t="n"/>
      <c r="B749" s="41" t="n"/>
    </row>
    <row r="750" ht="15.75" customHeight="1" s="60">
      <c r="A750" s="41" t="n"/>
      <c r="B750" s="41" t="n"/>
    </row>
    <row r="751" ht="15.75" customHeight="1" s="60">
      <c r="A751" s="41" t="n"/>
      <c r="B751" s="41" t="n"/>
    </row>
    <row r="752" ht="15.75" customHeight="1" s="60">
      <c r="A752" s="41" t="n"/>
      <c r="B752" s="41" t="n"/>
    </row>
    <row r="753" ht="15.75" customHeight="1" s="60">
      <c r="A753" s="41" t="n"/>
      <c r="B753" s="41" t="n"/>
    </row>
    <row r="754" ht="15.75" customHeight="1" s="60">
      <c r="A754" s="41" t="n"/>
      <c r="B754" s="41" t="n"/>
    </row>
    <row r="755" ht="15.75" customHeight="1" s="60">
      <c r="A755" s="41" t="n"/>
      <c r="B755" s="41" t="n"/>
    </row>
    <row r="756" ht="15.75" customHeight="1" s="60">
      <c r="A756" s="41" t="n"/>
      <c r="B756" s="41" t="n"/>
    </row>
    <row r="757" ht="15.75" customHeight="1" s="60">
      <c r="A757" s="41" t="n"/>
      <c r="B757" s="41" t="n"/>
    </row>
    <row r="758" ht="15.75" customHeight="1" s="60">
      <c r="A758" s="41" t="n"/>
      <c r="B758" s="41" t="n"/>
    </row>
    <row r="759" ht="15.75" customHeight="1" s="60">
      <c r="A759" s="41" t="n"/>
      <c r="B759" s="41" t="n"/>
    </row>
    <row r="760" ht="15.75" customHeight="1" s="60">
      <c r="A760" s="41" t="n"/>
      <c r="B760" s="41" t="n"/>
    </row>
    <row r="761" ht="15.75" customHeight="1" s="60">
      <c r="A761" s="41" t="n"/>
      <c r="B761" s="41" t="n"/>
    </row>
    <row r="762" ht="15.75" customHeight="1" s="60">
      <c r="A762" s="41" t="n"/>
      <c r="B762" s="41" t="n"/>
    </row>
    <row r="763" ht="15.75" customHeight="1" s="60">
      <c r="A763" s="41" t="n"/>
      <c r="B763" s="41" t="n"/>
    </row>
    <row r="764" ht="15.75" customHeight="1" s="60">
      <c r="A764" s="41" t="n"/>
      <c r="B764" s="41" t="n"/>
    </row>
    <row r="765" ht="15.75" customHeight="1" s="60">
      <c r="A765" s="41" t="n"/>
      <c r="B765" s="41" t="n"/>
    </row>
    <row r="766" ht="15.75" customHeight="1" s="60">
      <c r="A766" s="41" t="n"/>
      <c r="B766" s="41" t="n"/>
    </row>
    <row r="767" ht="15.75" customHeight="1" s="60">
      <c r="A767" s="41" t="n"/>
      <c r="B767" s="41" t="n"/>
    </row>
    <row r="768" ht="15.75" customHeight="1" s="60">
      <c r="A768" s="41" t="n"/>
      <c r="B768" s="41" t="n"/>
    </row>
    <row r="769" ht="15.75" customHeight="1" s="60">
      <c r="A769" s="41" t="n"/>
      <c r="B769" s="41" t="n"/>
    </row>
    <row r="770" ht="15.75" customHeight="1" s="60">
      <c r="A770" s="41" t="n"/>
      <c r="B770" s="41" t="n"/>
    </row>
    <row r="771" ht="15.75" customHeight="1" s="60">
      <c r="A771" s="41" t="n"/>
      <c r="B771" s="41" t="n"/>
    </row>
    <row r="772" ht="15.75" customHeight="1" s="60">
      <c r="A772" s="41" t="n"/>
      <c r="B772" s="41" t="n"/>
    </row>
    <row r="773" ht="15.75" customHeight="1" s="60">
      <c r="A773" s="41" t="n"/>
      <c r="B773" s="41" t="n"/>
    </row>
    <row r="774" ht="15.75" customHeight="1" s="60">
      <c r="A774" s="41" t="n"/>
      <c r="B774" s="41" t="n"/>
    </row>
    <row r="775" ht="15.75" customHeight="1" s="60">
      <c r="A775" s="41" t="n"/>
      <c r="B775" s="41" t="n"/>
    </row>
    <row r="776" ht="15.75" customHeight="1" s="60">
      <c r="A776" s="41" t="n"/>
      <c r="B776" s="41" t="n"/>
    </row>
    <row r="777" ht="15.75" customHeight="1" s="60">
      <c r="A777" s="41" t="n"/>
      <c r="B777" s="41" t="n"/>
    </row>
    <row r="778" ht="15.75" customHeight="1" s="60">
      <c r="A778" s="41" t="n"/>
      <c r="B778" s="41" t="n"/>
    </row>
    <row r="779" ht="15.75" customHeight="1" s="60">
      <c r="A779" s="41" t="n"/>
      <c r="B779" s="41" t="n"/>
    </row>
    <row r="780" ht="15.75" customHeight="1" s="60">
      <c r="A780" s="41" t="n"/>
      <c r="B780" s="41" t="n"/>
    </row>
    <row r="781" ht="15.75" customHeight="1" s="60">
      <c r="A781" s="41" t="n"/>
      <c r="B781" s="41" t="n"/>
    </row>
    <row r="782" ht="15.75" customHeight="1" s="60">
      <c r="A782" s="41" t="n"/>
      <c r="B782" s="41" t="n"/>
    </row>
    <row r="783" ht="15.75" customHeight="1" s="60">
      <c r="A783" s="41" t="n"/>
      <c r="B783" s="41" t="n"/>
    </row>
    <row r="784" ht="15.75" customHeight="1" s="60">
      <c r="A784" s="41" t="n"/>
      <c r="B784" s="41" t="n"/>
    </row>
    <row r="785" ht="15.75" customHeight="1" s="60">
      <c r="A785" s="41" t="n"/>
      <c r="B785" s="41" t="n"/>
    </row>
    <row r="786" ht="15.75" customHeight="1" s="60">
      <c r="A786" s="41" t="n"/>
      <c r="B786" s="41" t="n"/>
    </row>
    <row r="787" ht="15.75" customHeight="1" s="60">
      <c r="A787" s="41" t="n"/>
      <c r="B787" s="41" t="n"/>
    </row>
    <row r="788" ht="15.75" customHeight="1" s="60">
      <c r="A788" s="41" t="n"/>
      <c r="B788" s="41" t="n"/>
    </row>
    <row r="789" ht="15.75" customHeight="1" s="60">
      <c r="A789" s="41" t="n"/>
      <c r="B789" s="41" t="n"/>
    </row>
    <row r="790" ht="15.75" customHeight="1" s="60">
      <c r="A790" s="41" t="n"/>
      <c r="B790" s="41" t="n"/>
    </row>
    <row r="791" ht="15.75" customHeight="1" s="60">
      <c r="A791" s="41" t="n"/>
      <c r="B791" s="41" t="n"/>
    </row>
    <row r="792" ht="15.75" customHeight="1" s="60">
      <c r="A792" s="41" t="n"/>
      <c r="B792" s="41" t="n"/>
    </row>
    <row r="793" ht="15.75" customHeight="1" s="60">
      <c r="A793" s="41" t="n"/>
      <c r="B793" s="41" t="n"/>
    </row>
    <row r="794" ht="15.75" customHeight="1" s="60">
      <c r="A794" s="41" t="n"/>
      <c r="B794" s="41" t="n"/>
    </row>
    <row r="795" ht="15.75" customHeight="1" s="60">
      <c r="A795" s="41" t="n"/>
      <c r="B795" s="41" t="n"/>
    </row>
    <row r="796" ht="15.75" customHeight="1" s="60">
      <c r="A796" s="41" t="n"/>
      <c r="B796" s="41" t="n"/>
    </row>
    <row r="797" ht="15.75" customHeight="1" s="60">
      <c r="A797" s="41" t="n"/>
      <c r="B797" s="41" t="n"/>
    </row>
    <row r="798" ht="15.75" customHeight="1" s="60">
      <c r="A798" s="41" t="n"/>
      <c r="B798" s="41" t="n"/>
    </row>
    <row r="799" ht="15.75" customHeight="1" s="60">
      <c r="A799" s="41" t="n"/>
      <c r="B799" s="41" t="n"/>
    </row>
    <row r="800" ht="15.75" customHeight="1" s="60">
      <c r="A800" s="41" t="n"/>
      <c r="B800" s="41" t="n"/>
    </row>
    <row r="801" ht="15.75" customHeight="1" s="60">
      <c r="A801" s="41" t="n"/>
      <c r="B801" s="41" t="n"/>
    </row>
    <row r="802" ht="15.75" customHeight="1" s="60">
      <c r="A802" s="41" t="n"/>
      <c r="B802" s="41" t="n"/>
    </row>
    <row r="803" ht="15.75" customHeight="1" s="60">
      <c r="A803" s="41" t="n"/>
      <c r="B803" s="41" t="n"/>
    </row>
    <row r="804" ht="15.75" customHeight="1" s="60">
      <c r="A804" s="41" t="n"/>
      <c r="B804" s="41" t="n"/>
    </row>
    <row r="805" ht="15.75" customHeight="1" s="60">
      <c r="A805" s="41" t="n"/>
      <c r="B805" s="41" t="n"/>
    </row>
    <row r="806" ht="15.75" customHeight="1" s="60">
      <c r="A806" s="41" t="n"/>
      <c r="B806" s="41" t="n"/>
    </row>
    <row r="807" ht="15.75" customHeight="1" s="60">
      <c r="A807" s="41" t="n"/>
      <c r="B807" s="41" t="n"/>
    </row>
    <row r="808" ht="15.75" customHeight="1" s="60">
      <c r="A808" s="41" t="n"/>
      <c r="B808" s="41" t="n"/>
    </row>
    <row r="809" ht="15.75" customHeight="1" s="60">
      <c r="A809" s="41" t="n"/>
      <c r="B809" s="41" t="n"/>
    </row>
    <row r="810" ht="15.75" customHeight="1" s="60">
      <c r="A810" s="41" t="n"/>
      <c r="B810" s="41" t="n"/>
    </row>
    <row r="811" ht="15.75" customHeight="1" s="60">
      <c r="A811" s="41" t="n"/>
      <c r="B811" s="41" t="n"/>
    </row>
    <row r="812" ht="15.75" customHeight="1" s="60">
      <c r="A812" s="41" t="n"/>
      <c r="B812" s="41" t="n"/>
    </row>
    <row r="813" ht="15.75" customHeight="1" s="60">
      <c r="A813" s="41" t="n"/>
      <c r="B813" s="41" t="n"/>
    </row>
    <row r="814" ht="15.75" customHeight="1" s="60">
      <c r="A814" s="41" t="n"/>
      <c r="B814" s="41" t="n"/>
    </row>
    <row r="815" ht="15.75" customHeight="1" s="60">
      <c r="A815" s="41" t="n"/>
      <c r="B815" s="41" t="n"/>
    </row>
    <row r="816" ht="15.75" customHeight="1" s="60">
      <c r="A816" s="41" t="n"/>
      <c r="B816" s="41" t="n"/>
    </row>
    <row r="817" ht="15.75" customHeight="1" s="60">
      <c r="A817" s="41" t="n"/>
      <c r="B817" s="41" t="n"/>
    </row>
    <row r="818" ht="15.75" customHeight="1" s="60">
      <c r="A818" s="41" t="n"/>
      <c r="B818" s="41" t="n"/>
    </row>
    <row r="819" ht="15.75" customHeight="1" s="60">
      <c r="A819" s="41" t="n"/>
      <c r="B819" s="41" t="n"/>
    </row>
    <row r="820" ht="15.75" customHeight="1" s="60">
      <c r="A820" s="41" t="n"/>
      <c r="B820" s="41" t="n"/>
    </row>
    <row r="821" ht="15.75" customHeight="1" s="60">
      <c r="A821" s="41" t="n"/>
      <c r="B821" s="41" t="n"/>
    </row>
    <row r="822" ht="15.75" customHeight="1" s="60">
      <c r="A822" s="41" t="n"/>
      <c r="B822" s="41" t="n"/>
    </row>
    <row r="823" ht="15.75" customHeight="1" s="60">
      <c r="A823" s="41" t="n"/>
      <c r="B823" s="41" t="n"/>
    </row>
    <row r="824" ht="15.75" customHeight="1" s="60">
      <c r="A824" s="41" t="n"/>
      <c r="B824" s="41" t="n"/>
    </row>
    <row r="825" ht="15.75" customHeight="1" s="60">
      <c r="A825" s="41" t="n"/>
      <c r="B825" s="41" t="n"/>
    </row>
    <row r="826" ht="15.75" customHeight="1" s="60">
      <c r="A826" s="41" t="n"/>
      <c r="B826" s="41" t="n"/>
    </row>
    <row r="827" ht="15.75" customHeight="1" s="60">
      <c r="A827" s="41" t="n"/>
      <c r="B827" s="41" t="n"/>
    </row>
    <row r="828" ht="15.75" customHeight="1" s="60">
      <c r="A828" s="41" t="n"/>
      <c r="B828" s="41" t="n"/>
    </row>
    <row r="829" ht="15.75" customHeight="1" s="60">
      <c r="A829" s="41" t="n"/>
      <c r="B829" s="41" t="n"/>
    </row>
    <row r="830" ht="15.75" customHeight="1" s="60">
      <c r="A830" s="41" t="n"/>
      <c r="B830" s="41" t="n"/>
    </row>
    <row r="831" ht="15.75" customHeight="1" s="60">
      <c r="A831" s="41" t="n"/>
      <c r="B831" s="41" t="n"/>
    </row>
    <row r="832" ht="15.75" customHeight="1" s="60">
      <c r="A832" s="41" t="n"/>
      <c r="B832" s="41" t="n"/>
    </row>
    <row r="833" ht="15.75" customHeight="1" s="60">
      <c r="A833" s="41" t="n"/>
      <c r="B833" s="41" t="n"/>
    </row>
    <row r="834" ht="15.75" customHeight="1" s="60">
      <c r="A834" s="41" t="n"/>
      <c r="B834" s="41" t="n"/>
    </row>
    <row r="835" ht="15.75" customHeight="1" s="60">
      <c r="A835" s="41" t="n"/>
      <c r="B835" s="41" t="n"/>
    </row>
    <row r="836" ht="15.75" customHeight="1" s="60">
      <c r="A836" s="41" t="n"/>
      <c r="B836" s="41" t="n"/>
    </row>
    <row r="837" ht="15.75" customHeight="1" s="60">
      <c r="A837" s="41" t="n"/>
      <c r="B837" s="41" t="n"/>
    </row>
    <row r="838" ht="15.75" customHeight="1" s="60">
      <c r="A838" s="41" t="n"/>
      <c r="B838" s="41" t="n"/>
    </row>
    <row r="839" ht="15.75" customHeight="1" s="60">
      <c r="A839" s="41" t="n"/>
      <c r="B839" s="41" t="n"/>
    </row>
    <row r="840" ht="15.75" customHeight="1" s="60">
      <c r="A840" s="41" t="n"/>
      <c r="B840" s="41" t="n"/>
    </row>
    <row r="841" ht="15.75" customHeight="1" s="60">
      <c r="A841" s="41" t="n"/>
      <c r="B841" s="41" t="n"/>
    </row>
    <row r="842" ht="15.75" customHeight="1" s="60">
      <c r="A842" s="41" t="n"/>
      <c r="B842" s="41" t="n"/>
    </row>
    <row r="843" ht="15.75" customHeight="1" s="60">
      <c r="A843" s="41" t="n"/>
      <c r="B843" s="41" t="n"/>
    </row>
    <row r="844" ht="15.75" customHeight="1" s="60">
      <c r="A844" s="41" t="n"/>
      <c r="B844" s="41" t="n"/>
    </row>
    <row r="845" ht="15.75" customHeight="1" s="60">
      <c r="A845" s="41" t="n"/>
      <c r="B845" s="41" t="n"/>
    </row>
    <row r="846" ht="15.75" customHeight="1" s="60">
      <c r="A846" s="41" t="n"/>
      <c r="B846" s="41" t="n"/>
    </row>
    <row r="847" ht="15.75" customHeight="1" s="60">
      <c r="A847" s="41" t="n"/>
      <c r="B847" s="41" t="n"/>
    </row>
    <row r="848" ht="15.75" customHeight="1" s="60">
      <c r="A848" s="41" t="n"/>
      <c r="B848" s="41" t="n"/>
    </row>
    <row r="849" ht="15.75" customHeight="1" s="60">
      <c r="A849" s="41" t="n"/>
      <c r="B849" s="41" t="n"/>
    </row>
    <row r="850" ht="15.75" customHeight="1" s="60">
      <c r="A850" s="41" t="n"/>
      <c r="B850" s="41" t="n"/>
    </row>
    <row r="851" ht="15.75" customHeight="1" s="60">
      <c r="A851" s="41" t="n"/>
      <c r="B851" s="41" t="n"/>
    </row>
    <row r="852" ht="15.75" customHeight="1" s="60">
      <c r="A852" s="41" t="n"/>
      <c r="B852" s="41" t="n"/>
    </row>
    <row r="853" ht="15.75" customHeight="1" s="60">
      <c r="A853" s="41" t="n"/>
      <c r="B853" s="41" t="n"/>
    </row>
    <row r="854" ht="15.75" customHeight="1" s="60">
      <c r="A854" s="41" t="n"/>
      <c r="B854" s="41" t="n"/>
    </row>
    <row r="855" ht="15.75" customHeight="1" s="60">
      <c r="A855" s="41" t="n"/>
      <c r="B855" s="41" t="n"/>
    </row>
    <row r="856" ht="15.75" customHeight="1" s="60">
      <c r="A856" s="41" t="n"/>
      <c r="B856" s="41" t="n"/>
    </row>
    <row r="857" ht="15.75" customHeight="1" s="60">
      <c r="A857" s="41" t="n"/>
      <c r="B857" s="41" t="n"/>
    </row>
    <row r="858" ht="15.75" customHeight="1" s="60">
      <c r="A858" s="41" t="n"/>
      <c r="B858" s="41" t="n"/>
    </row>
    <row r="859" ht="15.75" customHeight="1" s="60">
      <c r="A859" s="41" t="n"/>
      <c r="B859" s="41" t="n"/>
    </row>
    <row r="860" ht="15.75" customHeight="1" s="60">
      <c r="A860" s="41" t="n"/>
      <c r="B860" s="41" t="n"/>
    </row>
    <row r="861" ht="15.75" customHeight="1" s="60">
      <c r="A861" s="41" t="n"/>
      <c r="B861" s="41" t="n"/>
    </row>
    <row r="862" ht="15.75" customHeight="1" s="60">
      <c r="A862" s="41" t="n"/>
      <c r="B862" s="41" t="n"/>
    </row>
    <row r="863" ht="15.75" customHeight="1" s="60">
      <c r="A863" s="41" t="n"/>
      <c r="B863" s="41" t="n"/>
    </row>
    <row r="864" ht="15.75" customHeight="1" s="60">
      <c r="A864" s="41" t="n"/>
      <c r="B864" s="41" t="n"/>
    </row>
    <row r="865" ht="15.75" customHeight="1" s="60">
      <c r="A865" s="41" t="n"/>
      <c r="B865" s="41" t="n"/>
    </row>
    <row r="866" ht="15.75" customHeight="1" s="60">
      <c r="A866" s="41" t="n"/>
      <c r="B866" s="41" t="n"/>
    </row>
    <row r="867" ht="15.75" customHeight="1" s="60">
      <c r="A867" s="41" t="n"/>
      <c r="B867" s="41" t="n"/>
    </row>
    <row r="868" ht="15.75" customHeight="1" s="60">
      <c r="A868" s="41" t="n"/>
      <c r="B868" s="41" t="n"/>
    </row>
    <row r="869" ht="15.75" customHeight="1" s="60">
      <c r="A869" s="41" t="n"/>
      <c r="B869" s="41" t="n"/>
    </row>
    <row r="870" ht="15.75" customHeight="1" s="60">
      <c r="A870" s="41" t="n"/>
      <c r="B870" s="41" t="n"/>
    </row>
    <row r="871" ht="15.75" customHeight="1" s="60">
      <c r="A871" s="41" t="n"/>
      <c r="B871" s="41" t="n"/>
    </row>
    <row r="872" ht="15.75" customHeight="1" s="60">
      <c r="A872" s="41" t="n"/>
      <c r="B872" s="41" t="n"/>
    </row>
    <row r="873" ht="15.75" customHeight="1" s="60">
      <c r="A873" s="41" t="n"/>
      <c r="B873" s="41" t="n"/>
    </row>
    <row r="874" ht="15.75" customHeight="1" s="60">
      <c r="A874" s="41" t="n"/>
      <c r="B874" s="41" t="n"/>
    </row>
    <row r="875" ht="15.75" customHeight="1" s="60">
      <c r="A875" s="41" t="n"/>
      <c r="B875" s="41" t="n"/>
    </row>
    <row r="876" ht="15.75" customHeight="1" s="60">
      <c r="A876" s="41" t="n"/>
      <c r="B876" s="41" t="n"/>
    </row>
    <row r="877" ht="15.75" customHeight="1" s="60">
      <c r="A877" s="41" t="n"/>
      <c r="B877" s="41" t="n"/>
    </row>
    <row r="878" ht="15.75" customHeight="1" s="60">
      <c r="A878" s="41" t="n"/>
      <c r="B878" s="41" t="n"/>
    </row>
    <row r="879" ht="15.75" customHeight="1" s="60">
      <c r="A879" s="41" t="n"/>
      <c r="B879" s="41" t="n"/>
    </row>
    <row r="880" ht="15.75" customHeight="1" s="60">
      <c r="A880" s="41" t="n"/>
      <c r="B880" s="41" t="n"/>
    </row>
    <row r="881" ht="15.75" customHeight="1" s="60">
      <c r="A881" s="41" t="n"/>
      <c r="B881" s="41" t="n"/>
    </row>
    <row r="882" ht="15.75" customHeight="1" s="60">
      <c r="A882" s="41" t="n"/>
      <c r="B882" s="41" t="n"/>
    </row>
    <row r="883" ht="15.75" customHeight="1" s="60">
      <c r="A883" s="41" t="n"/>
      <c r="B883" s="41" t="n"/>
    </row>
    <row r="884" ht="15.75" customHeight="1" s="60">
      <c r="A884" s="41" t="n"/>
      <c r="B884" s="41" t="n"/>
    </row>
    <row r="885" ht="15.75" customHeight="1" s="60">
      <c r="A885" s="41" t="n"/>
      <c r="B885" s="41" t="n"/>
    </row>
    <row r="886" ht="15.75" customHeight="1" s="60">
      <c r="A886" s="41" t="n"/>
      <c r="B886" s="41" t="n"/>
    </row>
    <row r="887" ht="15.75" customHeight="1" s="60">
      <c r="A887" s="41" t="n"/>
      <c r="B887" s="41" t="n"/>
    </row>
    <row r="888" ht="15.75" customHeight="1" s="60">
      <c r="A888" s="41" t="n"/>
      <c r="B888" s="41" t="n"/>
    </row>
    <row r="889" ht="15.75" customHeight="1" s="60">
      <c r="A889" s="41" t="n"/>
      <c r="B889" s="41" t="n"/>
    </row>
    <row r="890" ht="15.75" customHeight="1" s="60">
      <c r="A890" s="41" t="n"/>
      <c r="B890" s="41" t="n"/>
    </row>
    <row r="891" ht="15.75" customHeight="1" s="60">
      <c r="A891" s="41" t="n"/>
      <c r="B891" s="41" t="n"/>
    </row>
    <row r="892" ht="15.75" customHeight="1" s="60">
      <c r="A892" s="41" t="n"/>
      <c r="B892" s="41" t="n"/>
    </row>
    <row r="893" ht="15.75" customHeight="1" s="60">
      <c r="A893" s="41" t="n"/>
      <c r="B893" s="41" t="n"/>
    </row>
    <row r="894" ht="15.75" customHeight="1" s="60">
      <c r="A894" s="41" t="n"/>
      <c r="B894" s="41" t="n"/>
    </row>
    <row r="895" ht="15.75" customHeight="1" s="60">
      <c r="A895" s="41" t="n"/>
      <c r="B895" s="41" t="n"/>
    </row>
    <row r="896" ht="15.75" customHeight="1" s="60">
      <c r="A896" s="41" t="n"/>
      <c r="B896" s="41" t="n"/>
    </row>
    <row r="897" ht="15.75" customHeight="1" s="60">
      <c r="A897" s="41" t="n"/>
      <c r="B897" s="41" t="n"/>
    </row>
    <row r="898" ht="15.75" customHeight="1" s="60">
      <c r="A898" s="41" t="n"/>
      <c r="B898" s="41" t="n"/>
    </row>
    <row r="899" ht="15.75" customHeight="1" s="60">
      <c r="A899" s="41" t="n"/>
      <c r="B899" s="41" t="n"/>
    </row>
    <row r="900" ht="15.75" customHeight="1" s="60">
      <c r="A900" s="41" t="n"/>
      <c r="B900" s="41" t="n"/>
    </row>
    <row r="901" ht="15.75" customHeight="1" s="60">
      <c r="A901" s="41" t="n"/>
      <c r="B901" s="41" t="n"/>
    </row>
    <row r="902" ht="15.75" customHeight="1" s="60">
      <c r="A902" s="41" t="n"/>
      <c r="B902" s="41" t="n"/>
    </row>
    <row r="903" ht="15.75" customHeight="1" s="60">
      <c r="A903" s="41" t="n"/>
      <c r="B903" s="41" t="n"/>
    </row>
    <row r="904" ht="15.75" customHeight="1" s="60">
      <c r="A904" s="41" t="n"/>
      <c r="B904" s="41" t="n"/>
    </row>
    <row r="905" ht="15.75" customHeight="1" s="60">
      <c r="A905" s="41" t="n"/>
      <c r="B905" s="41" t="n"/>
    </row>
    <row r="906" ht="15.75" customHeight="1" s="60">
      <c r="A906" s="41" t="n"/>
      <c r="B906" s="41" t="n"/>
    </row>
    <row r="907" ht="15.75" customHeight="1" s="60">
      <c r="A907" s="41" t="n"/>
      <c r="B907" s="41" t="n"/>
    </row>
    <row r="908" ht="15.75" customHeight="1" s="60">
      <c r="A908" s="41" t="n"/>
      <c r="B908" s="41" t="n"/>
    </row>
    <row r="909" ht="15.75" customHeight="1" s="60">
      <c r="A909" s="41" t="n"/>
      <c r="B909" s="41" t="n"/>
    </row>
    <row r="910" ht="15.75" customHeight="1" s="60">
      <c r="A910" s="41" t="n"/>
      <c r="B910" s="41" t="n"/>
    </row>
    <row r="911" ht="15.75" customHeight="1" s="60">
      <c r="A911" s="41" t="n"/>
      <c r="B911" s="41" t="n"/>
    </row>
    <row r="912" ht="15.75" customHeight="1" s="60">
      <c r="A912" s="41" t="n"/>
      <c r="B912" s="41" t="n"/>
    </row>
    <row r="913" ht="15.75" customHeight="1" s="60">
      <c r="A913" s="41" t="n"/>
      <c r="B913" s="41" t="n"/>
    </row>
    <row r="914" ht="15.75" customHeight="1" s="60">
      <c r="A914" s="41" t="n"/>
      <c r="B914" s="41" t="n"/>
    </row>
    <row r="915" ht="15.75" customHeight="1" s="60">
      <c r="A915" s="41" t="n"/>
      <c r="B915" s="41" t="n"/>
    </row>
    <row r="916" ht="15.75" customHeight="1" s="60">
      <c r="A916" s="41" t="n"/>
      <c r="B916" s="41" t="n"/>
    </row>
    <row r="917" ht="15.75" customHeight="1" s="60">
      <c r="A917" s="41" t="n"/>
      <c r="B917" s="41" t="n"/>
    </row>
    <row r="918" ht="15.75" customHeight="1" s="60">
      <c r="A918" s="41" t="n"/>
      <c r="B918" s="41" t="n"/>
    </row>
    <row r="919" ht="15.75" customHeight="1" s="60">
      <c r="A919" s="41" t="n"/>
      <c r="B919" s="41" t="n"/>
    </row>
    <row r="920" ht="15.75" customHeight="1" s="60">
      <c r="A920" s="41" t="n"/>
      <c r="B920" s="41" t="n"/>
    </row>
    <row r="921" ht="15.75" customHeight="1" s="60">
      <c r="A921" s="41" t="n"/>
      <c r="B921" s="41" t="n"/>
    </row>
    <row r="922" ht="15.75" customHeight="1" s="60">
      <c r="A922" s="41" t="n"/>
      <c r="B922" s="41" t="n"/>
    </row>
    <row r="923" ht="15.75" customHeight="1" s="60">
      <c r="A923" s="41" t="n"/>
      <c r="B923" s="41" t="n"/>
    </row>
    <row r="924" ht="15.75" customHeight="1" s="60">
      <c r="A924" s="41" t="n"/>
      <c r="B924" s="41" t="n"/>
    </row>
    <row r="925" ht="15.75" customHeight="1" s="60">
      <c r="A925" s="41" t="n"/>
      <c r="B925" s="41" t="n"/>
    </row>
    <row r="926" ht="15.75" customHeight="1" s="60">
      <c r="A926" s="41" t="n"/>
      <c r="B926" s="41" t="n"/>
    </row>
    <row r="927" ht="15.75" customHeight="1" s="60">
      <c r="A927" s="41" t="n"/>
      <c r="B927" s="41" t="n"/>
    </row>
    <row r="928" ht="15.75" customHeight="1" s="60">
      <c r="A928" s="41" t="n"/>
      <c r="B928" s="41" t="n"/>
    </row>
    <row r="929" ht="15.75" customHeight="1" s="60">
      <c r="A929" s="41" t="n"/>
      <c r="B929" s="41" t="n"/>
    </row>
    <row r="930" ht="15.75" customHeight="1" s="60">
      <c r="A930" s="41" t="n"/>
      <c r="B930" s="41" t="n"/>
    </row>
    <row r="931" ht="15.75" customHeight="1" s="60">
      <c r="A931" s="41" t="n"/>
      <c r="B931" s="41" t="n"/>
    </row>
    <row r="932" ht="15.75" customHeight="1" s="60">
      <c r="A932" s="41" t="n"/>
      <c r="B932" s="41" t="n"/>
    </row>
    <row r="933" ht="15.75" customHeight="1" s="60">
      <c r="A933" s="41" t="n"/>
      <c r="B933" s="41" t="n"/>
    </row>
    <row r="934" ht="15.75" customHeight="1" s="60">
      <c r="A934" s="41" t="n"/>
      <c r="B934" s="41" t="n"/>
    </row>
    <row r="935" ht="15.75" customHeight="1" s="60">
      <c r="A935" s="41" t="n"/>
      <c r="B935" s="41" t="n"/>
    </row>
    <row r="936" ht="15.75" customHeight="1" s="60">
      <c r="A936" s="41" t="n"/>
      <c r="B936" s="41" t="n"/>
    </row>
    <row r="937" ht="15.75" customHeight="1" s="60">
      <c r="A937" s="41" t="n"/>
      <c r="B937" s="41" t="n"/>
    </row>
    <row r="938" ht="15.75" customHeight="1" s="60">
      <c r="A938" s="41" t="n"/>
      <c r="B938" s="41" t="n"/>
    </row>
    <row r="939" ht="15.75" customHeight="1" s="60">
      <c r="A939" s="41" t="n"/>
      <c r="B939" s="41" t="n"/>
    </row>
    <row r="940" ht="15.75" customHeight="1" s="60">
      <c r="A940" s="41" t="n"/>
      <c r="B940" s="41" t="n"/>
    </row>
    <row r="941" ht="15.75" customHeight="1" s="60">
      <c r="A941" s="41" t="n"/>
      <c r="B941" s="41" t="n"/>
    </row>
    <row r="942" ht="15.75" customHeight="1" s="60">
      <c r="A942" s="41" t="n"/>
      <c r="B942" s="41" t="n"/>
    </row>
    <row r="943" ht="15.75" customHeight="1" s="60">
      <c r="A943" s="41" t="n"/>
      <c r="B943" s="41" t="n"/>
    </row>
    <row r="944" ht="15.75" customHeight="1" s="60">
      <c r="A944" s="41" t="n"/>
      <c r="B944" s="41" t="n"/>
    </row>
    <row r="945" ht="15.75" customHeight="1" s="60">
      <c r="A945" s="41" t="n"/>
      <c r="B945" s="41" t="n"/>
    </row>
    <row r="946" ht="15.75" customHeight="1" s="60">
      <c r="A946" s="41" t="n"/>
      <c r="B946" s="41" t="n"/>
    </row>
    <row r="947" ht="15.75" customHeight="1" s="60">
      <c r="A947" s="41" t="n"/>
      <c r="B947" s="41" t="n"/>
    </row>
    <row r="948" ht="15.75" customHeight="1" s="60">
      <c r="A948" s="41" t="n"/>
      <c r="B948" s="41" t="n"/>
    </row>
    <row r="949" ht="15.75" customHeight="1" s="60">
      <c r="A949" s="41" t="n"/>
      <c r="B949" s="41" t="n"/>
    </row>
    <row r="950" ht="15.75" customHeight="1" s="60">
      <c r="A950" s="41" t="n"/>
      <c r="B950" s="41" t="n"/>
    </row>
    <row r="951" ht="15.75" customHeight="1" s="60">
      <c r="A951" s="41" t="n"/>
      <c r="B951" s="41" t="n"/>
    </row>
    <row r="952" ht="15.75" customHeight="1" s="60">
      <c r="A952" s="41" t="n"/>
      <c r="B952" s="41" t="n"/>
    </row>
    <row r="953" ht="15.75" customHeight="1" s="60">
      <c r="A953" s="41" t="n"/>
      <c r="B953" s="41" t="n"/>
    </row>
    <row r="954" ht="15.75" customHeight="1" s="60">
      <c r="A954" s="41" t="n"/>
      <c r="B954" s="41" t="n"/>
    </row>
    <row r="955" ht="15.75" customHeight="1" s="60">
      <c r="A955" s="41" t="n"/>
      <c r="B955" s="41" t="n"/>
    </row>
    <row r="956" ht="15.75" customHeight="1" s="60">
      <c r="A956" s="41" t="n"/>
      <c r="B956" s="41" t="n"/>
    </row>
    <row r="957" ht="15.75" customHeight="1" s="60">
      <c r="A957" s="41" t="n"/>
      <c r="B957" s="41" t="n"/>
    </row>
    <row r="958" ht="15.75" customHeight="1" s="60">
      <c r="A958" s="41" t="n"/>
      <c r="B958" s="41" t="n"/>
    </row>
    <row r="959" ht="15.75" customHeight="1" s="60">
      <c r="A959" s="41" t="n"/>
      <c r="B959" s="41" t="n"/>
    </row>
    <row r="960" ht="15.75" customHeight="1" s="60">
      <c r="A960" s="41" t="n"/>
      <c r="B960" s="41" t="n"/>
    </row>
    <row r="961" ht="15.75" customHeight="1" s="60">
      <c r="A961" s="41" t="n"/>
      <c r="B961" s="41" t="n"/>
    </row>
    <row r="962" ht="15.75" customHeight="1" s="60">
      <c r="A962" s="41" t="n"/>
      <c r="B962" s="41" t="n"/>
    </row>
    <row r="963" ht="15.75" customHeight="1" s="60">
      <c r="A963" s="41" t="n"/>
      <c r="B963" s="41" t="n"/>
    </row>
    <row r="964" ht="15.75" customHeight="1" s="60">
      <c r="A964" s="41" t="n"/>
      <c r="B964" s="41" t="n"/>
    </row>
    <row r="965" ht="15.75" customHeight="1" s="60">
      <c r="A965" s="41" t="n"/>
      <c r="B965" s="41" t="n"/>
    </row>
    <row r="966" ht="15.75" customHeight="1" s="60">
      <c r="A966" s="41" t="n"/>
      <c r="B966" s="41" t="n"/>
    </row>
    <row r="967" ht="15.75" customHeight="1" s="60">
      <c r="A967" s="41" t="n"/>
      <c r="B967" s="41" t="n"/>
    </row>
    <row r="968" ht="15.75" customHeight="1" s="60">
      <c r="A968" s="41" t="n"/>
      <c r="B968" s="41" t="n"/>
    </row>
    <row r="969" ht="15.75" customHeight="1" s="60">
      <c r="A969" s="41" t="n"/>
      <c r="B969" s="41" t="n"/>
    </row>
    <row r="970" ht="15.75" customHeight="1" s="60">
      <c r="A970" s="41" t="n"/>
      <c r="B970" s="41" t="n"/>
    </row>
    <row r="971" ht="15.75" customHeight="1" s="60">
      <c r="A971" s="41" t="n"/>
      <c r="B971" s="41" t="n"/>
    </row>
    <row r="972" ht="15.75" customHeight="1" s="60">
      <c r="A972" s="41" t="n"/>
      <c r="B972" s="41" t="n"/>
    </row>
    <row r="973" ht="15.75" customHeight="1" s="60">
      <c r="A973" s="41" t="n"/>
      <c r="B973" s="41" t="n"/>
    </row>
    <row r="974" ht="15.75" customHeight="1" s="60">
      <c r="A974" s="41" t="n"/>
      <c r="B974" s="41" t="n"/>
    </row>
    <row r="975" ht="15.75" customHeight="1" s="60">
      <c r="A975" s="41" t="n"/>
      <c r="B975" s="41" t="n"/>
    </row>
    <row r="976" ht="15.75" customHeight="1" s="60">
      <c r="A976" s="41" t="n"/>
      <c r="B976" s="41" t="n"/>
    </row>
    <row r="977" ht="15.75" customHeight="1" s="60">
      <c r="A977" s="41" t="n"/>
      <c r="B977" s="41" t="n"/>
    </row>
    <row r="978" ht="15.75" customHeight="1" s="60">
      <c r="A978" s="41" t="n"/>
      <c r="B978" s="41" t="n"/>
    </row>
    <row r="979" ht="15.75" customHeight="1" s="60">
      <c r="A979" s="41" t="n"/>
      <c r="B979" s="41" t="n"/>
    </row>
    <row r="980" ht="15.75" customHeight="1" s="60">
      <c r="A980" s="41" t="n"/>
      <c r="B980" s="41" t="n"/>
    </row>
    <row r="981" ht="15.75" customHeight="1" s="60">
      <c r="A981" s="41" t="n"/>
      <c r="B981" s="41" t="n"/>
    </row>
    <row r="982" ht="15.75" customHeight="1" s="60">
      <c r="A982" s="41" t="n"/>
      <c r="B982" s="41" t="n"/>
    </row>
    <row r="983" ht="15.75" customHeight="1" s="60">
      <c r="A983" s="41" t="n"/>
      <c r="B983" s="41" t="n"/>
    </row>
    <row r="984" ht="15.75" customHeight="1" s="60">
      <c r="A984" s="41" t="n"/>
      <c r="B984" s="41" t="n"/>
    </row>
    <row r="985" ht="15.75" customHeight="1" s="60">
      <c r="A985" s="41" t="n"/>
      <c r="B985" s="41" t="n"/>
    </row>
    <row r="986" ht="15.75" customHeight="1" s="60">
      <c r="A986" s="41" t="n"/>
      <c r="B986" s="41" t="n"/>
    </row>
    <row r="987" ht="15.75" customHeight="1" s="60">
      <c r="A987" s="41" t="n"/>
      <c r="B987" s="41" t="n"/>
    </row>
    <row r="988" ht="15.75" customHeight="1" s="60">
      <c r="A988" s="41" t="n"/>
      <c r="B988" s="41" t="n"/>
    </row>
    <row r="989" ht="15.75" customHeight="1" s="60">
      <c r="A989" s="41" t="n"/>
      <c r="B989" s="41" t="n"/>
    </row>
    <row r="990" ht="15.75" customHeight="1" s="60">
      <c r="A990" s="41" t="n"/>
      <c r="B990" s="41" t="n"/>
    </row>
    <row r="991" ht="15.75" customHeight="1" s="60">
      <c r="A991" s="41" t="n"/>
      <c r="B991" s="41" t="n"/>
    </row>
    <row r="992" ht="15.75" customHeight="1" s="60">
      <c r="A992" s="41" t="n"/>
      <c r="B992" s="41" t="n"/>
    </row>
    <row r="993" ht="15.75" customHeight="1" s="60">
      <c r="A993" s="41" t="n"/>
      <c r="B993" s="41" t="n"/>
    </row>
    <row r="994" ht="15.75" customHeight="1" s="60">
      <c r="A994" s="41" t="n"/>
      <c r="B994" s="41" t="n"/>
    </row>
    <row r="995" ht="15.75" customHeight="1" s="60">
      <c r="A995" s="41" t="n"/>
      <c r="B995" s="41" t="n"/>
    </row>
    <row r="996" ht="15.75" customHeight="1" s="60">
      <c r="A996" s="41" t="n"/>
      <c r="B996" s="41" t="n"/>
    </row>
    <row r="997" ht="15.75" customHeight="1" s="60">
      <c r="A997" s="41" t="n"/>
      <c r="B997" s="41" t="n"/>
    </row>
    <row r="998" ht="15.75" customHeight="1" s="60">
      <c r="A998" s="41" t="n"/>
      <c r="B998" s="41" t="n"/>
    </row>
    <row r="999" ht="15.75" customHeight="1" s="60">
      <c r="A999" s="41" t="n"/>
      <c r="B999" s="41" t="n"/>
    </row>
    <row r="1000" ht="15.75" customHeight="1" s="60">
      <c r="A1000" s="41" t="n"/>
      <c r="B1000" s="41" t="n"/>
    </row>
  </sheetData>
  <pageMargins left="0.75" right="0.75" top="1" bottom="1" header="0" footer="0"/>
  <pageSetup orientation="portrait" paperSize="9"/>
</worksheet>
</file>

<file path=xl/worksheets/sheet16.xml><?xml version="1.0" encoding="utf-8"?>
<worksheet xmlns="http://schemas.openxmlformats.org/spreadsheetml/2006/main">
  <sheetPr>
    <outlinePr summaryBelow="1" summaryRight="1"/>
    <pageSetUpPr fitToPage="1"/>
  </sheetPr>
  <dimension ref="A1:B1000"/>
  <sheetViews>
    <sheetView showGridLines="0" workbookViewId="0">
      <selection activeCell="A1" sqref="A1"/>
    </sheetView>
  </sheetViews>
  <sheetFormatPr baseColWidth="8" defaultColWidth="14.43" defaultRowHeight="15" customHeight="1"/>
  <cols>
    <col width="46" customWidth="1" style="60" min="1" max="1"/>
    <col width="20" customWidth="1" style="60" min="2" max="2"/>
    <col width="8.710000000000001" customWidth="1" style="60" min="3" max="26"/>
  </cols>
  <sheetData>
    <row r="1" ht="19.5" customHeight="1" s="60">
      <c r="A1" s="2">
        <f>Tetapan!C5</f>
        <v/>
      </c>
      <c r="B1" s="41" t="n"/>
    </row>
    <row r="2" ht="15" customHeight="1" s="60">
      <c r="A2" s="55" t="inlineStr">
        <is>
          <t>PENYATA KEWANGAN</t>
        </is>
      </c>
      <c r="B2" s="41" t="n"/>
    </row>
    <row r="3" ht="15" customHeight="1" s="60">
      <c r="A3" s="56" t="inlineStr">
        <is>
          <t>Disediakan untuk Mesyuarat Lembaga</t>
        </is>
      </c>
      <c r="B3" s="41" t="n"/>
    </row>
    <row r="4">
      <c r="A4" s="41" t="n"/>
      <c r="B4" s="41" t="n"/>
    </row>
    <row r="5" ht="15" customHeight="1" s="60">
      <c r="A5" s="45" t="inlineStr">
        <is>
          <t>RINGKASAN KEDUDUKAN KEWANGAN (AI)</t>
        </is>
      </c>
      <c r="B5" s="41" t="n"/>
    </row>
    <row r="6" ht="90" customHeight="1" s="60">
      <c r="A6" s="37" t="inlineStr">
        <is>
          <t>(Jalankan menu APZacct &gt; Jana Ringkasan AI untuk isi bahagian ini. Kosong sehingga itu — tidak akan menghalang cetakan penyata di bawah.)</t>
        </is>
      </c>
    </row>
    <row r="7" ht="15" customHeight="1" s="60"/>
    <row r="8" ht="15" customHeight="1" s="60"/>
    <row r="9" ht="15" customHeight="1" s="60"/>
    <row r="10" ht="15" customHeight="1" s="60"/>
    <row r="11" ht="15" customHeight="1" s="60"/>
    <row r="12">
      <c r="A12" s="41" t="n"/>
      <c r="B12" s="41" t="n"/>
    </row>
    <row r="13" ht="15" customHeight="1" s="60">
      <c r="A13" s="57">
        <f>KKK!A1</f>
        <v/>
      </c>
      <c r="B13" s="32" t="n"/>
    </row>
    <row r="14" ht="15" customHeight="1" s="60">
      <c r="A14" s="58">
        <f>KKK!A2</f>
        <v/>
      </c>
      <c r="B14" s="16" t="n"/>
    </row>
    <row r="15" ht="15" customHeight="1" s="60">
      <c r="A15" s="57">
        <f>KKK!A4</f>
        <v/>
      </c>
      <c r="B15" s="32" t="n"/>
    </row>
    <row r="16" ht="15" customHeight="1" s="60">
      <c r="A16" s="58">
        <f>KKK!A5</f>
        <v/>
      </c>
      <c r="B16" s="48">
        <f>KKK!B5</f>
        <v/>
      </c>
    </row>
    <row r="17" ht="15" customHeight="1" s="60">
      <c r="A17" s="58">
        <f>KKK!A6</f>
        <v/>
      </c>
      <c r="B17" s="48">
        <f>KKK!B6</f>
        <v/>
      </c>
    </row>
    <row r="18" ht="15" customHeight="1" s="60">
      <c r="A18" s="58">
        <f>KKK!A7</f>
        <v/>
      </c>
      <c r="B18" s="48">
        <f>KKK!B7</f>
        <v/>
      </c>
    </row>
    <row r="19" ht="15" customHeight="1" s="60">
      <c r="A19" s="58">
        <f>KKK!A8</f>
        <v/>
      </c>
      <c r="B19" s="48">
        <f>KKK!B8</f>
        <v/>
      </c>
    </row>
    <row r="20" ht="15" customHeight="1" s="60">
      <c r="A20" s="58">
        <f>KKK!A9</f>
        <v/>
      </c>
      <c r="B20" s="48">
        <f>KKK!B9</f>
        <v/>
      </c>
    </row>
    <row r="21" ht="15" customHeight="1" s="60">
      <c r="A21" s="58">
        <f>KKK!A10</f>
        <v/>
      </c>
      <c r="B21" s="48">
        <f>KKK!B10</f>
        <v/>
      </c>
    </row>
    <row r="22" ht="15" customHeight="1" s="60">
      <c r="A22" s="58">
        <f>KKK!A11</f>
        <v/>
      </c>
      <c r="B22" s="48">
        <f>KKK!B11</f>
        <v/>
      </c>
    </row>
    <row r="23" ht="15" customHeight="1" s="60">
      <c r="A23" s="59">
        <f>KKK!A12</f>
        <v/>
      </c>
      <c r="B23" s="33">
        <f>KKK!B12</f>
        <v/>
      </c>
    </row>
    <row r="24" ht="15" customHeight="1" s="60">
      <c r="A24" s="57">
        <f>KKK!A14</f>
        <v/>
      </c>
      <c r="B24" s="32" t="n"/>
    </row>
    <row r="25" ht="15" customHeight="1" s="60">
      <c r="A25" s="58">
        <f>KKK!A15</f>
        <v/>
      </c>
      <c r="B25" s="48">
        <f>KKK!B15</f>
        <v/>
      </c>
    </row>
    <row r="26" ht="15" customHeight="1" s="60">
      <c r="A26" s="58">
        <f>KKK!A16</f>
        <v/>
      </c>
      <c r="B26" s="48">
        <f>KKK!B16</f>
        <v/>
      </c>
    </row>
    <row r="27" ht="15" customHeight="1" s="60">
      <c r="A27" s="59">
        <f>KKK!A17</f>
        <v/>
      </c>
      <c r="B27" s="33">
        <f>KKK!B17</f>
        <v/>
      </c>
    </row>
    <row r="28" ht="15" customHeight="1" s="60">
      <c r="A28" s="57">
        <f>KKK!A19</f>
        <v/>
      </c>
      <c r="B28" s="32" t="n"/>
    </row>
    <row r="29" ht="15" customHeight="1" s="60">
      <c r="A29" s="58">
        <f>KKK!A20</f>
        <v/>
      </c>
      <c r="B29" s="48">
        <f>KKK!B20</f>
        <v/>
      </c>
    </row>
    <row r="30" ht="15" customHeight="1" s="60">
      <c r="A30" s="58">
        <f>KKK!A21</f>
        <v/>
      </c>
      <c r="B30" s="48">
        <f>KKK!B21</f>
        <v/>
      </c>
    </row>
    <row r="31" ht="15" customHeight="1" s="60">
      <c r="A31" s="58">
        <f>KKK!A22</f>
        <v/>
      </c>
      <c r="B31" s="48">
        <f>KKK!B22</f>
        <v/>
      </c>
    </row>
    <row r="32" ht="15" customHeight="1" s="60">
      <c r="A32" s="58">
        <f>KKK!A23</f>
        <v/>
      </c>
      <c r="B32" s="48">
        <f>KKK!B23</f>
        <v/>
      </c>
    </row>
    <row r="33" ht="15" customHeight="1" s="60">
      <c r="A33" s="59">
        <f>KKK!A24</f>
        <v/>
      </c>
      <c r="B33" s="33">
        <f>KKK!B24</f>
        <v/>
      </c>
    </row>
    <row r="34" ht="15" customHeight="1" s="60">
      <c r="A34" s="59">
        <f>KKK!A26</f>
        <v/>
      </c>
      <c r="B34" s="33">
        <f>KKK!B26</f>
        <v/>
      </c>
    </row>
    <row r="35" ht="15" customHeight="1" s="60">
      <c r="A35" s="59">
        <f>KKK!A28</f>
        <v/>
      </c>
      <c r="B35" s="33">
        <f>KKK!B28</f>
        <v/>
      </c>
    </row>
    <row r="36" ht="15.75" customHeight="1" s="60">
      <c r="A36" s="41" t="n"/>
      <c r="B36" s="41" t="n"/>
    </row>
    <row r="37" ht="15.75" customHeight="1" s="60">
      <c r="A37" s="41" t="n"/>
      <c r="B37" s="41" t="n"/>
    </row>
    <row r="38" ht="15.75" customHeight="1" s="60">
      <c r="A38" s="41" t="n"/>
      <c r="B38" s="41" t="n"/>
    </row>
    <row r="39" ht="15" customHeight="1" s="60">
      <c r="A39" s="57">
        <f>UR!A1</f>
        <v/>
      </c>
      <c r="B39" s="32" t="n"/>
    </row>
    <row r="40" ht="15" customHeight="1" s="60">
      <c r="A40" s="58">
        <f>UR!A2</f>
        <v/>
      </c>
      <c r="B40" s="16" t="n"/>
    </row>
    <row r="41" ht="15" customHeight="1" s="60">
      <c r="A41" s="57">
        <f>UR!A4</f>
        <v/>
      </c>
      <c r="B41" s="32" t="n"/>
    </row>
    <row r="42" ht="15" customHeight="1" s="60">
      <c r="A42" s="58">
        <f>UR!A5</f>
        <v/>
      </c>
      <c r="B42" s="48">
        <f>UR!B5</f>
        <v/>
      </c>
    </row>
    <row r="43" ht="15" customHeight="1" s="60">
      <c r="A43" s="58">
        <f>UR!A6</f>
        <v/>
      </c>
      <c r="B43" s="48">
        <f>UR!B6</f>
        <v/>
      </c>
    </row>
    <row r="44" ht="15" customHeight="1" s="60">
      <c r="A44" s="58">
        <f>UR!A7</f>
        <v/>
      </c>
      <c r="B44" s="48">
        <f>UR!B7</f>
        <v/>
      </c>
    </row>
    <row r="45" ht="15" customHeight="1" s="60">
      <c r="A45" s="58">
        <f>UR!A8</f>
        <v/>
      </c>
      <c r="B45" s="48">
        <f>UR!B8</f>
        <v/>
      </c>
    </row>
    <row r="46" ht="15" customHeight="1" s="60">
      <c r="A46" s="58">
        <f>UR!A9</f>
        <v/>
      </c>
      <c r="B46" s="48">
        <f>UR!B9</f>
        <v/>
      </c>
    </row>
    <row r="47" ht="15" customHeight="1" s="60">
      <c r="A47" s="58">
        <f>UR!A10</f>
        <v/>
      </c>
      <c r="B47" s="48">
        <f>UR!B10</f>
        <v/>
      </c>
    </row>
    <row r="48" ht="15" customHeight="1" s="60">
      <c r="A48" s="58">
        <f>UR!A11</f>
        <v/>
      </c>
      <c r="B48" s="48">
        <f>UR!B11</f>
        <v/>
      </c>
    </row>
    <row r="49" ht="15" customHeight="1" s="60">
      <c r="A49" s="58">
        <f>UR!A12</f>
        <v/>
      </c>
      <c r="B49" s="48">
        <f>UR!B12</f>
        <v/>
      </c>
    </row>
    <row r="50" ht="15" customHeight="1" s="60">
      <c r="A50" s="59">
        <f>UR!A13</f>
        <v/>
      </c>
      <c r="B50" s="33">
        <f>UR!B13</f>
        <v/>
      </c>
    </row>
    <row r="51" ht="15" customHeight="1" s="60">
      <c r="A51" s="57">
        <f>UR!A15</f>
        <v/>
      </c>
      <c r="B51" s="32" t="n"/>
    </row>
    <row r="52" ht="15" customHeight="1" s="60">
      <c r="A52" s="58">
        <f>UR!A16</f>
        <v/>
      </c>
      <c r="B52" s="48">
        <f>UR!B16</f>
        <v/>
      </c>
    </row>
    <row r="53" ht="15" customHeight="1" s="60">
      <c r="A53" s="58">
        <f>UR!A17</f>
        <v/>
      </c>
      <c r="B53" s="48">
        <f>UR!B17</f>
        <v/>
      </c>
    </row>
    <row r="54" ht="15" customHeight="1" s="60">
      <c r="A54" s="58">
        <f>UR!A18</f>
        <v/>
      </c>
      <c r="B54" s="48">
        <f>UR!B18</f>
        <v/>
      </c>
    </row>
    <row r="55" ht="15" customHeight="1" s="60">
      <c r="A55" s="58">
        <f>UR!A19</f>
        <v/>
      </c>
      <c r="B55" s="48">
        <f>UR!B19</f>
        <v/>
      </c>
    </row>
    <row r="56" ht="15" customHeight="1" s="60">
      <c r="A56" s="58">
        <f>UR!A20</f>
        <v/>
      </c>
      <c r="B56" s="48">
        <f>UR!B20</f>
        <v/>
      </c>
    </row>
    <row r="57" ht="15" customHeight="1" s="60">
      <c r="A57" s="58">
        <f>UR!A21</f>
        <v/>
      </c>
      <c r="B57" s="48">
        <f>UR!B21</f>
        <v/>
      </c>
    </row>
    <row r="58" ht="15" customHeight="1" s="60">
      <c r="A58" s="58">
        <f>UR!A22</f>
        <v/>
      </c>
      <c r="B58" s="48">
        <f>UR!B22</f>
        <v/>
      </c>
    </row>
    <row r="59" ht="15" customHeight="1" s="60">
      <c r="A59" s="58">
        <f>UR!A23</f>
        <v/>
      </c>
      <c r="B59" s="48">
        <f>UR!B23</f>
        <v/>
      </c>
    </row>
    <row r="60" ht="15" customHeight="1" s="60">
      <c r="A60" s="58">
        <f>UR!A24</f>
        <v/>
      </c>
      <c r="B60" s="48">
        <f>UR!B24</f>
        <v/>
      </c>
    </row>
    <row r="61" ht="15" customHeight="1" s="60">
      <c r="A61" s="58">
        <f>UR!A25</f>
        <v/>
      </c>
      <c r="B61" s="48">
        <f>UR!B25</f>
        <v/>
      </c>
    </row>
    <row r="62" ht="15" customHeight="1" s="60">
      <c r="A62" s="58">
        <f>UR!A26</f>
        <v/>
      </c>
      <c r="B62" s="48">
        <f>UR!B26</f>
        <v/>
      </c>
    </row>
    <row r="63" ht="15" customHeight="1" s="60">
      <c r="A63" s="58">
        <f>UR!A27</f>
        <v/>
      </c>
      <c r="B63" s="48">
        <f>UR!B27</f>
        <v/>
      </c>
    </row>
    <row r="64" ht="15" customHeight="1" s="60">
      <c r="A64" s="58">
        <f>UR!A28</f>
        <v/>
      </c>
      <c r="B64" s="48">
        <f>UR!B28</f>
        <v/>
      </c>
    </row>
    <row r="65" ht="15" customHeight="1" s="60">
      <c r="A65" s="58">
        <f>UR!A29</f>
        <v/>
      </c>
      <c r="B65" s="48">
        <f>UR!B29</f>
        <v/>
      </c>
    </row>
    <row r="66" ht="15" customHeight="1" s="60">
      <c r="A66" s="58">
        <f>UR!A30</f>
        <v/>
      </c>
      <c r="B66" s="48">
        <f>UR!B30</f>
        <v/>
      </c>
    </row>
    <row r="67" ht="15" customHeight="1" s="60">
      <c r="A67" s="58">
        <f>UR!A31</f>
        <v/>
      </c>
      <c r="B67" s="48">
        <f>UR!B31</f>
        <v/>
      </c>
    </row>
    <row r="68" ht="15" customHeight="1" s="60">
      <c r="A68" s="58">
        <f>UR!A32</f>
        <v/>
      </c>
      <c r="B68" s="48">
        <f>UR!B32</f>
        <v/>
      </c>
    </row>
    <row r="69" ht="15" customHeight="1" s="60">
      <c r="A69" s="58">
        <f>UR!A33</f>
        <v/>
      </c>
      <c r="B69" s="48">
        <f>UR!B33</f>
        <v/>
      </c>
    </row>
    <row r="70" ht="15" customHeight="1" s="60">
      <c r="A70" s="59">
        <f>UR!A34</f>
        <v/>
      </c>
      <c r="B70" s="33">
        <f>UR!B34</f>
        <v/>
      </c>
    </row>
    <row r="71" ht="15" customHeight="1" s="60">
      <c r="A71" s="59">
        <f>UR!A36</f>
        <v/>
      </c>
      <c r="B71" s="33">
        <f>UR!B36</f>
        <v/>
      </c>
    </row>
    <row r="72" ht="15.75" customHeight="1" s="60">
      <c r="A72" s="41" t="n"/>
      <c r="B72" s="41" t="n"/>
    </row>
    <row r="73" ht="15.75" customHeight="1" s="60">
      <c r="A73" s="41" t="n"/>
      <c r="B73" s="41" t="n"/>
    </row>
    <row r="74" ht="15.75" customHeight="1" s="60">
      <c r="A74" s="41" t="n"/>
      <c r="B74" s="41" t="n"/>
    </row>
    <row r="75" ht="15" customHeight="1" s="60">
      <c r="A75" s="57">
        <f>APK!A1</f>
        <v/>
      </c>
      <c r="B75" s="32" t="n"/>
    </row>
    <row r="76" ht="15" customHeight="1" s="60">
      <c r="A76" s="58">
        <f>APK!A2</f>
        <v/>
      </c>
      <c r="B76" s="16" t="n"/>
    </row>
    <row r="77" ht="15" customHeight="1" s="60">
      <c r="A77" s="58">
        <f>APK!A4</f>
        <v/>
      </c>
      <c r="B77" s="48">
        <f>APK!B4</f>
        <v/>
      </c>
    </row>
    <row r="78" ht="15" customHeight="1" s="60">
      <c r="A78" s="57">
        <f>APK!A6</f>
        <v/>
      </c>
      <c r="B78" s="32" t="n"/>
    </row>
    <row r="79" ht="15" customHeight="1" s="60">
      <c r="A79" s="58">
        <f>APK!A7</f>
        <v/>
      </c>
      <c r="B79" s="48">
        <f>APK!B7</f>
        <v/>
      </c>
    </row>
    <row r="80" ht="15" customHeight="1" s="60">
      <c r="A80" s="58">
        <f>APK!A8</f>
        <v/>
      </c>
      <c r="B80" s="48">
        <f>APK!B8</f>
        <v/>
      </c>
    </row>
    <row r="81" ht="15" customHeight="1" s="60">
      <c r="A81" s="58">
        <f>APK!A9</f>
        <v/>
      </c>
      <c r="B81" s="48">
        <f>APK!B9</f>
        <v/>
      </c>
    </row>
    <row r="82" ht="15" customHeight="1" s="60">
      <c r="A82" s="59">
        <f>APK!A10</f>
        <v/>
      </c>
      <c r="B82" s="33">
        <f>APK!B10</f>
        <v/>
      </c>
    </row>
    <row r="83" ht="15" customHeight="1" s="60">
      <c r="A83" s="59">
        <f>APK!A12</f>
        <v/>
      </c>
      <c r="B83" s="33">
        <f>APK!B12</f>
        <v/>
      </c>
    </row>
    <row r="84" ht="15" customHeight="1" s="60">
      <c r="A84" s="57">
        <f>APK!A14</f>
        <v/>
      </c>
      <c r="B84" s="32" t="n"/>
    </row>
    <row r="85" ht="15" customHeight="1" s="60">
      <c r="A85" s="58">
        <f>APK!A15</f>
        <v/>
      </c>
      <c r="B85" s="48">
        <f>APK!B15</f>
        <v/>
      </c>
    </row>
    <row r="86" ht="15" customHeight="1" s="60">
      <c r="A86" s="58">
        <f>APK!A16</f>
        <v/>
      </c>
      <c r="B86" s="48">
        <f>APK!B16</f>
        <v/>
      </c>
    </row>
    <row r="87" ht="15" customHeight="1" s="60">
      <c r="A87" s="59">
        <f>APK!A17</f>
        <v/>
      </c>
      <c r="B87" s="33">
        <f>APK!B17</f>
        <v/>
      </c>
    </row>
    <row r="88" ht="15" customHeight="1" s="60">
      <c r="A88" s="57">
        <f>APK!A19</f>
        <v/>
      </c>
      <c r="B88" s="32" t="n"/>
    </row>
    <row r="89" ht="15" customHeight="1" s="60">
      <c r="A89" s="58">
        <f>APK!A20</f>
        <v/>
      </c>
      <c r="B89" s="48">
        <f>APK!B20</f>
        <v/>
      </c>
    </row>
    <row r="90" ht="15" customHeight="1" s="60">
      <c r="A90" s="58">
        <f>APK!A21</f>
        <v/>
      </c>
      <c r="B90" s="48">
        <f>APK!B21</f>
        <v/>
      </c>
    </row>
    <row r="91" ht="15" customHeight="1" s="60">
      <c r="A91" s="58">
        <f>APK!A22</f>
        <v/>
      </c>
      <c r="B91" s="48">
        <f>APK!B22</f>
        <v/>
      </c>
    </row>
    <row r="92" ht="15" customHeight="1" s="60">
      <c r="A92" s="59">
        <f>APK!A23</f>
        <v/>
      </c>
      <c r="B92" s="33">
        <f>APK!B23</f>
        <v/>
      </c>
    </row>
    <row r="93" ht="15" customHeight="1" s="60">
      <c r="A93" s="59">
        <f>APK!A25</f>
        <v/>
      </c>
      <c r="B93" s="33">
        <f>APK!B25</f>
        <v/>
      </c>
    </row>
    <row r="94" ht="15" customHeight="1" s="60">
      <c r="A94" s="58">
        <f>APK!A27</f>
        <v/>
      </c>
      <c r="B94" s="48">
        <f>APK!B27</f>
        <v/>
      </c>
    </row>
    <row r="95" ht="15" customHeight="1" s="60">
      <c r="A95" s="59">
        <f>APK!A28</f>
        <v/>
      </c>
      <c r="B95" s="33">
        <f>APK!B28</f>
        <v/>
      </c>
    </row>
    <row r="96" ht="15" customHeight="1" s="60">
      <c r="A96" s="59">
        <f>APK!A30</f>
        <v/>
      </c>
      <c r="B96" s="32" t="n"/>
    </row>
    <row r="97" ht="15" customHeight="1" s="60">
      <c r="A97" s="58">
        <f>APK!A31</f>
        <v/>
      </c>
      <c r="B97" s="16" t="n"/>
    </row>
    <row r="98" ht="15.75" customHeight="1" s="60">
      <c r="A98" s="41" t="n"/>
      <c r="B98" s="41" t="n"/>
    </row>
    <row r="99" ht="15.75" customHeight="1" s="60">
      <c r="A99" s="41" t="n"/>
      <c r="B99" s="41" t="n"/>
    </row>
    <row r="100" ht="15.75" customHeight="1" s="60">
      <c r="A100" s="41" t="n"/>
      <c r="B100" s="41" t="n"/>
    </row>
    <row r="101" ht="15" customHeight="1" s="60">
      <c r="A101" s="57">
        <f>AT!A1</f>
        <v/>
      </c>
      <c r="B101" s="32" t="n"/>
    </row>
    <row r="102" ht="15" customHeight="1" s="60">
      <c r="A102" s="58">
        <f>AT!A2</f>
        <v/>
      </c>
      <c r="B102" s="16" t="n"/>
    </row>
    <row r="103" ht="15" customHeight="1" s="60">
      <c r="A103" s="57">
        <f>AT!A4</f>
        <v/>
      </c>
      <c r="B103" s="32" t="n"/>
    </row>
    <row r="104" ht="15" customHeight="1" s="60">
      <c r="A104" s="58">
        <f>AT!A5</f>
        <v/>
      </c>
      <c r="B104" s="48">
        <f>AT!B5</f>
        <v/>
      </c>
    </row>
    <row r="105" ht="15" customHeight="1" s="60">
      <c r="A105" s="58">
        <f>AT!A6</f>
        <v/>
      </c>
      <c r="B105" s="48">
        <f>AT!B6</f>
        <v/>
      </c>
    </row>
    <row r="106" ht="15" customHeight="1" s="60">
      <c r="A106" s="58">
        <f>AT!A7</f>
        <v/>
      </c>
      <c r="B106" s="48">
        <f>AT!B7</f>
        <v/>
      </c>
    </row>
    <row r="107" ht="15" customHeight="1" s="60">
      <c r="A107" s="59">
        <f>AT!A8</f>
        <v/>
      </c>
      <c r="B107" s="33">
        <f>AT!B8</f>
        <v/>
      </c>
    </row>
    <row r="108" ht="15" customHeight="1" s="60">
      <c r="A108" s="57">
        <f>AT!A10</f>
        <v/>
      </c>
      <c r="B108" s="32" t="n"/>
    </row>
    <row r="109" ht="15" customHeight="1" s="60">
      <c r="A109" s="58">
        <f>AT!A11</f>
        <v/>
      </c>
      <c r="B109" s="48">
        <f>AT!B11</f>
        <v/>
      </c>
    </row>
    <row r="110" ht="15" customHeight="1" s="60">
      <c r="A110" s="59">
        <f>AT!A12</f>
        <v/>
      </c>
      <c r="B110" s="33">
        <f>AT!B12</f>
        <v/>
      </c>
    </row>
    <row r="111" ht="15" customHeight="1" s="60">
      <c r="A111" s="57">
        <f>AT!A14</f>
        <v/>
      </c>
      <c r="B111" s="32" t="n"/>
    </row>
    <row r="112" ht="15" customHeight="1" s="60">
      <c r="A112" s="58">
        <f>AT!A15</f>
        <v/>
      </c>
      <c r="B112" s="48">
        <f>AT!B15</f>
        <v/>
      </c>
    </row>
    <row r="113" ht="15" customHeight="1" s="60">
      <c r="A113" s="59">
        <f>AT!A16</f>
        <v/>
      </c>
      <c r="B113" s="33">
        <f>AT!B16</f>
        <v/>
      </c>
    </row>
    <row r="114" ht="15" customHeight="1" s="60">
      <c r="A114" s="59">
        <f>AT!A18</f>
        <v/>
      </c>
      <c r="B114" s="33">
        <f>AT!B18</f>
        <v/>
      </c>
    </row>
    <row r="115" ht="15" customHeight="1" s="60">
      <c r="A115" s="58">
        <f>AT!A20</f>
        <v/>
      </c>
      <c r="B115" s="48">
        <f>AT!B20</f>
        <v/>
      </c>
    </row>
    <row r="116" ht="15" customHeight="1" s="60">
      <c r="A116" s="59">
        <f>AT!A21</f>
        <v/>
      </c>
      <c r="B116" s="33">
        <f>AT!B21</f>
        <v/>
      </c>
    </row>
    <row r="117" ht="15" customHeight="1" s="60">
      <c r="A117" s="58">
        <f>AT!A22</f>
        <v/>
      </c>
      <c r="B117" s="48">
        <f>AT!B22</f>
        <v/>
      </c>
    </row>
    <row r="118" ht="15" customHeight="1" s="60">
      <c r="A118" s="59">
        <f>AT!A24</f>
        <v/>
      </c>
      <c r="B118" s="32">
        <f>AT!B24</f>
        <v/>
      </c>
    </row>
    <row r="119" ht="15.75" customHeight="1" s="60">
      <c r="A119" s="41" t="n"/>
      <c r="B119" s="41" t="n"/>
    </row>
    <row r="120" ht="15.75" customHeight="1" s="60">
      <c r="A120" s="41" t="n"/>
      <c r="B120" s="41" t="n"/>
    </row>
    <row r="121" ht="15.75" customHeight="1" s="60">
      <c r="A121" s="41" t="n"/>
      <c r="B121" s="41" t="n"/>
    </row>
    <row r="122" ht="15.75" customHeight="1" s="60">
      <c r="A122" s="41" t="n"/>
      <c r="B122" s="41" t="n"/>
    </row>
    <row r="123" ht="15.75" customHeight="1" s="60">
      <c r="A123" s="41" t="n"/>
      <c r="B123" s="41" t="n"/>
    </row>
    <row r="124" ht="15.75" customHeight="1" s="60">
      <c r="A124" s="41" t="n"/>
      <c r="B124" s="41" t="n"/>
    </row>
    <row r="125" ht="15.75" customHeight="1" s="60">
      <c r="A125" s="41" t="n"/>
      <c r="B125" s="41" t="n"/>
    </row>
    <row r="126" ht="15.75" customHeight="1" s="60">
      <c r="A126" s="41" t="n"/>
      <c r="B126" s="41" t="n"/>
    </row>
    <row r="127" ht="15.75" customHeight="1" s="60">
      <c r="A127" s="41" t="n"/>
      <c r="B127" s="41" t="n"/>
    </row>
    <row r="128" ht="15.75" customHeight="1" s="60">
      <c r="A128" s="41" t="n"/>
      <c r="B128" s="41" t="n"/>
    </row>
    <row r="129" ht="15.75" customHeight="1" s="60">
      <c r="A129" s="41" t="n"/>
      <c r="B129" s="41" t="n"/>
    </row>
    <row r="130" ht="15.75" customHeight="1" s="60">
      <c r="A130" s="41" t="n"/>
      <c r="B130" s="41" t="n"/>
    </row>
    <row r="131" ht="15.75" customHeight="1" s="60">
      <c r="A131" s="41" t="n"/>
      <c r="B131" s="41" t="n"/>
    </row>
    <row r="132" ht="15.75" customHeight="1" s="60">
      <c r="A132" s="41" t="n"/>
      <c r="B132" s="41" t="n"/>
    </row>
    <row r="133" ht="15.75" customHeight="1" s="60">
      <c r="A133" s="41" t="n"/>
      <c r="B133" s="41" t="n"/>
    </row>
    <row r="134" ht="15.75" customHeight="1" s="60">
      <c r="A134" s="41" t="n"/>
      <c r="B134" s="41" t="n"/>
    </row>
    <row r="135" ht="15.75" customHeight="1" s="60">
      <c r="A135" s="41" t="n"/>
      <c r="B135" s="41" t="n"/>
    </row>
    <row r="136" ht="15.75" customHeight="1" s="60">
      <c r="A136" s="41" t="n"/>
      <c r="B136" s="41" t="n"/>
    </row>
    <row r="137" ht="15.75" customHeight="1" s="60">
      <c r="A137" s="41" t="n"/>
      <c r="B137" s="41" t="n"/>
    </row>
    <row r="138" ht="15.75" customHeight="1" s="60">
      <c r="A138" s="41" t="n"/>
      <c r="B138" s="41" t="n"/>
    </row>
    <row r="139" ht="15.75" customHeight="1" s="60">
      <c r="A139" s="41" t="n"/>
      <c r="B139" s="41" t="n"/>
    </row>
    <row r="140" ht="15.75" customHeight="1" s="60">
      <c r="A140" s="41" t="n"/>
      <c r="B140" s="41" t="n"/>
    </row>
    <row r="141" ht="15.75" customHeight="1" s="60">
      <c r="A141" s="41" t="n"/>
      <c r="B141" s="41" t="n"/>
    </row>
    <row r="142" ht="15.75" customHeight="1" s="60">
      <c r="A142" s="41" t="n"/>
      <c r="B142" s="41" t="n"/>
    </row>
    <row r="143" ht="15.75" customHeight="1" s="60">
      <c r="A143" s="41" t="n"/>
      <c r="B143" s="41" t="n"/>
    </row>
    <row r="144" ht="15.75" customHeight="1" s="60">
      <c r="A144" s="41" t="n"/>
      <c r="B144" s="41" t="n"/>
    </row>
    <row r="145" ht="15.75" customHeight="1" s="60">
      <c r="A145" s="41" t="n"/>
      <c r="B145" s="41" t="n"/>
    </row>
    <row r="146" ht="15.75" customHeight="1" s="60">
      <c r="A146" s="41" t="n"/>
      <c r="B146" s="41" t="n"/>
    </row>
    <row r="147" ht="15.75" customHeight="1" s="60">
      <c r="A147" s="41" t="n"/>
      <c r="B147" s="41" t="n"/>
    </row>
    <row r="148" ht="15.75" customHeight="1" s="60">
      <c r="A148" s="41" t="n"/>
      <c r="B148" s="41" t="n"/>
    </row>
    <row r="149" ht="15.75" customHeight="1" s="60">
      <c r="A149" s="41" t="n"/>
      <c r="B149" s="41" t="n"/>
    </row>
    <row r="150" ht="15.75" customHeight="1" s="60">
      <c r="A150" s="41" t="n"/>
      <c r="B150" s="41" t="n"/>
    </row>
    <row r="151" ht="15.75" customHeight="1" s="60">
      <c r="A151" s="41" t="n"/>
      <c r="B151" s="41" t="n"/>
    </row>
    <row r="152" ht="15.75" customHeight="1" s="60">
      <c r="A152" s="41" t="n"/>
      <c r="B152" s="41" t="n"/>
    </row>
    <row r="153" ht="15.75" customHeight="1" s="60">
      <c r="A153" s="41" t="n"/>
      <c r="B153" s="41" t="n"/>
    </row>
    <row r="154" ht="15.75" customHeight="1" s="60">
      <c r="A154" s="41" t="n"/>
      <c r="B154" s="41" t="n"/>
    </row>
    <row r="155" ht="15.75" customHeight="1" s="60">
      <c r="A155" s="41" t="n"/>
      <c r="B155" s="41" t="n"/>
    </row>
    <row r="156" ht="15.75" customHeight="1" s="60">
      <c r="A156" s="41" t="n"/>
      <c r="B156" s="41" t="n"/>
    </row>
    <row r="157" ht="15.75" customHeight="1" s="60">
      <c r="A157" s="41" t="n"/>
      <c r="B157" s="41" t="n"/>
    </row>
    <row r="158" ht="15.75" customHeight="1" s="60">
      <c r="A158" s="41" t="n"/>
      <c r="B158" s="41" t="n"/>
    </row>
    <row r="159" ht="15.75" customHeight="1" s="60">
      <c r="A159" s="41" t="n"/>
      <c r="B159" s="41" t="n"/>
    </row>
    <row r="160" ht="15.75" customHeight="1" s="60">
      <c r="A160" s="41" t="n"/>
      <c r="B160" s="41" t="n"/>
    </row>
    <row r="161" ht="15.75" customHeight="1" s="60">
      <c r="A161" s="41" t="n"/>
      <c r="B161" s="41" t="n"/>
    </row>
    <row r="162" ht="15.75" customHeight="1" s="60">
      <c r="A162" s="41" t="n"/>
      <c r="B162" s="41" t="n"/>
    </row>
    <row r="163" ht="15.75" customHeight="1" s="60">
      <c r="A163" s="41" t="n"/>
      <c r="B163" s="41" t="n"/>
    </row>
    <row r="164" ht="15.75" customHeight="1" s="60">
      <c r="A164" s="41" t="n"/>
      <c r="B164" s="41" t="n"/>
    </row>
    <row r="165" ht="15.75" customHeight="1" s="60">
      <c r="A165" s="41" t="n"/>
      <c r="B165" s="41" t="n"/>
    </row>
    <row r="166" ht="15.75" customHeight="1" s="60">
      <c r="A166" s="41" t="n"/>
      <c r="B166" s="41" t="n"/>
    </row>
    <row r="167" ht="15.75" customHeight="1" s="60">
      <c r="A167" s="41" t="n"/>
      <c r="B167" s="41" t="n"/>
    </row>
    <row r="168" ht="15.75" customHeight="1" s="60">
      <c r="A168" s="41" t="n"/>
      <c r="B168" s="41" t="n"/>
    </row>
    <row r="169" ht="15.75" customHeight="1" s="60">
      <c r="A169" s="41" t="n"/>
      <c r="B169" s="41" t="n"/>
    </row>
    <row r="170" ht="15.75" customHeight="1" s="60">
      <c r="A170" s="41" t="n"/>
      <c r="B170" s="41" t="n"/>
    </row>
    <row r="171" ht="15.75" customHeight="1" s="60">
      <c r="A171" s="41" t="n"/>
      <c r="B171" s="41" t="n"/>
    </row>
    <row r="172" ht="15.75" customHeight="1" s="60">
      <c r="A172" s="41" t="n"/>
      <c r="B172" s="41" t="n"/>
    </row>
    <row r="173" ht="15.75" customHeight="1" s="60">
      <c r="A173" s="41" t="n"/>
      <c r="B173" s="41" t="n"/>
    </row>
    <row r="174" ht="15.75" customHeight="1" s="60">
      <c r="A174" s="41" t="n"/>
      <c r="B174" s="41" t="n"/>
    </row>
    <row r="175" ht="15.75" customHeight="1" s="60">
      <c r="A175" s="41" t="n"/>
      <c r="B175" s="41" t="n"/>
    </row>
    <row r="176" ht="15.75" customHeight="1" s="60">
      <c r="A176" s="41" t="n"/>
      <c r="B176" s="41" t="n"/>
    </row>
    <row r="177" ht="15.75" customHeight="1" s="60">
      <c r="A177" s="41" t="n"/>
      <c r="B177" s="41" t="n"/>
    </row>
    <row r="178" ht="15.75" customHeight="1" s="60">
      <c r="A178" s="41" t="n"/>
      <c r="B178" s="41" t="n"/>
    </row>
    <row r="179" ht="15.75" customHeight="1" s="60">
      <c r="A179" s="41" t="n"/>
      <c r="B179" s="41" t="n"/>
    </row>
    <row r="180" ht="15.75" customHeight="1" s="60">
      <c r="A180" s="41" t="n"/>
      <c r="B180" s="41" t="n"/>
    </row>
    <row r="181" ht="15.75" customHeight="1" s="60">
      <c r="A181" s="41" t="n"/>
      <c r="B181" s="41" t="n"/>
    </row>
    <row r="182" ht="15.75" customHeight="1" s="60">
      <c r="A182" s="41" t="n"/>
      <c r="B182" s="41" t="n"/>
    </row>
    <row r="183" ht="15.75" customHeight="1" s="60">
      <c r="A183" s="41" t="n"/>
      <c r="B183" s="41" t="n"/>
    </row>
    <row r="184" ht="15.75" customHeight="1" s="60">
      <c r="A184" s="41" t="n"/>
      <c r="B184" s="41" t="n"/>
    </row>
    <row r="185" ht="15.75" customHeight="1" s="60">
      <c r="A185" s="41" t="n"/>
      <c r="B185" s="41" t="n"/>
    </row>
    <row r="186" ht="15.75" customHeight="1" s="60">
      <c r="A186" s="41" t="n"/>
      <c r="B186" s="41" t="n"/>
    </row>
    <row r="187" ht="15.75" customHeight="1" s="60">
      <c r="A187" s="41" t="n"/>
      <c r="B187" s="41" t="n"/>
    </row>
    <row r="188" ht="15.75" customHeight="1" s="60">
      <c r="A188" s="41" t="n"/>
      <c r="B188" s="41" t="n"/>
    </row>
    <row r="189" ht="15.75" customHeight="1" s="60">
      <c r="A189" s="41" t="n"/>
      <c r="B189" s="41" t="n"/>
    </row>
    <row r="190" ht="15.75" customHeight="1" s="60">
      <c r="A190" s="41" t="n"/>
      <c r="B190" s="41" t="n"/>
    </row>
    <row r="191" ht="15.75" customHeight="1" s="60">
      <c r="A191" s="41" t="n"/>
      <c r="B191" s="41" t="n"/>
    </row>
    <row r="192" ht="15.75" customHeight="1" s="60">
      <c r="A192" s="41" t="n"/>
      <c r="B192" s="41" t="n"/>
    </row>
    <row r="193" ht="15.75" customHeight="1" s="60">
      <c r="A193" s="41" t="n"/>
      <c r="B193" s="41" t="n"/>
    </row>
    <row r="194" ht="15.75" customHeight="1" s="60">
      <c r="A194" s="41" t="n"/>
      <c r="B194" s="41" t="n"/>
    </row>
    <row r="195" ht="15.75" customHeight="1" s="60">
      <c r="A195" s="41" t="n"/>
      <c r="B195" s="41" t="n"/>
    </row>
    <row r="196" ht="15.75" customHeight="1" s="60">
      <c r="A196" s="41" t="n"/>
      <c r="B196" s="41" t="n"/>
    </row>
    <row r="197" ht="15.75" customHeight="1" s="60">
      <c r="A197" s="41" t="n"/>
      <c r="B197" s="41" t="n"/>
    </row>
    <row r="198" ht="15.75" customHeight="1" s="60">
      <c r="A198" s="41" t="n"/>
      <c r="B198" s="41" t="n"/>
    </row>
    <row r="199" ht="15.75" customHeight="1" s="60">
      <c r="A199" s="41" t="n"/>
      <c r="B199" s="41" t="n"/>
    </row>
    <row r="200" ht="15.75" customHeight="1" s="60">
      <c r="A200" s="41" t="n"/>
      <c r="B200" s="41" t="n"/>
    </row>
    <row r="201" ht="15.75" customHeight="1" s="60">
      <c r="A201" s="41" t="n"/>
      <c r="B201" s="41" t="n"/>
    </row>
    <row r="202" ht="15.75" customHeight="1" s="60">
      <c r="A202" s="41" t="n"/>
      <c r="B202" s="41" t="n"/>
    </row>
    <row r="203" ht="15.75" customHeight="1" s="60">
      <c r="A203" s="41" t="n"/>
      <c r="B203" s="41" t="n"/>
    </row>
    <row r="204" ht="15.75" customHeight="1" s="60">
      <c r="A204" s="41" t="n"/>
      <c r="B204" s="41" t="n"/>
    </row>
    <row r="205" ht="15.75" customHeight="1" s="60">
      <c r="A205" s="41" t="n"/>
      <c r="B205" s="41" t="n"/>
    </row>
    <row r="206" ht="15.75" customHeight="1" s="60">
      <c r="A206" s="41" t="n"/>
      <c r="B206" s="41" t="n"/>
    </row>
    <row r="207" ht="15.75" customHeight="1" s="60">
      <c r="A207" s="41" t="n"/>
      <c r="B207" s="41" t="n"/>
    </row>
    <row r="208" ht="15.75" customHeight="1" s="60">
      <c r="A208" s="41" t="n"/>
      <c r="B208" s="41" t="n"/>
    </row>
    <row r="209" ht="15.75" customHeight="1" s="60">
      <c r="A209" s="41" t="n"/>
      <c r="B209" s="41" t="n"/>
    </row>
    <row r="210" ht="15.75" customHeight="1" s="60">
      <c r="A210" s="41" t="n"/>
      <c r="B210" s="41" t="n"/>
    </row>
    <row r="211" ht="15.75" customHeight="1" s="60">
      <c r="A211" s="41" t="n"/>
      <c r="B211" s="41" t="n"/>
    </row>
    <row r="212" ht="15.75" customHeight="1" s="60">
      <c r="A212" s="41" t="n"/>
      <c r="B212" s="41" t="n"/>
    </row>
    <row r="213" ht="15.75" customHeight="1" s="60">
      <c r="A213" s="41" t="n"/>
      <c r="B213" s="41" t="n"/>
    </row>
    <row r="214" ht="15.75" customHeight="1" s="60">
      <c r="A214" s="41" t="n"/>
      <c r="B214" s="41" t="n"/>
    </row>
    <row r="215" ht="15.75" customHeight="1" s="60">
      <c r="A215" s="41" t="n"/>
      <c r="B215" s="41" t="n"/>
    </row>
    <row r="216" ht="15.75" customHeight="1" s="60">
      <c r="A216" s="41" t="n"/>
      <c r="B216" s="41" t="n"/>
    </row>
    <row r="217" ht="15.75" customHeight="1" s="60">
      <c r="A217" s="41" t="n"/>
      <c r="B217" s="41" t="n"/>
    </row>
    <row r="218" ht="15.75" customHeight="1" s="60">
      <c r="A218" s="41" t="n"/>
      <c r="B218" s="41" t="n"/>
    </row>
    <row r="219" ht="15.75" customHeight="1" s="60">
      <c r="A219" s="41" t="n"/>
      <c r="B219" s="41" t="n"/>
    </row>
    <row r="220" ht="15.75" customHeight="1" s="60">
      <c r="A220" s="41" t="n"/>
      <c r="B220" s="41" t="n"/>
    </row>
    <row r="221" ht="15.75" customHeight="1" s="60">
      <c r="A221" s="41" t="n"/>
      <c r="B221" s="41" t="n"/>
    </row>
    <row r="222" ht="15.75" customHeight="1" s="60">
      <c r="A222" s="41" t="n"/>
      <c r="B222" s="41" t="n"/>
    </row>
    <row r="223" ht="15.75" customHeight="1" s="60">
      <c r="A223" s="41" t="n"/>
      <c r="B223" s="41" t="n"/>
    </row>
    <row r="224" ht="15.75" customHeight="1" s="60">
      <c r="A224" s="41" t="n"/>
      <c r="B224" s="41" t="n"/>
    </row>
    <row r="225" ht="15.75" customHeight="1" s="60">
      <c r="A225" s="41" t="n"/>
      <c r="B225" s="41" t="n"/>
    </row>
    <row r="226" ht="15.75" customHeight="1" s="60">
      <c r="A226" s="41" t="n"/>
      <c r="B226" s="41" t="n"/>
    </row>
    <row r="227" ht="15.75" customHeight="1" s="60">
      <c r="A227" s="41" t="n"/>
      <c r="B227" s="41" t="n"/>
    </row>
    <row r="228" ht="15.75" customHeight="1" s="60">
      <c r="A228" s="41" t="n"/>
      <c r="B228" s="41" t="n"/>
    </row>
    <row r="229" ht="15.75" customHeight="1" s="60">
      <c r="A229" s="41" t="n"/>
      <c r="B229" s="41" t="n"/>
    </row>
    <row r="230" ht="15.75" customHeight="1" s="60">
      <c r="A230" s="41" t="n"/>
      <c r="B230" s="41" t="n"/>
    </row>
    <row r="231" ht="15.75" customHeight="1" s="60">
      <c r="A231" s="41" t="n"/>
      <c r="B231" s="41" t="n"/>
    </row>
    <row r="232" ht="15.75" customHeight="1" s="60">
      <c r="A232" s="41" t="n"/>
      <c r="B232" s="41" t="n"/>
    </row>
    <row r="233" ht="15.75" customHeight="1" s="60">
      <c r="A233" s="41" t="n"/>
      <c r="B233" s="41" t="n"/>
    </row>
    <row r="234" ht="15.75" customHeight="1" s="60">
      <c r="A234" s="41" t="n"/>
      <c r="B234" s="41" t="n"/>
    </row>
    <row r="235" ht="15.75" customHeight="1" s="60">
      <c r="A235" s="41" t="n"/>
      <c r="B235" s="41" t="n"/>
    </row>
    <row r="236" ht="15.75" customHeight="1" s="60">
      <c r="A236" s="41" t="n"/>
      <c r="B236" s="41" t="n"/>
    </row>
    <row r="237" ht="15.75" customHeight="1" s="60">
      <c r="A237" s="41" t="n"/>
      <c r="B237" s="41" t="n"/>
    </row>
    <row r="238" ht="15.75" customHeight="1" s="60">
      <c r="A238" s="41" t="n"/>
      <c r="B238" s="41" t="n"/>
    </row>
    <row r="239" ht="15.75" customHeight="1" s="60">
      <c r="A239" s="41" t="n"/>
      <c r="B239" s="41" t="n"/>
    </row>
    <row r="240" ht="15.75" customHeight="1" s="60">
      <c r="A240" s="41" t="n"/>
      <c r="B240" s="41" t="n"/>
    </row>
    <row r="241" ht="15.75" customHeight="1" s="60">
      <c r="A241" s="41" t="n"/>
      <c r="B241" s="41" t="n"/>
    </row>
    <row r="242" ht="15.75" customHeight="1" s="60">
      <c r="A242" s="41" t="n"/>
      <c r="B242" s="41" t="n"/>
    </row>
    <row r="243" ht="15.75" customHeight="1" s="60">
      <c r="A243" s="41" t="n"/>
      <c r="B243" s="41" t="n"/>
    </row>
    <row r="244" ht="15.75" customHeight="1" s="60">
      <c r="A244" s="41" t="n"/>
      <c r="B244" s="41" t="n"/>
    </row>
    <row r="245" ht="15.75" customHeight="1" s="60">
      <c r="A245" s="41" t="n"/>
      <c r="B245" s="41" t="n"/>
    </row>
    <row r="246" ht="15.75" customHeight="1" s="60">
      <c r="A246" s="41" t="n"/>
      <c r="B246" s="41" t="n"/>
    </row>
    <row r="247" ht="15.75" customHeight="1" s="60">
      <c r="A247" s="41" t="n"/>
      <c r="B247" s="41" t="n"/>
    </row>
    <row r="248" ht="15.75" customHeight="1" s="60">
      <c r="A248" s="41" t="n"/>
      <c r="B248" s="41" t="n"/>
    </row>
    <row r="249" ht="15.75" customHeight="1" s="60">
      <c r="A249" s="41" t="n"/>
      <c r="B249" s="41" t="n"/>
    </row>
    <row r="250" ht="15.75" customHeight="1" s="60">
      <c r="A250" s="41" t="n"/>
      <c r="B250" s="41" t="n"/>
    </row>
    <row r="251" ht="15.75" customHeight="1" s="60">
      <c r="A251" s="41" t="n"/>
      <c r="B251" s="41" t="n"/>
    </row>
    <row r="252" ht="15.75" customHeight="1" s="60">
      <c r="A252" s="41" t="n"/>
      <c r="B252" s="41" t="n"/>
    </row>
    <row r="253" ht="15.75" customHeight="1" s="60">
      <c r="A253" s="41" t="n"/>
      <c r="B253" s="41" t="n"/>
    </row>
    <row r="254" ht="15.75" customHeight="1" s="60">
      <c r="A254" s="41" t="n"/>
      <c r="B254" s="41" t="n"/>
    </row>
    <row r="255" ht="15.75" customHeight="1" s="60">
      <c r="A255" s="41" t="n"/>
      <c r="B255" s="41" t="n"/>
    </row>
    <row r="256" ht="15.75" customHeight="1" s="60">
      <c r="A256" s="41" t="n"/>
      <c r="B256" s="41" t="n"/>
    </row>
    <row r="257" ht="15.75" customHeight="1" s="60">
      <c r="A257" s="41" t="n"/>
      <c r="B257" s="41" t="n"/>
    </row>
    <row r="258" ht="15.75" customHeight="1" s="60">
      <c r="A258" s="41" t="n"/>
      <c r="B258" s="41" t="n"/>
    </row>
    <row r="259" ht="15.75" customHeight="1" s="60">
      <c r="A259" s="41" t="n"/>
      <c r="B259" s="41" t="n"/>
    </row>
    <row r="260" ht="15.75" customHeight="1" s="60">
      <c r="A260" s="41" t="n"/>
      <c r="B260" s="41" t="n"/>
    </row>
    <row r="261" ht="15.75" customHeight="1" s="60">
      <c r="A261" s="41" t="n"/>
      <c r="B261" s="41" t="n"/>
    </row>
    <row r="262" ht="15.75" customHeight="1" s="60">
      <c r="A262" s="41" t="n"/>
      <c r="B262" s="41" t="n"/>
    </row>
    <row r="263" ht="15.75" customHeight="1" s="60">
      <c r="A263" s="41" t="n"/>
      <c r="B263" s="41" t="n"/>
    </row>
    <row r="264" ht="15.75" customHeight="1" s="60">
      <c r="A264" s="41" t="n"/>
      <c r="B264" s="41" t="n"/>
    </row>
    <row r="265" ht="15.75" customHeight="1" s="60">
      <c r="A265" s="41" t="n"/>
      <c r="B265" s="41" t="n"/>
    </row>
    <row r="266" ht="15.75" customHeight="1" s="60">
      <c r="A266" s="41" t="n"/>
      <c r="B266" s="41" t="n"/>
    </row>
    <row r="267" ht="15.75" customHeight="1" s="60">
      <c r="A267" s="41" t="n"/>
      <c r="B267" s="41" t="n"/>
    </row>
    <row r="268" ht="15.75" customHeight="1" s="60">
      <c r="A268" s="41" t="n"/>
      <c r="B268" s="41" t="n"/>
    </row>
    <row r="269" ht="15.75" customHeight="1" s="60">
      <c r="A269" s="41" t="n"/>
      <c r="B269" s="41" t="n"/>
    </row>
    <row r="270" ht="15.75" customHeight="1" s="60">
      <c r="A270" s="41" t="n"/>
      <c r="B270" s="41" t="n"/>
    </row>
    <row r="271" ht="15.75" customHeight="1" s="60">
      <c r="A271" s="41" t="n"/>
      <c r="B271" s="41" t="n"/>
    </row>
    <row r="272" ht="15.75" customHeight="1" s="60">
      <c r="A272" s="41" t="n"/>
      <c r="B272" s="41" t="n"/>
    </row>
    <row r="273" ht="15.75" customHeight="1" s="60">
      <c r="A273" s="41" t="n"/>
      <c r="B273" s="41" t="n"/>
    </row>
    <row r="274" ht="15.75" customHeight="1" s="60">
      <c r="A274" s="41" t="n"/>
      <c r="B274" s="41" t="n"/>
    </row>
    <row r="275" ht="15.75" customHeight="1" s="60">
      <c r="A275" s="41" t="n"/>
      <c r="B275" s="41" t="n"/>
    </row>
    <row r="276" ht="15.75" customHeight="1" s="60">
      <c r="A276" s="41" t="n"/>
      <c r="B276" s="41" t="n"/>
    </row>
    <row r="277" ht="15.75" customHeight="1" s="60">
      <c r="A277" s="41" t="n"/>
      <c r="B277" s="41" t="n"/>
    </row>
    <row r="278" ht="15.75" customHeight="1" s="60">
      <c r="A278" s="41" t="n"/>
      <c r="B278" s="41" t="n"/>
    </row>
    <row r="279" ht="15.75" customHeight="1" s="60">
      <c r="A279" s="41" t="n"/>
      <c r="B279" s="41" t="n"/>
    </row>
    <row r="280" ht="15.75" customHeight="1" s="60">
      <c r="A280" s="41" t="n"/>
      <c r="B280" s="41" t="n"/>
    </row>
    <row r="281" ht="15.75" customHeight="1" s="60">
      <c r="A281" s="41" t="n"/>
      <c r="B281" s="41" t="n"/>
    </row>
    <row r="282" ht="15.75" customHeight="1" s="60">
      <c r="A282" s="41" t="n"/>
      <c r="B282" s="41" t="n"/>
    </row>
    <row r="283" ht="15.75" customHeight="1" s="60">
      <c r="A283" s="41" t="n"/>
      <c r="B283" s="41" t="n"/>
    </row>
    <row r="284" ht="15.75" customHeight="1" s="60">
      <c r="A284" s="41" t="n"/>
      <c r="B284" s="41" t="n"/>
    </row>
    <row r="285" ht="15.75" customHeight="1" s="60">
      <c r="A285" s="41" t="n"/>
      <c r="B285" s="41" t="n"/>
    </row>
    <row r="286" ht="15.75" customHeight="1" s="60">
      <c r="A286" s="41" t="n"/>
      <c r="B286" s="41" t="n"/>
    </row>
    <row r="287" ht="15.75" customHeight="1" s="60">
      <c r="A287" s="41" t="n"/>
      <c r="B287" s="41" t="n"/>
    </row>
    <row r="288" ht="15.75" customHeight="1" s="60">
      <c r="A288" s="41" t="n"/>
      <c r="B288" s="41" t="n"/>
    </row>
    <row r="289" ht="15.75" customHeight="1" s="60">
      <c r="A289" s="41" t="n"/>
      <c r="B289" s="41" t="n"/>
    </row>
    <row r="290" ht="15.75" customHeight="1" s="60">
      <c r="A290" s="41" t="n"/>
      <c r="B290" s="41" t="n"/>
    </row>
    <row r="291" ht="15.75" customHeight="1" s="60">
      <c r="A291" s="41" t="n"/>
      <c r="B291" s="41" t="n"/>
    </row>
    <row r="292" ht="15.75" customHeight="1" s="60">
      <c r="A292" s="41" t="n"/>
      <c r="B292" s="41" t="n"/>
    </row>
    <row r="293" ht="15.75" customHeight="1" s="60">
      <c r="A293" s="41" t="n"/>
      <c r="B293" s="41" t="n"/>
    </row>
    <row r="294" ht="15.75" customHeight="1" s="60">
      <c r="A294" s="41" t="n"/>
      <c r="B294" s="41" t="n"/>
    </row>
    <row r="295" ht="15.75" customHeight="1" s="60">
      <c r="A295" s="41" t="n"/>
      <c r="B295" s="41" t="n"/>
    </row>
    <row r="296" ht="15.75" customHeight="1" s="60">
      <c r="A296" s="41" t="n"/>
      <c r="B296" s="41" t="n"/>
    </row>
    <row r="297" ht="15.75" customHeight="1" s="60">
      <c r="A297" s="41" t="n"/>
      <c r="B297" s="41" t="n"/>
    </row>
    <row r="298" ht="15.75" customHeight="1" s="60">
      <c r="A298" s="41" t="n"/>
      <c r="B298" s="41" t="n"/>
    </row>
    <row r="299" ht="15.75" customHeight="1" s="60">
      <c r="A299" s="41" t="n"/>
      <c r="B299" s="41" t="n"/>
    </row>
    <row r="300" ht="15.75" customHeight="1" s="60">
      <c r="A300" s="41" t="n"/>
      <c r="B300" s="41" t="n"/>
    </row>
    <row r="301" ht="15.75" customHeight="1" s="60">
      <c r="A301" s="41" t="n"/>
      <c r="B301" s="41" t="n"/>
    </row>
    <row r="302" ht="15.75" customHeight="1" s="60">
      <c r="A302" s="41" t="n"/>
      <c r="B302" s="41" t="n"/>
    </row>
    <row r="303" ht="15.75" customHeight="1" s="60">
      <c r="A303" s="41" t="n"/>
      <c r="B303" s="41" t="n"/>
    </row>
    <row r="304" ht="15.75" customHeight="1" s="60">
      <c r="A304" s="41" t="n"/>
      <c r="B304" s="41" t="n"/>
    </row>
    <row r="305" ht="15.75" customHeight="1" s="60">
      <c r="A305" s="41" t="n"/>
      <c r="B305" s="41" t="n"/>
    </row>
    <row r="306" ht="15.75" customHeight="1" s="60">
      <c r="A306" s="41" t="n"/>
      <c r="B306" s="41" t="n"/>
    </row>
    <row r="307" ht="15.75" customHeight="1" s="60">
      <c r="A307" s="41" t="n"/>
      <c r="B307" s="41" t="n"/>
    </row>
    <row r="308" ht="15.75" customHeight="1" s="60">
      <c r="A308" s="41" t="n"/>
      <c r="B308" s="41" t="n"/>
    </row>
    <row r="309" ht="15.75" customHeight="1" s="60">
      <c r="A309" s="41" t="n"/>
      <c r="B309" s="41" t="n"/>
    </row>
    <row r="310" ht="15.75" customHeight="1" s="60">
      <c r="A310" s="41" t="n"/>
      <c r="B310" s="41" t="n"/>
    </row>
    <row r="311" ht="15.75" customHeight="1" s="60">
      <c r="A311" s="41" t="n"/>
      <c r="B311" s="41" t="n"/>
    </row>
    <row r="312" ht="15.75" customHeight="1" s="60">
      <c r="A312" s="41" t="n"/>
      <c r="B312" s="41" t="n"/>
    </row>
    <row r="313" ht="15.75" customHeight="1" s="60">
      <c r="A313" s="41" t="n"/>
      <c r="B313" s="41" t="n"/>
    </row>
    <row r="314" ht="15.75" customHeight="1" s="60">
      <c r="A314" s="41" t="n"/>
      <c r="B314" s="41" t="n"/>
    </row>
    <row r="315" ht="15.75" customHeight="1" s="60">
      <c r="A315" s="41" t="n"/>
      <c r="B315" s="41" t="n"/>
    </row>
    <row r="316" ht="15.75" customHeight="1" s="60">
      <c r="A316" s="41" t="n"/>
      <c r="B316" s="41" t="n"/>
    </row>
    <row r="317" ht="15.75" customHeight="1" s="60">
      <c r="A317" s="41" t="n"/>
      <c r="B317" s="41" t="n"/>
    </row>
    <row r="318" ht="15.75" customHeight="1" s="60">
      <c r="A318" s="41" t="n"/>
      <c r="B318" s="41" t="n"/>
    </row>
    <row r="319" ht="15.75" customHeight="1" s="60">
      <c r="A319" s="41" t="n"/>
      <c r="B319" s="41" t="n"/>
    </row>
    <row r="320" ht="15.75" customHeight="1" s="60">
      <c r="A320" s="41" t="n"/>
      <c r="B320" s="41" t="n"/>
    </row>
    <row r="321" ht="15.75" customHeight="1" s="60">
      <c r="A321" s="41" t="n"/>
      <c r="B321" s="41" t="n"/>
    </row>
    <row r="322" ht="15.75" customHeight="1" s="60">
      <c r="A322" s="41" t="n"/>
      <c r="B322" s="41" t="n"/>
    </row>
    <row r="323" ht="15.75" customHeight="1" s="60">
      <c r="A323" s="41" t="n"/>
      <c r="B323" s="41" t="n"/>
    </row>
    <row r="324" ht="15.75" customHeight="1" s="60">
      <c r="A324" s="41" t="n"/>
      <c r="B324" s="41" t="n"/>
    </row>
    <row r="325" ht="15.75" customHeight="1" s="60">
      <c r="A325" s="41" t="n"/>
      <c r="B325" s="41" t="n"/>
    </row>
    <row r="326" ht="15.75" customHeight="1" s="60">
      <c r="A326" s="41" t="n"/>
      <c r="B326" s="41" t="n"/>
    </row>
    <row r="327" ht="15.75" customHeight="1" s="60">
      <c r="A327" s="41" t="n"/>
      <c r="B327" s="41" t="n"/>
    </row>
    <row r="328" ht="15.75" customHeight="1" s="60">
      <c r="A328" s="41" t="n"/>
      <c r="B328" s="41" t="n"/>
    </row>
    <row r="329" ht="15.75" customHeight="1" s="60">
      <c r="A329" s="41" t="n"/>
      <c r="B329" s="41" t="n"/>
    </row>
    <row r="330" ht="15.75" customHeight="1" s="60">
      <c r="A330" s="41" t="n"/>
      <c r="B330" s="41" t="n"/>
    </row>
    <row r="331" ht="15.75" customHeight="1" s="60">
      <c r="A331" s="41" t="n"/>
      <c r="B331" s="41" t="n"/>
    </row>
    <row r="332" ht="15.75" customHeight="1" s="60">
      <c r="A332" s="41" t="n"/>
      <c r="B332" s="41" t="n"/>
    </row>
    <row r="333" ht="15.75" customHeight="1" s="60">
      <c r="A333" s="41" t="n"/>
      <c r="B333" s="41" t="n"/>
    </row>
    <row r="334" ht="15.75" customHeight="1" s="60">
      <c r="A334" s="41" t="n"/>
      <c r="B334" s="41" t="n"/>
    </row>
    <row r="335" ht="15.75" customHeight="1" s="60">
      <c r="A335" s="41" t="n"/>
      <c r="B335" s="41" t="n"/>
    </row>
    <row r="336" ht="15.75" customHeight="1" s="60">
      <c r="A336" s="41" t="n"/>
      <c r="B336" s="41" t="n"/>
    </row>
    <row r="337" ht="15.75" customHeight="1" s="60">
      <c r="A337" s="41" t="n"/>
      <c r="B337" s="41" t="n"/>
    </row>
    <row r="338" ht="15.75" customHeight="1" s="60">
      <c r="A338" s="41" t="n"/>
      <c r="B338" s="41" t="n"/>
    </row>
    <row r="339" ht="15.75" customHeight="1" s="60">
      <c r="A339" s="41" t="n"/>
      <c r="B339" s="41" t="n"/>
    </row>
    <row r="340" ht="15.75" customHeight="1" s="60">
      <c r="A340" s="41" t="n"/>
      <c r="B340" s="41" t="n"/>
    </row>
    <row r="341" ht="15.75" customHeight="1" s="60">
      <c r="A341" s="41" t="n"/>
      <c r="B341" s="41" t="n"/>
    </row>
    <row r="342" ht="15.75" customHeight="1" s="60">
      <c r="A342" s="41" t="n"/>
      <c r="B342" s="41" t="n"/>
    </row>
    <row r="343" ht="15.75" customHeight="1" s="60">
      <c r="A343" s="41" t="n"/>
      <c r="B343" s="41" t="n"/>
    </row>
    <row r="344" ht="15.75" customHeight="1" s="60">
      <c r="A344" s="41" t="n"/>
      <c r="B344" s="41" t="n"/>
    </row>
    <row r="345" ht="15.75" customHeight="1" s="60">
      <c r="A345" s="41" t="n"/>
      <c r="B345" s="41" t="n"/>
    </row>
    <row r="346" ht="15.75" customHeight="1" s="60">
      <c r="A346" s="41" t="n"/>
      <c r="B346" s="41" t="n"/>
    </row>
    <row r="347" ht="15.75" customHeight="1" s="60">
      <c r="A347" s="41" t="n"/>
      <c r="B347" s="41" t="n"/>
    </row>
    <row r="348" ht="15.75" customHeight="1" s="60">
      <c r="A348" s="41" t="n"/>
      <c r="B348" s="41" t="n"/>
    </row>
    <row r="349" ht="15.75" customHeight="1" s="60">
      <c r="A349" s="41" t="n"/>
      <c r="B349" s="41" t="n"/>
    </row>
    <row r="350" ht="15.75" customHeight="1" s="60">
      <c r="A350" s="41" t="n"/>
      <c r="B350" s="41" t="n"/>
    </row>
    <row r="351" ht="15.75" customHeight="1" s="60">
      <c r="A351" s="41" t="n"/>
      <c r="B351" s="41" t="n"/>
    </row>
    <row r="352" ht="15.75" customHeight="1" s="60">
      <c r="A352" s="41" t="n"/>
      <c r="B352" s="41" t="n"/>
    </row>
    <row r="353" ht="15.75" customHeight="1" s="60">
      <c r="A353" s="41" t="n"/>
      <c r="B353" s="41" t="n"/>
    </row>
    <row r="354" ht="15.75" customHeight="1" s="60">
      <c r="A354" s="41" t="n"/>
      <c r="B354" s="41" t="n"/>
    </row>
    <row r="355" ht="15.75" customHeight="1" s="60">
      <c r="A355" s="41" t="n"/>
      <c r="B355" s="41" t="n"/>
    </row>
    <row r="356" ht="15.75" customHeight="1" s="60">
      <c r="A356" s="41" t="n"/>
      <c r="B356" s="41" t="n"/>
    </row>
    <row r="357" ht="15.75" customHeight="1" s="60">
      <c r="A357" s="41" t="n"/>
      <c r="B357" s="41" t="n"/>
    </row>
    <row r="358" ht="15.75" customHeight="1" s="60">
      <c r="A358" s="41" t="n"/>
      <c r="B358" s="41" t="n"/>
    </row>
    <row r="359" ht="15.75" customHeight="1" s="60">
      <c r="A359" s="41" t="n"/>
      <c r="B359" s="41" t="n"/>
    </row>
    <row r="360" ht="15.75" customHeight="1" s="60">
      <c r="A360" s="41" t="n"/>
      <c r="B360" s="41" t="n"/>
    </row>
    <row r="361" ht="15.75" customHeight="1" s="60">
      <c r="A361" s="41" t="n"/>
      <c r="B361" s="41" t="n"/>
    </row>
    <row r="362" ht="15.75" customHeight="1" s="60">
      <c r="A362" s="41" t="n"/>
      <c r="B362" s="41" t="n"/>
    </row>
    <row r="363" ht="15.75" customHeight="1" s="60">
      <c r="A363" s="41" t="n"/>
      <c r="B363" s="41" t="n"/>
    </row>
    <row r="364" ht="15.75" customHeight="1" s="60">
      <c r="A364" s="41" t="n"/>
      <c r="B364" s="41" t="n"/>
    </row>
    <row r="365" ht="15.75" customHeight="1" s="60">
      <c r="A365" s="41" t="n"/>
      <c r="B365" s="41" t="n"/>
    </row>
    <row r="366" ht="15.75" customHeight="1" s="60">
      <c r="A366" s="41" t="n"/>
      <c r="B366" s="41" t="n"/>
    </row>
    <row r="367" ht="15.75" customHeight="1" s="60">
      <c r="A367" s="41" t="n"/>
      <c r="B367" s="41" t="n"/>
    </row>
    <row r="368" ht="15.75" customHeight="1" s="60">
      <c r="A368" s="41" t="n"/>
      <c r="B368" s="41" t="n"/>
    </row>
    <row r="369" ht="15.75" customHeight="1" s="60">
      <c r="A369" s="41" t="n"/>
      <c r="B369" s="41" t="n"/>
    </row>
    <row r="370" ht="15.75" customHeight="1" s="60">
      <c r="A370" s="41" t="n"/>
      <c r="B370" s="41" t="n"/>
    </row>
    <row r="371" ht="15.75" customHeight="1" s="60">
      <c r="A371" s="41" t="n"/>
      <c r="B371" s="41" t="n"/>
    </row>
    <row r="372" ht="15.75" customHeight="1" s="60">
      <c r="A372" s="41" t="n"/>
      <c r="B372" s="41" t="n"/>
    </row>
    <row r="373" ht="15.75" customHeight="1" s="60">
      <c r="A373" s="41" t="n"/>
      <c r="B373" s="41" t="n"/>
    </row>
    <row r="374" ht="15.75" customHeight="1" s="60">
      <c r="A374" s="41" t="n"/>
      <c r="B374" s="41" t="n"/>
    </row>
    <row r="375" ht="15.75" customHeight="1" s="60">
      <c r="A375" s="41" t="n"/>
      <c r="B375" s="41" t="n"/>
    </row>
    <row r="376" ht="15.75" customHeight="1" s="60">
      <c r="A376" s="41" t="n"/>
      <c r="B376" s="41" t="n"/>
    </row>
    <row r="377" ht="15.75" customHeight="1" s="60">
      <c r="A377" s="41" t="n"/>
      <c r="B377" s="41" t="n"/>
    </row>
    <row r="378" ht="15.75" customHeight="1" s="60">
      <c r="A378" s="41" t="n"/>
      <c r="B378" s="41" t="n"/>
    </row>
    <row r="379" ht="15.75" customHeight="1" s="60">
      <c r="A379" s="41" t="n"/>
      <c r="B379" s="41" t="n"/>
    </row>
    <row r="380" ht="15.75" customHeight="1" s="60">
      <c r="A380" s="41" t="n"/>
      <c r="B380" s="41" t="n"/>
    </row>
    <row r="381" ht="15.75" customHeight="1" s="60">
      <c r="A381" s="41" t="n"/>
      <c r="B381" s="41" t="n"/>
    </row>
    <row r="382" ht="15.75" customHeight="1" s="60">
      <c r="A382" s="41" t="n"/>
      <c r="B382" s="41" t="n"/>
    </row>
    <row r="383" ht="15.75" customHeight="1" s="60">
      <c r="A383" s="41" t="n"/>
      <c r="B383" s="41" t="n"/>
    </row>
    <row r="384" ht="15.75" customHeight="1" s="60">
      <c r="A384" s="41" t="n"/>
      <c r="B384" s="41" t="n"/>
    </row>
    <row r="385" ht="15.75" customHeight="1" s="60">
      <c r="A385" s="41" t="n"/>
      <c r="B385" s="41" t="n"/>
    </row>
    <row r="386" ht="15.75" customHeight="1" s="60">
      <c r="A386" s="41" t="n"/>
      <c r="B386" s="41" t="n"/>
    </row>
    <row r="387" ht="15.75" customHeight="1" s="60">
      <c r="A387" s="41" t="n"/>
      <c r="B387" s="41" t="n"/>
    </row>
    <row r="388" ht="15.75" customHeight="1" s="60">
      <c r="A388" s="41" t="n"/>
      <c r="B388" s="41" t="n"/>
    </row>
    <row r="389" ht="15.75" customHeight="1" s="60">
      <c r="A389" s="41" t="n"/>
      <c r="B389" s="41" t="n"/>
    </row>
    <row r="390" ht="15.75" customHeight="1" s="60">
      <c r="A390" s="41" t="n"/>
      <c r="B390" s="41" t="n"/>
    </row>
    <row r="391" ht="15.75" customHeight="1" s="60">
      <c r="A391" s="41" t="n"/>
      <c r="B391" s="41" t="n"/>
    </row>
    <row r="392" ht="15.75" customHeight="1" s="60">
      <c r="A392" s="41" t="n"/>
      <c r="B392" s="41" t="n"/>
    </row>
    <row r="393" ht="15.75" customHeight="1" s="60">
      <c r="A393" s="41" t="n"/>
      <c r="B393" s="41" t="n"/>
    </row>
    <row r="394" ht="15.75" customHeight="1" s="60">
      <c r="A394" s="41" t="n"/>
      <c r="B394" s="41" t="n"/>
    </row>
    <row r="395" ht="15.75" customHeight="1" s="60">
      <c r="A395" s="41" t="n"/>
      <c r="B395" s="41" t="n"/>
    </row>
    <row r="396" ht="15.75" customHeight="1" s="60">
      <c r="A396" s="41" t="n"/>
      <c r="B396" s="41" t="n"/>
    </row>
    <row r="397" ht="15.75" customHeight="1" s="60">
      <c r="A397" s="41" t="n"/>
      <c r="B397" s="41" t="n"/>
    </row>
    <row r="398" ht="15.75" customHeight="1" s="60">
      <c r="A398" s="41" t="n"/>
      <c r="B398" s="41" t="n"/>
    </row>
    <row r="399" ht="15.75" customHeight="1" s="60">
      <c r="A399" s="41" t="n"/>
      <c r="B399" s="41" t="n"/>
    </row>
    <row r="400" ht="15.75" customHeight="1" s="60">
      <c r="A400" s="41" t="n"/>
      <c r="B400" s="41" t="n"/>
    </row>
    <row r="401" ht="15.75" customHeight="1" s="60">
      <c r="A401" s="41" t="n"/>
      <c r="B401" s="41" t="n"/>
    </row>
    <row r="402" ht="15.75" customHeight="1" s="60">
      <c r="A402" s="41" t="n"/>
      <c r="B402" s="41" t="n"/>
    </row>
    <row r="403" ht="15.75" customHeight="1" s="60">
      <c r="A403" s="41" t="n"/>
      <c r="B403" s="41" t="n"/>
    </row>
    <row r="404" ht="15.75" customHeight="1" s="60">
      <c r="A404" s="41" t="n"/>
      <c r="B404" s="41" t="n"/>
    </row>
    <row r="405" ht="15.75" customHeight="1" s="60">
      <c r="A405" s="41" t="n"/>
      <c r="B405" s="41" t="n"/>
    </row>
    <row r="406" ht="15.75" customHeight="1" s="60">
      <c r="A406" s="41" t="n"/>
      <c r="B406" s="41" t="n"/>
    </row>
    <row r="407" ht="15.75" customHeight="1" s="60">
      <c r="A407" s="41" t="n"/>
      <c r="B407" s="41" t="n"/>
    </row>
    <row r="408" ht="15.75" customHeight="1" s="60">
      <c r="A408" s="41" t="n"/>
      <c r="B408" s="41" t="n"/>
    </row>
    <row r="409" ht="15.75" customHeight="1" s="60">
      <c r="A409" s="41" t="n"/>
      <c r="B409" s="41" t="n"/>
    </row>
    <row r="410" ht="15.75" customHeight="1" s="60">
      <c r="A410" s="41" t="n"/>
      <c r="B410" s="41" t="n"/>
    </row>
    <row r="411" ht="15.75" customHeight="1" s="60">
      <c r="A411" s="41" t="n"/>
      <c r="B411" s="41" t="n"/>
    </row>
    <row r="412" ht="15.75" customHeight="1" s="60">
      <c r="A412" s="41" t="n"/>
      <c r="B412" s="41" t="n"/>
    </row>
    <row r="413" ht="15.75" customHeight="1" s="60">
      <c r="A413" s="41" t="n"/>
      <c r="B413" s="41" t="n"/>
    </row>
    <row r="414" ht="15.75" customHeight="1" s="60">
      <c r="A414" s="41" t="n"/>
      <c r="B414" s="41" t="n"/>
    </row>
    <row r="415" ht="15.75" customHeight="1" s="60">
      <c r="A415" s="41" t="n"/>
      <c r="B415" s="41" t="n"/>
    </row>
    <row r="416" ht="15.75" customHeight="1" s="60">
      <c r="A416" s="41" t="n"/>
      <c r="B416" s="41" t="n"/>
    </row>
    <row r="417" ht="15.75" customHeight="1" s="60">
      <c r="A417" s="41" t="n"/>
      <c r="B417" s="41" t="n"/>
    </row>
    <row r="418" ht="15.75" customHeight="1" s="60">
      <c r="A418" s="41" t="n"/>
      <c r="B418" s="41" t="n"/>
    </row>
    <row r="419" ht="15.75" customHeight="1" s="60">
      <c r="A419" s="41" t="n"/>
      <c r="B419" s="41" t="n"/>
    </row>
    <row r="420" ht="15.75" customHeight="1" s="60">
      <c r="A420" s="41" t="n"/>
      <c r="B420" s="41" t="n"/>
    </row>
    <row r="421" ht="15.75" customHeight="1" s="60">
      <c r="A421" s="41" t="n"/>
      <c r="B421" s="41" t="n"/>
    </row>
    <row r="422" ht="15.75" customHeight="1" s="60">
      <c r="A422" s="41" t="n"/>
      <c r="B422" s="41" t="n"/>
    </row>
    <row r="423" ht="15.75" customHeight="1" s="60">
      <c r="A423" s="41" t="n"/>
      <c r="B423" s="41" t="n"/>
    </row>
    <row r="424" ht="15.75" customHeight="1" s="60">
      <c r="A424" s="41" t="n"/>
      <c r="B424" s="41" t="n"/>
    </row>
    <row r="425" ht="15.75" customHeight="1" s="60">
      <c r="A425" s="41" t="n"/>
      <c r="B425" s="41" t="n"/>
    </row>
    <row r="426" ht="15.75" customHeight="1" s="60">
      <c r="A426" s="41" t="n"/>
      <c r="B426" s="41" t="n"/>
    </row>
    <row r="427" ht="15.75" customHeight="1" s="60">
      <c r="A427" s="41" t="n"/>
      <c r="B427" s="41" t="n"/>
    </row>
    <row r="428" ht="15.75" customHeight="1" s="60">
      <c r="A428" s="41" t="n"/>
      <c r="B428" s="41" t="n"/>
    </row>
    <row r="429" ht="15.75" customHeight="1" s="60">
      <c r="A429" s="41" t="n"/>
      <c r="B429" s="41" t="n"/>
    </row>
    <row r="430" ht="15.75" customHeight="1" s="60">
      <c r="A430" s="41" t="n"/>
      <c r="B430" s="41" t="n"/>
    </row>
    <row r="431" ht="15.75" customHeight="1" s="60">
      <c r="A431" s="41" t="n"/>
      <c r="B431" s="41" t="n"/>
    </row>
    <row r="432" ht="15.75" customHeight="1" s="60">
      <c r="A432" s="41" t="n"/>
      <c r="B432" s="41" t="n"/>
    </row>
    <row r="433" ht="15.75" customHeight="1" s="60">
      <c r="A433" s="41" t="n"/>
      <c r="B433" s="41" t="n"/>
    </row>
    <row r="434" ht="15.75" customHeight="1" s="60">
      <c r="A434" s="41" t="n"/>
      <c r="B434" s="41" t="n"/>
    </row>
    <row r="435" ht="15.75" customHeight="1" s="60">
      <c r="A435" s="41" t="n"/>
      <c r="B435" s="41" t="n"/>
    </row>
    <row r="436" ht="15.75" customHeight="1" s="60">
      <c r="A436" s="41" t="n"/>
      <c r="B436" s="41" t="n"/>
    </row>
    <row r="437" ht="15.75" customHeight="1" s="60">
      <c r="A437" s="41" t="n"/>
      <c r="B437" s="41" t="n"/>
    </row>
    <row r="438" ht="15.75" customHeight="1" s="60">
      <c r="A438" s="41" t="n"/>
      <c r="B438" s="41" t="n"/>
    </row>
    <row r="439" ht="15.75" customHeight="1" s="60">
      <c r="A439" s="41" t="n"/>
      <c r="B439" s="41" t="n"/>
    </row>
    <row r="440" ht="15.75" customHeight="1" s="60">
      <c r="A440" s="41" t="n"/>
      <c r="B440" s="41" t="n"/>
    </row>
    <row r="441" ht="15.75" customHeight="1" s="60">
      <c r="A441" s="41" t="n"/>
      <c r="B441" s="41" t="n"/>
    </row>
    <row r="442" ht="15.75" customHeight="1" s="60">
      <c r="A442" s="41" t="n"/>
      <c r="B442" s="41" t="n"/>
    </row>
    <row r="443" ht="15.75" customHeight="1" s="60">
      <c r="A443" s="41" t="n"/>
      <c r="B443" s="41" t="n"/>
    </row>
    <row r="444" ht="15.75" customHeight="1" s="60">
      <c r="A444" s="41" t="n"/>
      <c r="B444" s="41" t="n"/>
    </row>
    <row r="445" ht="15.75" customHeight="1" s="60">
      <c r="A445" s="41" t="n"/>
      <c r="B445" s="41" t="n"/>
    </row>
    <row r="446" ht="15.75" customHeight="1" s="60">
      <c r="A446" s="41" t="n"/>
      <c r="B446" s="41" t="n"/>
    </row>
    <row r="447" ht="15.75" customHeight="1" s="60">
      <c r="A447" s="41" t="n"/>
      <c r="B447" s="41" t="n"/>
    </row>
    <row r="448" ht="15.75" customHeight="1" s="60">
      <c r="A448" s="41" t="n"/>
      <c r="B448" s="41" t="n"/>
    </row>
    <row r="449" ht="15.75" customHeight="1" s="60">
      <c r="A449" s="41" t="n"/>
      <c r="B449" s="41" t="n"/>
    </row>
    <row r="450" ht="15.75" customHeight="1" s="60">
      <c r="A450" s="41" t="n"/>
      <c r="B450" s="41" t="n"/>
    </row>
    <row r="451" ht="15.75" customHeight="1" s="60">
      <c r="A451" s="41" t="n"/>
      <c r="B451" s="41" t="n"/>
    </row>
    <row r="452" ht="15.75" customHeight="1" s="60">
      <c r="A452" s="41" t="n"/>
      <c r="B452" s="41" t="n"/>
    </row>
    <row r="453" ht="15.75" customHeight="1" s="60">
      <c r="A453" s="41" t="n"/>
      <c r="B453" s="41" t="n"/>
    </row>
    <row r="454" ht="15.75" customHeight="1" s="60">
      <c r="A454" s="41" t="n"/>
      <c r="B454" s="41" t="n"/>
    </row>
    <row r="455" ht="15.75" customHeight="1" s="60">
      <c r="A455" s="41" t="n"/>
      <c r="B455" s="41" t="n"/>
    </row>
    <row r="456" ht="15.75" customHeight="1" s="60">
      <c r="A456" s="41" t="n"/>
      <c r="B456" s="41" t="n"/>
    </row>
    <row r="457" ht="15.75" customHeight="1" s="60">
      <c r="A457" s="41" t="n"/>
      <c r="B457" s="41" t="n"/>
    </row>
    <row r="458" ht="15.75" customHeight="1" s="60">
      <c r="A458" s="41" t="n"/>
      <c r="B458" s="41" t="n"/>
    </row>
    <row r="459" ht="15.75" customHeight="1" s="60">
      <c r="A459" s="41" t="n"/>
      <c r="B459" s="41" t="n"/>
    </row>
    <row r="460" ht="15.75" customHeight="1" s="60">
      <c r="A460" s="41" t="n"/>
      <c r="B460" s="41" t="n"/>
    </row>
    <row r="461" ht="15.75" customHeight="1" s="60">
      <c r="A461" s="41" t="n"/>
      <c r="B461" s="41" t="n"/>
    </row>
    <row r="462" ht="15.75" customHeight="1" s="60">
      <c r="A462" s="41" t="n"/>
      <c r="B462" s="41" t="n"/>
    </row>
    <row r="463" ht="15.75" customHeight="1" s="60">
      <c r="A463" s="41" t="n"/>
      <c r="B463" s="41" t="n"/>
    </row>
    <row r="464" ht="15.75" customHeight="1" s="60">
      <c r="A464" s="41" t="n"/>
      <c r="B464" s="41" t="n"/>
    </row>
    <row r="465" ht="15.75" customHeight="1" s="60">
      <c r="A465" s="41" t="n"/>
      <c r="B465" s="41" t="n"/>
    </row>
    <row r="466" ht="15.75" customHeight="1" s="60">
      <c r="A466" s="41" t="n"/>
      <c r="B466" s="41" t="n"/>
    </row>
    <row r="467" ht="15.75" customHeight="1" s="60">
      <c r="A467" s="41" t="n"/>
      <c r="B467" s="41" t="n"/>
    </row>
    <row r="468" ht="15.75" customHeight="1" s="60">
      <c r="A468" s="41" t="n"/>
      <c r="B468" s="41" t="n"/>
    </row>
    <row r="469" ht="15.75" customHeight="1" s="60">
      <c r="A469" s="41" t="n"/>
      <c r="B469" s="41" t="n"/>
    </row>
    <row r="470" ht="15.75" customHeight="1" s="60">
      <c r="A470" s="41" t="n"/>
      <c r="B470" s="41" t="n"/>
    </row>
    <row r="471" ht="15.75" customHeight="1" s="60">
      <c r="A471" s="41" t="n"/>
      <c r="B471" s="41" t="n"/>
    </row>
    <row r="472" ht="15.75" customHeight="1" s="60">
      <c r="A472" s="41" t="n"/>
      <c r="B472" s="41" t="n"/>
    </row>
    <row r="473" ht="15.75" customHeight="1" s="60">
      <c r="A473" s="41" t="n"/>
      <c r="B473" s="41" t="n"/>
    </row>
    <row r="474" ht="15.75" customHeight="1" s="60">
      <c r="A474" s="41" t="n"/>
      <c r="B474" s="41" t="n"/>
    </row>
    <row r="475" ht="15.75" customHeight="1" s="60">
      <c r="A475" s="41" t="n"/>
      <c r="B475" s="41" t="n"/>
    </row>
    <row r="476" ht="15.75" customHeight="1" s="60">
      <c r="A476" s="41" t="n"/>
      <c r="B476" s="41" t="n"/>
    </row>
    <row r="477" ht="15.75" customHeight="1" s="60">
      <c r="A477" s="41" t="n"/>
      <c r="B477" s="41" t="n"/>
    </row>
    <row r="478" ht="15.75" customHeight="1" s="60">
      <c r="A478" s="41" t="n"/>
      <c r="B478" s="41" t="n"/>
    </row>
    <row r="479" ht="15.75" customHeight="1" s="60">
      <c r="A479" s="41" t="n"/>
      <c r="B479" s="41" t="n"/>
    </row>
    <row r="480" ht="15.75" customHeight="1" s="60">
      <c r="A480" s="41" t="n"/>
      <c r="B480" s="41" t="n"/>
    </row>
    <row r="481" ht="15.75" customHeight="1" s="60">
      <c r="A481" s="41" t="n"/>
      <c r="B481" s="41" t="n"/>
    </row>
    <row r="482" ht="15.75" customHeight="1" s="60">
      <c r="A482" s="41" t="n"/>
      <c r="B482" s="41" t="n"/>
    </row>
    <row r="483" ht="15.75" customHeight="1" s="60">
      <c r="A483" s="41" t="n"/>
      <c r="B483" s="41" t="n"/>
    </row>
    <row r="484" ht="15.75" customHeight="1" s="60">
      <c r="A484" s="41" t="n"/>
      <c r="B484" s="41" t="n"/>
    </row>
    <row r="485" ht="15.75" customHeight="1" s="60">
      <c r="A485" s="41" t="n"/>
      <c r="B485" s="41" t="n"/>
    </row>
    <row r="486" ht="15.75" customHeight="1" s="60">
      <c r="A486" s="41" t="n"/>
      <c r="B486" s="41" t="n"/>
    </row>
    <row r="487" ht="15.75" customHeight="1" s="60">
      <c r="A487" s="41" t="n"/>
      <c r="B487" s="41" t="n"/>
    </row>
    <row r="488" ht="15.75" customHeight="1" s="60">
      <c r="A488" s="41" t="n"/>
      <c r="B488" s="41" t="n"/>
    </row>
    <row r="489" ht="15.75" customHeight="1" s="60">
      <c r="A489" s="41" t="n"/>
      <c r="B489" s="41" t="n"/>
    </row>
    <row r="490" ht="15.75" customHeight="1" s="60">
      <c r="A490" s="41" t="n"/>
      <c r="B490" s="41" t="n"/>
    </row>
    <row r="491" ht="15.75" customHeight="1" s="60">
      <c r="A491" s="41" t="n"/>
      <c r="B491" s="41" t="n"/>
    </row>
    <row r="492" ht="15.75" customHeight="1" s="60">
      <c r="A492" s="41" t="n"/>
      <c r="B492" s="41" t="n"/>
    </row>
    <row r="493" ht="15.75" customHeight="1" s="60">
      <c r="A493" s="41" t="n"/>
      <c r="B493" s="41" t="n"/>
    </row>
    <row r="494" ht="15.75" customHeight="1" s="60">
      <c r="A494" s="41" t="n"/>
      <c r="B494" s="41" t="n"/>
    </row>
    <row r="495" ht="15.75" customHeight="1" s="60">
      <c r="A495" s="41" t="n"/>
      <c r="B495" s="41" t="n"/>
    </row>
    <row r="496" ht="15.75" customHeight="1" s="60">
      <c r="A496" s="41" t="n"/>
      <c r="B496" s="41" t="n"/>
    </row>
    <row r="497" ht="15.75" customHeight="1" s="60">
      <c r="A497" s="41" t="n"/>
      <c r="B497" s="41" t="n"/>
    </row>
    <row r="498" ht="15.75" customHeight="1" s="60">
      <c r="A498" s="41" t="n"/>
      <c r="B498" s="41" t="n"/>
    </row>
    <row r="499" ht="15.75" customHeight="1" s="60">
      <c r="A499" s="41" t="n"/>
      <c r="B499" s="41" t="n"/>
    </row>
    <row r="500" ht="15.75" customHeight="1" s="60">
      <c r="A500" s="41" t="n"/>
      <c r="B500" s="41" t="n"/>
    </row>
    <row r="501" ht="15.75" customHeight="1" s="60">
      <c r="A501" s="41" t="n"/>
      <c r="B501" s="41" t="n"/>
    </row>
    <row r="502" ht="15.75" customHeight="1" s="60">
      <c r="A502" s="41" t="n"/>
      <c r="B502" s="41" t="n"/>
    </row>
    <row r="503" ht="15.75" customHeight="1" s="60">
      <c r="A503" s="41" t="n"/>
      <c r="B503" s="41" t="n"/>
    </row>
    <row r="504" ht="15.75" customHeight="1" s="60">
      <c r="A504" s="41" t="n"/>
      <c r="B504" s="41" t="n"/>
    </row>
    <row r="505" ht="15.75" customHeight="1" s="60">
      <c r="A505" s="41" t="n"/>
      <c r="B505" s="41" t="n"/>
    </row>
    <row r="506" ht="15.75" customHeight="1" s="60">
      <c r="A506" s="41" t="n"/>
      <c r="B506" s="41" t="n"/>
    </row>
    <row r="507" ht="15.75" customHeight="1" s="60">
      <c r="A507" s="41" t="n"/>
      <c r="B507" s="41" t="n"/>
    </row>
    <row r="508" ht="15.75" customHeight="1" s="60">
      <c r="A508" s="41" t="n"/>
      <c r="B508" s="41" t="n"/>
    </row>
    <row r="509" ht="15.75" customHeight="1" s="60">
      <c r="A509" s="41" t="n"/>
      <c r="B509" s="41" t="n"/>
    </row>
    <row r="510" ht="15.75" customHeight="1" s="60">
      <c r="A510" s="41" t="n"/>
      <c r="B510" s="41" t="n"/>
    </row>
    <row r="511" ht="15.75" customHeight="1" s="60">
      <c r="A511" s="41" t="n"/>
      <c r="B511" s="41" t="n"/>
    </row>
    <row r="512" ht="15.75" customHeight="1" s="60">
      <c r="A512" s="41" t="n"/>
      <c r="B512" s="41" t="n"/>
    </row>
    <row r="513" ht="15.75" customHeight="1" s="60">
      <c r="A513" s="41" t="n"/>
      <c r="B513" s="41" t="n"/>
    </row>
    <row r="514" ht="15.75" customHeight="1" s="60">
      <c r="A514" s="41" t="n"/>
      <c r="B514" s="41" t="n"/>
    </row>
    <row r="515" ht="15.75" customHeight="1" s="60">
      <c r="A515" s="41" t="n"/>
      <c r="B515" s="41" t="n"/>
    </row>
    <row r="516" ht="15.75" customHeight="1" s="60">
      <c r="A516" s="41" t="n"/>
      <c r="B516" s="41" t="n"/>
    </row>
    <row r="517" ht="15.75" customHeight="1" s="60">
      <c r="A517" s="41" t="n"/>
      <c r="B517" s="41" t="n"/>
    </row>
    <row r="518" ht="15.75" customHeight="1" s="60">
      <c r="A518" s="41" t="n"/>
      <c r="B518" s="41" t="n"/>
    </row>
    <row r="519" ht="15.75" customHeight="1" s="60">
      <c r="A519" s="41" t="n"/>
      <c r="B519" s="41" t="n"/>
    </row>
    <row r="520" ht="15.75" customHeight="1" s="60">
      <c r="A520" s="41" t="n"/>
      <c r="B520" s="41" t="n"/>
    </row>
    <row r="521" ht="15.75" customHeight="1" s="60">
      <c r="A521" s="41" t="n"/>
      <c r="B521" s="41" t="n"/>
    </row>
    <row r="522" ht="15.75" customHeight="1" s="60">
      <c r="A522" s="41" t="n"/>
      <c r="B522" s="41" t="n"/>
    </row>
    <row r="523" ht="15.75" customHeight="1" s="60">
      <c r="A523" s="41" t="n"/>
      <c r="B523" s="41" t="n"/>
    </row>
    <row r="524" ht="15.75" customHeight="1" s="60">
      <c r="A524" s="41" t="n"/>
      <c r="B524" s="41" t="n"/>
    </row>
    <row r="525" ht="15.75" customHeight="1" s="60">
      <c r="A525" s="41" t="n"/>
      <c r="B525" s="41" t="n"/>
    </row>
    <row r="526" ht="15.75" customHeight="1" s="60">
      <c r="A526" s="41" t="n"/>
      <c r="B526" s="41" t="n"/>
    </row>
    <row r="527" ht="15.75" customHeight="1" s="60">
      <c r="A527" s="41" t="n"/>
      <c r="B527" s="41" t="n"/>
    </row>
    <row r="528" ht="15.75" customHeight="1" s="60">
      <c r="A528" s="41" t="n"/>
      <c r="B528" s="41" t="n"/>
    </row>
    <row r="529" ht="15.75" customHeight="1" s="60">
      <c r="A529" s="41" t="n"/>
      <c r="B529" s="41" t="n"/>
    </row>
    <row r="530" ht="15.75" customHeight="1" s="60">
      <c r="A530" s="41" t="n"/>
      <c r="B530" s="41" t="n"/>
    </row>
    <row r="531" ht="15.75" customHeight="1" s="60">
      <c r="A531" s="41" t="n"/>
      <c r="B531" s="41" t="n"/>
    </row>
    <row r="532" ht="15.75" customHeight="1" s="60">
      <c r="A532" s="41" t="n"/>
      <c r="B532" s="41" t="n"/>
    </row>
    <row r="533" ht="15.75" customHeight="1" s="60">
      <c r="A533" s="41" t="n"/>
      <c r="B533" s="41" t="n"/>
    </row>
    <row r="534" ht="15.75" customHeight="1" s="60">
      <c r="A534" s="41" t="n"/>
      <c r="B534" s="41" t="n"/>
    </row>
    <row r="535" ht="15.75" customHeight="1" s="60">
      <c r="A535" s="41" t="n"/>
      <c r="B535" s="41" t="n"/>
    </row>
    <row r="536" ht="15.75" customHeight="1" s="60">
      <c r="A536" s="41" t="n"/>
      <c r="B536" s="41" t="n"/>
    </row>
    <row r="537" ht="15.75" customHeight="1" s="60">
      <c r="A537" s="41" t="n"/>
      <c r="B537" s="41" t="n"/>
    </row>
    <row r="538" ht="15.75" customHeight="1" s="60">
      <c r="A538" s="41" t="n"/>
      <c r="B538" s="41" t="n"/>
    </row>
    <row r="539" ht="15.75" customHeight="1" s="60">
      <c r="A539" s="41" t="n"/>
      <c r="B539" s="41" t="n"/>
    </row>
    <row r="540" ht="15.75" customHeight="1" s="60">
      <c r="A540" s="41" t="n"/>
      <c r="B540" s="41" t="n"/>
    </row>
    <row r="541" ht="15.75" customHeight="1" s="60">
      <c r="A541" s="41" t="n"/>
      <c r="B541" s="41" t="n"/>
    </row>
    <row r="542" ht="15.75" customHeight="1" s="60">
      <c r="A542" s="41" t="n"/>
      <c r="B542" s="41" t="n"/>
    </row>
    <row r="543" ht="15.75" customHeight="1" s="60">
      <c r="A543" s="41" t="n"/>
      <c r="B543" s="41" t="n"/>
    </row>
    <row r="544" ht="15.75" customHeight="1" s="60">
      <c r="A544" s="41" t="n"/>
      <c r="B544" s="41" t="n"/>
    </row>
    <row r="545" ht="15.75" customHeight="1" s="60">
      <c r="A545" s="41" t="n"/>
      <c r="B545" s="41" t="n"/>
    </row>
    <row r="546" ht="15.75" customHeight="1" s="60">
      <c r="A546" s="41" t="n"/>
      <c r="B546" s="41" t="n"/>
    </row>
    <row r="547" ht="15.75" customHeight="1" s="60">
      <c r="A547" s="41" t="n"/>
      <c r="B547" s="41" t="n"/>
    </row>
    <row r="548" ht="15.75" customHeight="1" s="60">
      <c r="A548" s="41" t="n"/>
      <c r="B548" s="41" t="n"/>
    </row>
    <row r="549" ht="15.75" customHeight="1" s="60">
      <c r="A549" s="41" t="n"/>
      <c r="B549" s="41" t="n"/>
    </row>
    <row r="550" ht="15.75" customHeight="1" s="60">
      <c r="A550" s="41" t="n"/>
      <c r="B550" s="41" t="n"/>
    </row>
    <row r="551" ht="15.75" customHeight="1" s="60">
      <c r="A551" s="41" t="n"/>
      <c r="B551" s="41" t="n"/>
    </row>
    <row r="552" ht="15.75" customHeight="1" s="60">
      <c r="A552" s="41" t="n"/>
      <c r="B552" s="41" t="n"/>
    </row>
    <row r="553" ht="15.75" customHeight="1" s="60">
      <c r="A553" s="41" t="n"/>
      <c r="B553" s="41" t="n"/>
    </row>
    <row r="554" ht="15.75" customHeight="1" s="60">
      <c r="A554" s="41" t="n"/>
      <c r="B554" s="41" t="n"/>
    </row>
    <row r="555" ht="15.75" customHeight="1" s="60">
      <c r="A555" s="41" t="n"/>
      <c r="B555" s="41" t="n"/>
    </row>
    <row r="556" ht="15.75" customHeight="1" s="60">
      <c r="A556" s="41" t="n"/>
      <c r="B556" s="41" t="n"/>
    </row>
    <row r="557" ht="15.75" customHeight="1" s="60">
      <c r="A557" s="41" t="n"/>
      <c r="B557" s="41" t="n"/>
    </row>
    <row r="558" ht="15.75" customHeight="1" s="60">
      <c r="A558" s="41" t="n"/>
      <c r="B558" s="41" t="n"/>
    </row>
    <row r="559" ht="15.75" customHeight="1" s="60">
      <c r="A559" s="41" t="n"/>
      <c r="B559" s="41" t="n"/>
    </row>
    <row r="560" ht="15.75" customHeight="1" s="60">
      <c r="A560" s="41" t="n"/>
      <c r="B560" s="41" t="n"/>
    </row>
    <row r="561" ht="15.75" customHeight="1" s="60">
      <c r="A561" s="41" t="n"/>
      <c r="B561" s="41" t="n"/>
    </row>
    <row r="562" ht="15.75" customHeight="1" s="60">
      <c r="A562" s="41" t="n"/>
      <c r="B562" s="41" t="n"/>
    </row>
    <row r="563" ht="15.75" customHeight="1" s="60">
      <c r="A563" s="41" t="n"/>
      <c r="B563" s="41" t="n"/>
    </row>
    <row r="564" ht="15.75" customHeight="1" s="60">
      <c r="A564" s="41" t="n"/>
      <c r="B564" s="41" t="n"/>
    </row>
    <row r="565" ht="15.75" customHeight="1" s="60">
      <c r="A565" s="41" t="n"/>
      <c r="B565" s="41" t="n"/>
    </row>
    <row r="566" ht="15.75" customHeight="1" s="60">
      <c r="A566" s="41" t="n"/>
      <c r="B566" s="41" t="n"/>
    </row>
    <row r="567" ht="15.75" customHeight="1" s="60">
      <c r="A567" s="41" t="n"/>
      <c r="B567" s="41" t="n"/>
    </row>
    <row r="568" ht="15.75" customHeight="1" s="60">
      <c r="A568" s="41" t="n"/>
      <c r="B568" s="41" t="n"/>
    </row>
    <row r="569" ht="15.75" customHeight="1" s="60">
      <c r="A569" s="41" t="n"/>
      <c r="B569" s="41" t="n"/>
    </row>
    <row r="570" ht="15.75" customHeight="1" s="60">
      <c r="A570" s="41" t="n"/>
      <c r="B570" s="41" t="n"/>
    </row>
    <row r="571" ht="15.75" customHeight="1" s="60">
      <c r="A571" s="41" t="n"/>
      <c r="B571" s="41" t="n"/>
    </row>
    <row r="572" ht="15.75" customHeight="1" s="60">
      <c r="A572" s="41" t="n"/>
      <c r="B572" s="41" t="n"/>
    </row>
    <row r="573" ht="15.75" customHeight="1" s="60">
      <c r="A573" s="41" t="n"/>
      <c r="B573" s="41" t="n"/>
    </row>
    <row r="574" ht="15.75" customHeight="1" s="60">
      <c r="A574" s="41" t="n"/>
      <c r="B574" s="41" t="n"/>
    </row>
    <row r="575" ht="15.75" customHeight="1" s="60">
      <c r="A575" s="41" t="n"/>
      <c r="B575" s="41" t="n"/>
    </row>
    <row r="576" ht="15.75" customHeight="1" s="60">
      <c r="A576" s="41" t="n"/>
      <c r="B576" s="41" t="n"/>
    </row>
    <row r="577" ht="15.75" customHeight="1" s="60">
      <c r="A577" s="41" t="n"/>
      <c r="B577" s="41" t="n"/>
    </row>
    <row r="578" ht="15.75" customHeight="1" s="60">
      <c r="A578" s="41" t="n"/>
      <c r="B578" s="41" t="n"/>
    </row>
    <row r="579" ht="15.75" customHeight="1" s="60">
      <c r="A579" s="41" t="n"/>
      <c r="B579" s="41" t="n"/>
    </row>
    <row r="580" ht="15.75" customHeight="1" s="60">
      <c r="A580" s="41" t="n"/>
      <c r="B580" s="41" t="n"/>
    </row>
    <row r="581" ht="15.75" customHeight="1" s="60">
      <c r="A581" s="41" t="n"/>
      <c r="B581" s="41" t="n"/>
    </row>
    <row r="582" ht="15.75" customHeight="1" s="60">
      <c r="A582" s="41" t="n"/>
      <c r="B582" s="41" t="n"/>
    </row>
    <row r="583" ht="15.75" customHeight="1" s="60">
      <c r="A583" s="41" t="n"/>
      <c r="B583" s="41" t="n"/>
    </row>
    <row r="584" ht="15.75" customHeight="1" s="60">
      <c r="A584" s="41" t="n"/>
      <c r="B584" s="41" t="n"/>
    </row>
    <row r="585" ht="15.75" customHeight="1" s="60">
      <c r="A585" s="41" t="n"/>
      <c r="B585" s="41" t="n"/>
    </row>
    <row r="586" ht="15.75" customHeight="1" s="60">
      <c r="A586" s="41" t="n"/>
      <c r="B586" s="41" t="n"/>
    </row>
    <row r="587" ht="15.75" customHeight="1" s="60">
      <c r="A587" s="41" t="n"/>
      <c r="B587" s="41" t="n"/>
    </row>
    <row r="588" ht="15.75" customHeight="1" s="60">
      <c r="A588" s="41" t="n"/>
      <c r="B588" s="41" t="n"/>
    </row>
    <row r="589" ht="15.75" customHeight="1" s="60">
      <c r="A589" s="41" t="n"/>
      <c r="B589" s="41" t="n"/>
    </row>
    <row r="590" ht="15.75" customHeight="1" s="60">
      <c r="A590" s="41" t="n"/>
      <c r="B590" s="41" t="n"/>
    </row>
    <row r="591" ht="15.75" customHeight="1" s="60">
      <c r="A591" s="41" t="n"/>
      <c r="B591" s="41" t="n"/>
    </row>
    <row r="592" ht="15.75" customHeight="1" s="60">
      <c r="A592" s="41" t="n"/>
      <c r="B592" s="41" t="n"/>
    </row>
    <row r="593" ht="15.75" customHeight="1" s="60">
      <c r="A593" s="41" t="n"/>
      <c r="B593" s="41" t="n"/>
    </row>
    <row r="594" ht="15.75" customHeight="1" s="60">
      <c r="A594" s="41" t="n"/>
      <c r="B594" s="41" t="n"/>
    </row>
    <row r="595" ht="15.75" customHeight="1" s="60">
      <c r="A595" s="41" t="n"/>
      <c r="B595" s="41" t="n"/>
    </row>
    <row r="596" ht="15.75" customHeight="1" s="60">
      <c r="A596" s="41" t="n"/>
      <c r="B596" s="41" t="n"/>
    </row>
    <row r="597" ht="15.75" customHeight="1" s="60">
      <c r="A597" s="41" t="n"/>
      <c r="B597" s="41" t="n"/>
    </row>
    <row r="598" ht="15.75" customHeight="1" s="60">
      <c r="A598" s="41" t="n"/>
      <c r="B598" s="41" t="n"/>
    </row>
    <row r="599" ht="15.75" customHeight="1" s="60">
      <c r="A599" s="41" t="n"/>
      <c r="B599" s="41" t="n"/>
    </row>
    <row r="600" ht="15.75" customHeight="1" s="60">
      <c r="A600" s="41" t="n"/>
      <c r="B600" s="41" t="n"/>
    </row>
    <row r="601" ht="15.75" customHeight="1" s="60">
      <c r="A601" s="41" t="n"/>
      <c r="B601" s="41" t="n"/>
    </row>
    <row r="602" ht="15.75" customHeight="1" s="60">
      <c r="A602" s="41" t="n"/>
      <c r="B602" s="41" t="n"/>
    </row>
    <row r="603" ht="15.75" customHeight="1" s="60">
      <c r="A603" s="41" t="n"/>
      <c r="B603" s="41" t="n"/>
    </row>
    <row r="604" ht="15.75" customHeight="1" s="60">
      <c r="A604" s="41" t="n"/>
      <c r="B604" s="41" t="n"/>
    </row>
    <row r="605" ht="15.75" customHeight="1" s="60">
      <c r="A605" s="41" t="n"/>
      <c r="B605" s="41" t="n"/>
    </row>
    <row r="606" ht="15.75" customHeight="1" s="60">
      <c r="A606" s="41" t="n"/>
      <c r="B606" s="41" t="n"/>
    </row>
    <row r="607" ht="15.75" customHeight="1" s="60">
      <c r="A607" s="41" t="n"/>
      <c r="B607" s="41" t="n"/>
    </row>
    <row r="608" ht="15.75" customHeight="1" s="60">
      <c r="A608" s="41" t="n"/>
      <c r="B608" s="41" t="n"/>
    </row>
    <row r="609" ht="15.75" customHeight="1" s="60">
      <c r="A609" s="41" t="n"/>
      <c r="B609" s="41" t="n"/>
    </row>
    <row r="610" ht="15.75" customHeight="1" s="60">
      <c r="A610" s="41" t="n"/>
      <c r="B610" s="41" t="n"/>
    </row>
    <row r="611" ht="15.75" customHeight="1" s="60">
      <c r="A611" s="41" t="n"/>
      <c r="B611" s="41" t="n"/>
    </row>
    <row r="612" ht="15.75" customHeight="1" s="60">
      <c r="A612" s="41" t="n"/>
      <c r="B612" s="41" t="n"/>
    </row>
    <row r="613" ht="15.75" customHeight="1" s="60">
      <c r="A613" s="41" t="n"/>
      <c r="B613" s="41" t="n"/>
    </row>
    <row r="614" ht="15.75" customHeight="1" s="60">
      <c r="A614" s="41" t="n"/>
      <c r="B614" s="41" t="n"/>
    </row>
    <row r="615" ht="15.75" customHeight="1" s="60">
      <c r="A615" s="41" t="n"/>
      <c r="B615" s="41" t="n"/>
    </row>
    <row r="616" ht="15.75" customHeight="1" s="60">
      <c r="A616" s="41" t="n"/>
      <c r="B616" s="41" t="n"/>
    </row>
    <row r="617" ht="15.75" customHeight="1" s="60">
      <c r="A617" s="41" t="n"/>
      <c r="B617" s="41" t="n"/>
    </row>
    <row r="618" ht="15.75" customHeight="1" s="60">
      <c r="A618" s="41" t="n"/>
      <c r="B618" s="41" t="n"/>
    </row>
    <row r="619" ht="15.75" customHeight="1" s="60">
      <c r="A619" s="41" t="n"/>
      <c r="B619" s="41" t="n"/>
    </row>
    <row r="620" ht="15.75" customHeight="1" s="60">
      <c r="A620" s="41" t="n"/>
      <c r="B620" s="41" t="n"/>
    </row>
    <row r="621" ht="15.75" customHeight="1" s="60">
      <c r="A621" s="41" t="n"/>
      <c r="B621" s="41" t="n"/>
    </row>
    <row r="622" ht="15.75" customHeight="1" s="60">
      <c r="A622" s="41" t="n"/>
      <c r="B622" s="41" t="n"/>
    </row>
    <row r="623" ht="15.75" customHeight="1" s="60">
      <c r="A623" s="41" t="n"/>
      <c r="B623" s="41" t="n"/>
    </row>
    <row r="624" ht="15.75" customHeight="1" s="60">
      <c r="A624" s="41" t="n"/>
      <c r="B624" s="41" t="n"/>
    </row>
    <row r="625" ht="15.75" customHeight="1" s="60">
      <c r="A625" s="41" t="n"/>
      <c r="B625" s="41" t="n"/>
    </row>
    <row r="626" ht="15.75" customHeight="1" s="60">
      <c r="A626" s="41" t="n"/>
      <c r="B626" s="41" t="n"/>
    </row>
    <row r="627" ht="15.75" customHeight="1" s="60">
      <c r="A627" s="41" t="n"/>
      <c r="B627" s="41" t="n"/>
    </row>
    <row r="628" ht="15.75" customHeight="1" s="60">
      <c r="A628" s="41" t="n"/>
      <c r="B628" s="41" t="n"/>
    </row>
    <row r="629" ht="15.75" customHeight="1" s="60">
      <c r="A629" s="41" t="n"/>
      <c r="B629" s="41" t="n"/>
    </row>
    <row r="630" ht="15.75" customHeight="1" s="60">
      <c r="A630" s="41" t="n"/>
      <c r="B630" s="41" t="n"/>
    </row>
    <row r="631" ht="15.75" customHeight="1" s="60">
      <c r="A631" s="41" t="n"/>
      <c r="B631" s="41" t="n"/>
    </row>
    <row r="632" ht="15.75" customHeight="1" s="60">
      <c r="A632" s="41" t="n"/>
      <c r="B632" s="41" t="n"/>
    </row>
    <row r="633" ht="15.75" customHeight="1" s="60">
      <c r="A633" s="41" t="n"/>
      <c r="B633" s="41" t="n"/>
    </row>
    <row r="634" ht="15.75" customHeight="1" s="60">
      <c r="A634" s="41" t="n"/>
      <c r="B634" s="41" t="n"/>
    </row>
    <row r="635" ht="15.75" customHeight="1" s="60">
      <c r="A635" s="41" t="n"/>
      <c r="B635" s="41" t="n"/>
    </row>
    <row r="636" ht="15.75" customHeight="1" s="60">
      <c r="A636" s="41" t="n"/>
      <c r="B636" s="41" t="n"/>
    </row>
    <row r="637" ht="15.75" customHeight="1" s="60">
      <c r="A637" s="41" t="n"/>
      <c r="B637" s="41" t="n"/>
    </row>
    <row r="638" ht="15.75" customHeight="1" s="60">
      <c r="A638" s="41" t="n"/>
      <c r="B638" s="41" t="n"/>
    </row>
    <row r="639" ht="15.75" customHeight="1" s="60">
      <c r="A639" s="41" t="n"/>
      <c r="B639" s="41" t="n"/>
    </row>
    <row r="640" ht="15.75" customHeight="1" s="60">
      <c r="A640" s="41" t="n"/>
      <c r="B640" s="41" t="n"/>
    </row>
    <row r="641" ht="15.75" customHeight="1" s="60">
      <c r="A641" s="41" t="n"/>
      <c r="B641" s="41" t="n"/>
    </row>
    <row r="642" ht="15.75" customHeight="1" s="60">
      <c r="A642" s="41" t="n"/>
      <c r="B642" s="41" t="n"/>
    </row>
    <row r="643" ht="15.75" customHeight="1" s="60">
      <c r="A643" s="41" t="n"/>
      <c r="B643" s="41" t="n"/>
    </row>
    <row r="644" ht="15.75" customHeight="1" s="60">
      <c r="A644" s="41" t="n"/>
      <c r="B644" s="41" t="n"/>
    </row>
    <row r="645" ht="15.75" customHeight="1" s="60">
      <c r="A645" s="41" t="n"/>
      <c r="B645" s="41" t="n"/>
    </row>
    <row r="646" ht="15.75" customHeight="1" s="60">
      <c r="A646" s="41" t="n"/>
      <c r="B646" s="41" t="n"/>
    </row>
    <row r="647" ht="15.75" customHeight="1" s="60">
      <c r="A647" s="41" t="n"/>
      <c r="B647" s="41" t="n"/>
    </row>
    <row r="648" ht="15.75" customHeight="1" s="60">
      <c r="A648" s="41" t="n"/>
      <c r="B648" s="41" t="n"/>
    </row>
    <row r="649" ht="15.75" customHeight="1" s="60">
      <c r="A649" s="41" t="n"/>
      <c r="B649" s="41" t="n"/>
    </row>
    <row r="650" ht="15.75" customHeight="1" s="60">
      <c r="A650" s="41" t="n"/>
      <c r="B650" s="41" t="n"/>
    </row>
    <row r="651" ht="15.75" customHeight="1" s="60">
      <c r="A651" s="41" t="n"/>
      <c r="B651" s="41" t="n"/>
    </row>
    <row r="652" ht="15.75" customHeight="1" s="60">
      <c r="A652" s="41" t="n"/>
      <c r="B652" s="41" t="n"/>
    </row>
    <row r="653" ht="15.75" customHeight="1" s="60">
      <c r="A653" s="41" t="n"/>
      <c r="B653" s="41" t="n"/>
    </row>
    <row r="654" ht="15.75" customHeight="1" s="60">
      <c r="A654" s="41" t="n"/>
      <c r="B654" s="41" t="n"/>
    </row>
    <row r="655" ht="15.75" customHeight="1" s="60">
      <c r="A655" s="41" t="n"/>
      <c r="B655" s="41" t="n"/>
    </row>
    <row r="656" ht="15.75" customHeight="1" s="60">
      <c r="A656" s="41" t="n"/>
      <c r="B656" s="41" t="n"/>
    </row>
    <row r="657" ht="15.75" customHeight="1" s="60">
      <c r="A657" s="41" t="n"/>
      <c r="B657" s="41" t="n"/>
    </row>
    <row r="658" ht="15.75" customHeight="1" s="60">
      <c r="A658" s="41" t="n"/>
      <c r="B658" s="41" t="n"/>
    </row>
    <row r="659" ht="15.75" customHeight="1" s="60">
      <c r="A659" s="41" t="n"/>
      <c r="B659" s="41" t="n"/>
    </row>
    <row r="660" ht="15.75" customHeight="1" s="60">
      <c r="A660" s="41" t="n"/>
      <c r="B660" s="41" t="n"/>
    </row>
    <row r="661" ht="15.75" customHeight="1" s="60">
      <c r="A661" s="41" t="n"/>
      <c r="B661" s="41" t="n"/>
    </row>
    <row r="662" ht="15.75" customHeight="1" s="60">
      <c r="A662" s="41" t="n"/>
      <c r="B662" s="41" t="n"/>
    </row>
    <row r="663" ht="15.75" customHeight="1" s="60">
      <c r="A663" s="41" t="n"/>
      <c r="B663" s="41" t="n"/>
    </row>
    <row r="664" ht="15.75" customHeight="1" s="60">
      <c r="A664" s="41" t="n"/>
      <c r="B664" s="41" t="n"/>
    </row>
    <row r="665" ht="15.75" customHeight="1" s="60">
      <c r="A665" s="41" t="n"/>
      <c r="B665" s="41" t="n"/>
    </row>
    <row r="666" ht="15.75" customHeight="1" s="60">
      <c r="A666" s="41" t="n"/>
      <c r="B666" s="41" t="n"/>
    </row>
    <row r="667" ht="15.75" customHeight="1" s="60">
      <c r="A667" s="41" t="n"/>
      <c r="B667" s="41" t="n"/>
    </row>
    <row r="668" ht="15.75" customHeight="1" s="60">
      <c r="A668" s="41" t="n"/>
      <c r="B668" s="41" t="n"/>
    </row>
    <row r="669" ht="15.75" customHeight="1" s="60">
      <c r="A669" s="41" t="n"/>
      <c r="B669" s="41" t="n"/>
    </row>
    <row r="670" ht="15.75" customHeight="1" s="60">
      <c r="A670" s="41" t="n"/>
      <c r="B670" s="41" t="n"/>
    </row>
    <row r="671" ht="15.75" customHeight="1" s="60">
      <c r="A671" s="41" t="n"/>
      <c r="B671" s="41" t="n"/>
    </row>
    <row r="672" ht="15.75" customHeight="1" s="60">
      <c r="A672" s="41" t="n"/>
      <c r="B672" s="41" t="n"/>
    </row>
    <row r="673" ht="15.75" customHeight="1" s="60">
      <c r="A673" s="41" t="n"/>
      <c r="B673" s="41" t="n"/>
    </row>
    <row r="674" ht="15.75" customHeight="1" s="60">
      <c r="A674" s="41" t="n"/>
      <c r="B674" s="41" t="n"/>
    </row>
    <row r="675" ht="15.75" customHeight="1" s="60">
      <c r="A675" s="41" t="n"/>
      <c r="B675" s="41" t="n"/>
    </row>
    <row r="676" ht="15.75" customHeight="1" s="60">
      <c r="A676" s="41" t="n"/>
      <c r="B676" s="41" t="n"/>
    </row>
    <row r="677" ht="15.75" customHeight="1" s="60">
      <c r="A677" s="41" t="n"/>
      <c r="B677" s="41" t="n"/>
    </row>
    <row r="678" ht="15.75" customHeight="1" s="60">
      <c r="A678" s="41" t="n"/>
      <c r="B678" s="41" t="n"/>
    </row>
    <row r="679" ht="15.75" customHeight="1" s="60">
      <c r="A679" s="41" t="n"/>
      <c r="B679" s="41" t="n"/>
    </row>
    <row r="680" ht="15.75" customHeight="1" s="60">
      <c r="A680" s="41" t="n"/>
      <c r="B680" s="41" t="n"/>
    </row>
    <row r="681" ht="15.75" customHeight="1" s="60">
      <c r="A681" s="41" t="n"/>
      <c r="B681" s="41" t="n"/>
    </row>
    <row r="682" ht="15.75" customHeight="1" s="60">
      <c r="A682" s="41" t="n"/>
      <c r="B682" s="41" t="n"/>
    </row>
    <row r="683" ht="15.75" customHeight="1" s="60">
      <c r="A683" s="41" t="n"/>
      <c r="B683" s="41" t="n"/>
    </row>
    <row r="684" ht="15.75" customHeight="1" s="60">
      <c r="A684" s="41" t="n"/>
      <c r="B684" s="41" t="n"/>
    </row>
    <row r="685" ht="15.75" customHeight="1" s="60">
      <c r="A685" s="41" t="n"/>
      <c r="B685" s="41" t="n"/>
    </row>
    <row r="686" ht="15.75" customHeight="1" s="60">
      <c r="A686" s="41" t="n"/>
      <c r="B686" s="41" t="n"/>
    </row>
    <row r="687" ht="15.75" customHeight="1" s="60">
      <c r="A687" s="41" t="n"/>
      <c r="B687" s="41" t="n"/>
    </row>
    <row r="688" ht="15.75" customHeight="1" s="60">
      <c r="A688" s="41" t="n"/>
      <c r="B688" s="41" t="n"/>
    </row>
    <row r="689" ht="15.75" customHeight="1" s="60">
      <c r="A689" s="41" t="n"/>
      <c r="B689" s="41" t="n"/>
    </row>
    <row r="690" ht="15.75" customHeight="1" s="60">
      <c r="A690" s="41" t="n"/>
      <c r="B690" s="41" t="n"/>
    </row>
    <row r="691" ht="15.75" customHeight="1" s="60">
      <c r="A691" s="41" t="n"/>
      <c r="B691" s="41" t="n"/>
    </row>
    <row r="692" ht="15.75" customHeight="1" s="60">
      <c r="A692" s="41" t="n"/>
      <c r="B692" s="41" t="n"/>
    </row>
    <row r="693" ht="15.75" customHeight="1" s="60">
      <c r="A693" s="41" t="n"/>
      <c r="B693" s="41" t="n"/>
    </row>
    <row r="694" ht="15.75" customHeight="1" s="60">
      <c r="A694" s="41" t="n"/>
      <c r="B694" s="41" t="n"/>
    </row>
    <row r="695" ht="15.75" customHeight="1" s="60">
      <c r="A695" s="41" t="n"/>
      <c r="B695" s="41" t="n"/>
    </row>
    <row r="696" ht="15.75" customHeight="1" s="60">
      <c r="A696" s="41" t="n"/>
      <c r="B696" s="41" t="n"/>
    </row>
    <row r="697" ht="15.75" customHeight="1" s="60">
      <c r="A697" s="41" t="n"/>
      <c r="B697" s="41" t="n"/>
    </row>
    <row r="698" ht="15.75" customHeight="1" s="60">
      <c r="A698" s="41" t="n"/>
      <c r="B698" s="41" t="n"/>
    </row>
    <row r="699" ht="15.75" customHeight="1" s="60">
      <c r="A699" s="41" t="n"/>
      <c r="B699" s="41" t="n"/>
    </row>
    <row r="700" ht="15.75" customHeight="1" s="60">
      <c r="A700" s="41" t="n"/>
      <c r="B700" s="41" t="n"/>
    </row>
    <row r="701" ht="15.75" customHeight="1" s="60">
      <c r="A701" s="41" t="n"/>
      <c r="B701" s="41" t="n"/>
    </row>
    <row r="702" ht="15.75" customHeight="1" s="60">
      <c r="A702" s="41" t="n"/>
      <c r="B702" s="41" t="n"/>
    </row>
    <row r="703" ht="15.75" customHeight="1" s="60">
      <c r="A703" s="41" t="n"/>
      <c r="B703" s="41" t="n"/>
    </row>
    <row r="704" ht="15.75" customHeight="1" s="60">
      <c r="A704" s="41" t="n"/>
      <c r="B704" s="41" t="n"/>
    </row>
    <row r="705" ht="15.75" customHeight="1" s="60">
      <c r="A705" s="41" t="n"/>
      <c r="B705" s="41" t="n"/>
    </row>
    <row r="706" ht="15.75" customHeight="1" s="60">
      <c r="A706" s="41" t="n"/>
      <c r="B706" s="41" t="n"/>
    </row>
    <row r="707" ht="15.75" customHeight="1" s="60">
      <c r="A707" s="41" t="n"/>
      <c r="B707" s="41" t="n"/>
    </row>
    <row r="708" ht="15.75" customHeight="1" s="60">
      <c r="A708" s="41" t="n"/>
      <c r="B708" s="41" t="n"/>
    </row>
    <row r="709" ht="15.75" customHeight="1" s="60">
      <c r="A709" s="41" t="n"/>
      <c r="B709" s="41" t="n"/>
    </row>
    <row r="710" ht="15.75" customHeight="1" s="60">
      <c r="A710" s="41" t="n"/>
      <c r="B710" s="41" t="n"/>
    </row>
    <row r="711" ht="15.75" customHeight="1" s="60">
      <c r="A711" s="41" t="n"/>
      <c r="B711" s="41" t="n"/>
    </row>
    <row r="712" ht="15.75" customHeight="1" s="60">
      <c r="A712" s="41" t="n"/>
      <c r="B712" s="41" t="n"/>
    </row>
    <row r="713" ht="15.75" customHeight="1" s="60">
      <c r="A713" s="41" t="n"/>
      <c r="B713" s="41" t="n"/>
    </row>
    <row r="714" ht="15.75" customHeight="1" s="60">
      <c r="A714" s="41" t="n"/>
      <c r="B714" s="41" t="n"/>
    </row>
    <row r="715" ht="15.75" customHeight="1" s="60">
      <c r="A715" s="41" t="n"/>
      <c r="B715" s="41" t="n"/>
    </row>
    <row r="716" ht="15.75" customHeight="1" s="60">
      <c r="A716" s="41" t="n"/>
      <c r="B716" s="41" t="n"/>
    </row>
    <row r="717" ht="15.75" customHeight="1" s="60">
      <c r="A717" s="41" t="n"/>
      <c r="B717" s="41" t="n"/>
    </row>
    <row r="718" ht="15.75" customHeight="1" s="60">
      <c r="A718" s="41" t="n"/>
      <c r="B718" s="41" t="n"/>
    </row>
    <row r="719" ht="15.75" customHeight="1" s="60">
      <c r="A719" s="41" t="n"/>
      <c r="B719" s="41" t="n"/>
    </row>
    <row r="720" ht="15.75" customHeight="1" s="60">
      <c r="A720" s="41" t="n"/>
      <c r="B720" s="41" t="n"/>
    </row>
    <row r="721" ht="15.75" customHeight="1" s="60">
      <c r="A721" s="41" t="n"/>
      <c r="B721" s="41" t="n"/>
    </row>
    <row r="722" ht="15.75" customHeight="1" s="60">
      <c r="A722" s="41" t="n"/>
      <c r="B722" s="41" t="n"/>
    </row>
    <row r="723" ht="15.75" customHeight="1" s="60">
      <c r="A723" s="41" t="n"/>
      <c r="B723" s="41" t="n"/>
    </row>
    <row r="724" ht="15.75" customHeight="1" s="60">
      <c r="A724" s="41" t="n"/>
      <c r="B724" s="41" t="n"/>
    </row>
    <row r="725" ht="15.75" customHeight="1" s="60">
      <c r="A725" s="41" t="n"/>
      <c r="B725" s="41" t="n"/>
    </row>
    <row r="726" ht="15.75" customHeight="1" s="60">
      <c r="A726" s="41" t="n"/>
      <c r="B726" s="41" t="n"/>
    </row>
    <row r="727" ht="15.75" customHeight="1" s="60">
      <c r="A727" s="41" t="n"/>
      <c r="B727" s="41" t="n"/>
    </row>
    <row r="728" ht="15.75" customHeight="1" s="60">
      <c r="A728" s="41" t="n"/>
      <c r="B728" s="41" t="n"/>
    </row>
    <row r="729" ht="15.75" customHeight="1" s="60">
      <c r="A729" s="41" t="n"/>
      <c r="B729" s="41" t="n"/>
    </row>
    <row r="730" ht="15.75" customHeight="1" s="60">
      <c r="A730" s="41" t="n"/>
      <c r="B730" s="41" t="n"/>
    </row>
    <row r="731" ht="15.75" customHeight="1" s="60">
      <c r="A731" s="41" t="n"/>
      <c r="B731" s="41" t="n"/>
    </row>
    <row r="732" ht="15.75" customHeight="1" s="60">
      <c r="A732" s="41" t="n"/>
      <c r="B732" s="41" t="n"/>
    </row>
    <row r="733" ht="15.75" customHeight="1" s="60">
      <c r="A733" s="41" t="n"/>
      <c r="B733" s="41" t="n"/>
    </row>
    <row r="734" ht="15.75" customHeight="1" s="60">
      <c r="A734" s="41" t="n"/>
      <c r="B734" s="41" t="n"/>
    </row>
    <row r="735" ht="15.75" customHeight="1" s="60">
      <c r="A735" s="41" t="n"/>
      <c r="B735" s="41" t="n"/>
    </row>
    <row r="736" ht="15.75" customHeight="1" s="60">
      <c r="A736" s="41" t="n"/>
      <c r="B736" s="41" t="n"/>
    </row>
    <row r="737" ht="15.75" customHeight="1" s="60">
      <c r="A737" s="41" t="n"/>
      <c r="B737" s="41" t="n"/>
    </row>
    <row r="738" ht="15.75" customHeight="1" s="60">
      <c r="A738" s="41" t="n"/>
      <c r="B738" s="41" t="n"/>
    </row>
    <row r="739" ht="15.75" customHeight="1" s="60">
      <c r="A739" s="41" t="n"/>
      <c r="B739" s="41" t="n"/>
    </row>
    <row r="740" ht="15.75" customHeight="1" s="60">
      <c r="A740" s="41" t="n"/>
      <c r="B740" s="41" t="n"/>
    </row>
    <row r="741" ht="15.75" customHeight="1" s="60">
      <c r="A741" s="41" t="n"/>
      <c r="B741" s="41" t="n"/>
    </row>
    <row r="742" ht="15.75" customHeight="1" s="60">
      <c r="A742" s="41" t="n"/>
      <c r="B742" s="41" t="n"/>
    </row>
    <row r="743" ht="15.75" customHeight="1" s="60">
      <c r="A743" s="41" t="n"/>
      <c r="B743" s="41" t="n"/>
    </row>
    <row r="744" ht="15.75" customHeight="1" s="60">
      <c r="A744" s="41" t="n"/>
      <c r="B744" s="41" t="n"/>
    </row>
    <row r="745" ht="15.75" customHeight="1" s="60">
      <c r="A745" s="41" t="n"/>
      <c r="B745" s="41" t="n"/>
    </row>
    <row r="746" ht="15.75" customHeight="1" s="60">
      <c r="A746" s="41" t="n"/>
      <c r="B746" s="41" t="n"/>
    </row>
    <row r="747" ht="15.75" customHeight="1" s="60">
      <c r="A747" s="41" t="n"/>
      <c r="B747" s="41" t="n"/>
    </row>
    <row r="748" ht="15.75" customHeight="1" s="60">
      <c r="A748" s="41" t="n"/>
      <c r="B748" s="41" t="n"/>
    </row>
    <row r="749" ht="15.75" customHeight="1" s="60">
      <c r="A749" s="41" t="n"/>
      <c r="B749" s="41" t="n"/>
    </row>
    <row r="750" ht="15.75" customHeight="1" s="60">
      <c r="A750" s="41" t="n"/>
      <c r="B750" s="41" t="n"/>
    </row>
    <row r="751" ht="15.75" customHeight="1" s="60">
      <c r="A751" s="41" t="n"/>
      <c r="B751" s="41" t="n"/>
    </row>
    <row r="752" ht="15.75" customHeight="1" s="60">
      <c r="A752" s="41" t="n"/>
      <c r="B752" s="41" t="n"/>
    </row>
    <row r="753" ht="15.75" customHeight="1" s="60">
      <c r="A753" s="41" t="n"/>
      <c r="B753" s="41" t="n"/>
    </row>
    <row r="754" ht="15.75" customHeight="1" s="60">
      <c r="A754" s="41" t="n"/>
      <c r="B754" s="41" t="n"/>
    </row>
    <row r="755" ht="15.75" customHeight="1" s="60">
      <c r="A755" s="41" t="n"/>
      <c r="B755" s="41" t="n"/>
    </row>
    <row r="756" ht="15.75" customHeight="1" s="60">
      <c r="A756" s="41" t="n"/>
      <c r="B756" s="41" t="n"/>
    </row>
    <row r="757" ht="15.75" customHeight="1" s="60">
      <c r="A757" s="41" t="n"/>
      <c r="B757" s="41" t="n"/>
    </row>
    <row r="758" ht="15.75" customHeight="1" s="60">
      <c r="A758" s="41" t="n"/>
      <c r="B758" s="41" t="n"/>
    </row>
    <row r="759" ht="15.75" customHeight="1" s="60">
      <c r="A759" s="41" t="n"/>
      <c r="B759" s="41" t="n"/>
    </row>
    <row r="760" ht="15.75" customHeight="1" s="60">
      <c r="A760" s="41" t="n"/>
      <c r="B760" s="41" t="n"/>
    </row>
    <row r="761" ht="15.75" customHeight="1" s="60">
      <c r="A761" s="41" t="n"/>
      <c r="B761" s="41" t="n"/>
    </row>
    <row r="762" ht="15.75" customHeight="1" s="60">
      <c r="A762" s="41" t="n"/>
      <c r="B762" s="41" t="n"/>
    </row>
    <row r="763" ht="15.75" customHeight="1" s="60">
      <c r="A763" s="41" t="n"/>
      <c r="B763" s="41" t="n"/>
    </row>
    <row r="764" ht="15.75" customHeight="1" s="60">
      <c r="A764" s="41" t="n"/>
      <c r="B764" s="41" t="n"/>
    </row>
    <row r="765" ht="15.75" customHeight="1" s="60">
      <c r="A765" s="41" t="n"/>
      <c r="B765" s="41" t="n"/>
    </row>
    <row r="766" ht="15.75" customHeight="1" s="60">
      <c r="A766" s="41" t="n"/>
      <c r="B766" s="41" t="n"/>
    </row>
    <row r="767" ht="15.75" customHeight="1" s="60">
      <c r="A767" s="41" t="n"/>
      <c r="B767" s="41" t="n"/>
    </row>
    <row r="768" ht="15.75" customHeight="1" s="60">
      <c r="A768" s="41" t="n"/>
      <c r="B768" s="41" t="n"/>
    </row>
    <row r="769" ht="15.75" customHeight="1" s="60">
      <c r="A769" s="41" t="n"/>
      <c r="B769" s="41" t="n"/>
    </row>
    <row r="770" ht="15.75" customHeight="1" s="60">
      <c r="A770" s="41" t="n"/>
      <c r="B770" s="41" t="n"/>
    </row>
    <row r="771" ht="15.75" customHeight="1" s="60">
      <c r="A771" s="41" t="n"/>
      <c r="B771" s="41" t="n"/>
    </row>
    <row r="772" ht="15.75" customHeight="1" s="60">
      <c r="A772" s="41" t="n"/>
      <c r="B772" s="41" t="n"/>
    </row>
    <row r="773" ht="15.75" customHeight="1" s="60">
      <c r="A773" s="41" t="n"/>
      <c r="B773" s="41" t="n"/>
    </row>
    <row r="774" ht="15.75" customHeight="1" s="60">
      <c r="A774" s="41" t="n"/>
      <c r="B774" s="41" t="n"/>
    </row>
    <row r="775" ht="15.75" customHeight="1" s="60">
      <c r="A775" s="41" t="n"/>
      <c r="B775" s="41" t="n"/>
    </row>
    <row r="776" ht="15.75" customHeight="1" s="60">
      <c r="A776" s="41" t="n"/>
      <c r="B776" s="41" t="n"/>
    </row>
    <row r="777" ht="15.75" customHeight="1" s="60">
      <c r="A777" s="41" t="n"/>
      <c r="B777" s="41" t="n"/>
    </row>
    <row r="778" ht="15.75" customHeight="1" s="60">
      <c r="A778" s="41" t="n"/>
      <c r="B778" s="41" t="n"/>
    </row>
    <row r="779" ht="15.75" customHeight="1" s="60">
      <c r="A779" s="41" t="n"/>
      <c r="B779" s="41" t="n"/>
    </row>
    <row r="780" ht="15.75" customHeight="1" s="60">
      <c r="A780" s="41" t="n"/>
      <c r="B780" s="41" t="n"/>
    </row>
    <row r="781" ht="15.75" customHeight="1" s="60">
      <c r="A781" s="41" t="n"/>
      <c r="B781" s="41" t="n"/>
    </row>
    <row r="782" ht="15.75" customHeight="1" s="60">
      <c r="A782" s="41" t="n"/>
      <c r="B782" s="41" t="n"/>
    </row>
    <row r="783" ht="15.75" customHeight="1" s="60">
      <c r="A783" s="41" t="n"/>
      <c r="B783" s="41" t="n"/>
    </row>
    <row r="784" ht="15.75" customHeight="1" s="60">
      <c r="A784" s="41" t="n"/>
      <c r="B784" s="41" t="n"/>
    </row>
    <row r="785" ht="15.75" customHeight="1" s="60">
      <c r="A785" s="41" t="n"/>
      <c r="B785" s="41" t="n"/>
    </row>
    <row r="786" ht="15.75" customHeight="1" s="60">
      <c r="A786" s="41" t="n"/>
      <c r="B786" s="41" t="n"/>
    </row>
    <row r="787" ht="15.75" customHeight="1" s="60">
      <c r="A787" s="41" t="n"/>
      <c r="B787" s="41" t="n"/>
    </row>
    <row r="788" ht="15.75" customHeight="1" s="60">
      <c r="A788" s="41" t="n"/>
      <c r="B788" s="41" t="n"/>
    </row>
    <row r="789" ht="15.75" customHeight="1" s="60">
      <c r="A789" s="41" t="n"/>
      <c r="B789" s="41" t="n"/>
    </row>
    <row r="790" ht="15.75" customHeight="1" s="60">
      <c r="A790" s="41" t="n"/>
      <c r="B790" s="41" t="n"/>
    </row>
    <row r="791" ht="15.75" customHeight="1" s="60">
      <c r="A791" s="41" t="n"/>
      <c r="B791" s="41" t="n"/>
    </row>
    <row r="792" ht="15.75" customHeight="1" s="60">
      <c r="A792" s="41" t="n"/>
      <c r="B792" s="41" t="n"/>
    </row>
    <row r="793" ht="15.75" customHeight="1" s="60">
      <c r="A793" s="41" t="n"/>
      <c r="B793" s="41" t="n"/>
    </row>
    <row r="794" ht="15.75" customHeight="1" s="60">
      <c r="A794" s="41" t="n"/>
      <c r="B794" s="41" t="n"/>
    </row>
    <row r="795" ht="15.75" customHeight="1" s="60">
      <c r="A795" s="41" t="n"/>
      <c r="B795" s="41" t="n"/>
    </row>
    <row r="796" ht="15.75" customHeight="1" s="60">
      <c r="A796" s="41" t="n"/>
      <c r="B796" s="41" t="n"/>
    </row>
    <row r="797" ht="15.75" customHeight="1" s="60">
      <c r="A797" s="41" t="n"/>
      <c r="B797" s="41" t="n"/>
    </row>
    <row r="798" ht="15.75" customHeight="1" s="60">
      <c r="A798" s="41" t="n"/>
      <c r="B798" s="41" t="n"/>
    </row>
    <row r="799" ht="15.75" customHeight="1" s="60">
      <c r="A799" s="41" t="n"/>
      <c r="B799" s="41" t="n"/>
    </row>
    <row r="800" ht="15.75" customHeight="1" s="60">
      <c r="A800" s="41" t="n"/>
      <c r="B800" s="41" t="n"/>
    </row>
    <row r="801" ht="15.75" customHeight="1" s="60">
      <c r="A801" s="41" t="n"/>
      <c r="B801" s="41" t="n"/>
    </row>
    <row r="802" ht="15.75" customHeight="1" s="60">
      <c r="A802" s="41" t="n"/>
      <c r="B802" s="41" t="n"/>
    </row>
    <row r="803" ht="15.75" customHeight="1" s="60">
      <c r="A803" s="41" t="n"/>
      <c r="B803" s="41" t="n"/>
    </row>
    <row r="804" ht="15.75" customHeight="1" s="60">
      <c r="A804" s="41" t="n"/>
      <c r="B804" s="41" t="n"/>
    </row>
    <row r="805" ht="15.75" customHeight="1" s="60">
      <c r="A805" s="41" t="n"/>
      <c r="B805" s="41" t="n"/>
    </row>
    <row r="806" ht="15.75" customHeight="1" s="60">
      <c r="A806" s="41" t="n"/>
      <c r="B806" s="41" t="n"/>
    </row>
    <row r="807" ht="15.75" customHeight="1" s="60">
      <c r="A807" s="41" t="n"/>
      <c r="B807" s="41" t="n"/>
    </row>
    <row r="808" ht="15.75" customHeight="1" s="60">
      <c r="A808" s="41" t="n"/>
      <c r="B808" s="41" t="n"/>
    </row>
    <row r="809" ht="15.75" customHeight="1" s="60">
      <c r="A809" s="41" t="n"/>
      <c r="B809" s="41" t="n"/>
    </row>
    <row r="810" ht="15.75" customHeight="1" s="60">
      <c r="A810" s="41" t="n"/>
      <c r="B810" s="41" t="n"/>
    </row>
    <row r="811" ht="15.75" customHeight="1" s="60">
      <c r="A811" s="41" t="n"/>
      <c r="B811" s="41" t="n"/>
    </row>
    <row r="812" ht="15.75" customHeight="1" s="60">
      <c r="A812" s="41" t="n"/>
      <c r="B812" s="41" t="n"/>
    </row>
    <row r="813" ht="15.75" customHeight="1" s="60">
      <c r="A813" s="41" t="n"/>
      <c r="B813" s="41" t="n"/>
    </row>
    <row r="814" ht="15.75" customHeight="1" s="60">
      <c r="A814" s="41" t="n"/>
      <c r="B814" s="41" t="n"/>
    </row>
    <row r="815" ht="15.75" customHeight="1" s="60">
      <c r="A815" s="41" t="n"/>
      <c r="B815" s="41" t="n"/>
    </row>
    <row r="816" ht="15.75" customHeight="1" s="60">
      <c r="A816" s="41" t="n"/>
      <c r="B816" s="41" t="n"/>
    </row>
    <row r="817" ht="15.75" customHeight="1" s="60">
      <c r="A817" s="41" t="n"/>
      <c r="B817" s="41" t="n"/>
    </row>
    <row r="818" ht="15.75" customHeight="1" s="60">
      <c r="A818" s="41" t="n"/>
      <c r="B818" s="41" t="n"/>
    </row>
    <row r="819" ht="15.75" customHeight="1" s="60">
      <c r="A819" s="41" t="n"/>
      <c r="B819" s="41" t="n"/>
    </row>
    <row r="820" ht="15.75" customHeight="1" s="60">
      <c r="A820" s="41" t="n"/>
      <c r="B820" s="41" t="n"/>
    </row>
    <row r="821" ht="15.75" customHeight="1" s="60">
      <c r="A821" s="41" t="n"/>
      <c r="B821" s="41" t="n"/>
    </row>
    <row r="822" ht="15.75" customHeight="1" s="60">
      <c r="A822" s="41" t="n"/>
      <c r="B822" s="41" t="n"/>
    </row>
    <row r="823" ht="15.75" customHeight="1" s="60">
      <c r="A823" s="41" t="n"/>
      <c r="B823" s="41" t="n"/>
    </row>
    <row r="824" ht="15.75" customHeight="1" s="60">
      <c r="A824" s="41" t="n"/>
      <c r="B824" s="41" t="n"/>
    </row>
    <row r="825" ht="15.75" customHeight="1" s="60">
      <c r="A825" s="41" t="n"/>
      <c r="B825" s="41" t="n"/>
    </row>
    <row r="826" ht="15.75" customHeight="1" s="60">
      <c r="A826" s="41" t="n"/>
      <c r="B826" s="41" t="n"/>
    </row>
    <row r="827" ht="15.75" customHeight="1" s="60">
      <c r="A827" s="41" t="n"/>
      <c r="B827" s="41" t="n"/>
    </row>
    <row r="828" ht="15.75" customHeight="1" s="60">
      <c r="A828" s="41" t="n"/>
      <c r="B828" s="41" t="n"/>
    </row>
    <row r="829" ht="15.75" customHeight="1" s="60">
      <c r="A829" s="41" t="n"/>
      <c r="B829" s="41" t="n"/>
    </row>
    <row r="830" ht="15.75" customHeight="1" s="60">
      <c r="A830" s="41" t="n"/>
      <c r="B830" s="41" t="n"/>
    </row>
    <row r="831" ht="15.75" customHeight="1" s="60">
      <c r="A831" s="41" t="n"/>
      <c r="B831" s="41" t="n"/>
    </row>
    <row r="832" ht="15.75" customHeight="1" s="60">
      <c r="A832" s="41" t="n"/>
      <c r="B832" s="41" t="n"/>
    </row>
    <row r="833" ht="15.75" customHeight="1" s="60">
      <c r="A833" s="41" t="n"/>
      <c r="B833" s="41" t="n"/>
    </row>
    <row r="834" ht="15.75" customHeight="1" s="60">
      <c r="A834" s="41" t="n"/>
      <c r="B834" s="41" t="n"/>
    </row>
    <row r="835" ht="15.75" customHeight="1" s="60">
      <c r="A835" s="41" t="n"/>
      <c r="B835" s="41" t="n"/>
    </row>
    <row r="836" ht="15.75" customHeight="1" s="60">
      <c r="A836" s="41" t="n"/>
      <c r="B836" s="41" t="n"/>
    </row>
    <row r="837" ht="15.75" customHeight="1" s="60">
      <c r="A837" s="41" t="n"/>
      <c r="B837" s="41" t="n"/>
    </row>
    <row r="838" ht="15.75" customHeight="1" s="60">
      <c r="A838" s="41" t="n"/>
      <c r="B838" s="41" t="n"/>
    </row>
    <row r="839" ht="15.75" customHeight="1" s="60">
      <c r="A839" s="41" t="n"/>
      <c r="B839" s="41" t="n"/>
    </row>
    <row r="840" ht="15.75" customHeight="1" s="60">
      <c r="A840" s="41" t="n"/>
      <c r="B840" s="41" t="n"/>
    </row>
    <row r="841" ht="15.75" customHeight="1" s="60">
      <c r="A841" s="41" t="n"/>
      <c r="B841" s="41" t="n"/>
    </row>
    <row r="842" ht="15.75" customHeight="1" s="60">
      <c r="A842" s="41" t="n"/>
      <c r="B842" s="41" t="n"/>
    </row>
    <row r="843" ht="15.75" customHeight="1" s="60">
      <c r="A843" s="41" t="n"/>
      <c r="B843" s="41" t="n"/>
    </row>
    <row r="844" ht="15.75" customHeight="1" s="60">
      <c r="A844" s="41" t="n"/>
      <c r="B844" s="41" t="n"/>
    </row>
    <row r="845" ht="15.75" customHeight="1" s="60">
      <c r="A845" s="41" t="n"/>
      <c r="B845" s="41" t="n"/>
    </row>
    <row r="846" ht="15.75" customHeight="1" s="60">
      <c r="A846" s="41" t="n"/>
      <c r="B846" s="41" t="n"/>
    </row>
    <row r="847" ht="15.75" customHeight="1" s="60">
      <c r="A847" s="41" t="n"/>
      <c r="B847" s="41" t="n"/>
    </row>
    <row r="848" ht="15.75" customHeight="1" s="60">
      <c r="A848" s="41" t="n"/>
      <c r="B848" s="41" t="n"/>
    </row>
    <row r="849" ht="15.75" customHeight="1" s="60">
      <c r="A849" s="41" t="n"/>
      <c r="B849" s="41" t="n"/>
    </row>
    <row r="850" ht="15.75" customHeight="1" s="60">
      <c r="A850" s="41" t="n"/>
      <c r="B850" s="41" t="n"/>
    </row>
    <row r="851" ht="15.75" customHeight="1" s="60">
      <c r="A851" s="41" t="n"/>
      <c r="B851" s="41" t="n"/>
    </row>
    <row r="852" ht="15.75" customHeight="1" s="60">
      <c r="A852" s="41" t="n"/>
      <c r="B852" s="41" t="n"/>
    </row>
    <row r="853" ht="15.75" customHeight="1" s="60">
      <c r="A853" s="41" t="n"/>
      <c r="B853" s="41" t="n"/>
    </row>
    <row r="854" ht="15.75" customHeight="1" s="60">
      <c r="A854" s="41" t="n"/>
      <c r="B854" s="41" t="n"/>
    </row>
    <row r="855" ht="15.75" customHeight="1" s="60">
      <c r="A855" s="41" t="n"/>
      <c r="B855" s="41" t="n"/>
    </row>
    <row r="856" ht="15.75" customHeight="1" s="60">
      <c r="A856" s="41" t="n"/>
      <c r="B856" s="41" t="n"/>
    </row>
    <row r="857" ht="15.75" customHeight="1" s="60">
      <c r="A857" s="41" t="n"/>
      <c r="B857" s="41" t="n"/>
    </row>
    <row r="858" ht="15.75" customHeight="1" s="60">
      <c r="A858" s="41" t="n"/>
      <c r="B858" s="41" t="n"/>
    </row>
    <row r="859" ht="15.75" customHeight="1" s="60">
      <c r="A859" s="41" t="n"/>
      <c r="B859" s="41" t="n"/>
    </row>
    <row r="860" ht="15.75" customHeight="1" s="60">
      <c r="A860" s="41" t="n"/>
      <c r="B860" s="41" t="n"/>
    </row>
    <row r="861" ht="15.75" customHeight="1" s="60">
      <c r="A861" s="41" t="n"/>
      <c r="B861" s="41" t="n"/>
    </row>
    <row r="862" ht="15.75" customHeight="1" s="60">
      <c r="A862" s="41" t="n"/>
      <c r="B862" s="41" t="n"/>
    </row>
    <row r="863" ht="15.75" customHeight="1" s="60">
      <c r="A863" s="41" t="n"/>
      <c r="B863" s="41" t="n"/>
    </row>
    <row r="864" ht="15.75" customHeight="1" s="60">
      <c r="A864" s="41" t="n"/>
      <c r="B864" s="41" t="n"/>
    </row>
    <row r="865" ht="15.75" customHeight="1" s="60">
      <c r="A865" s="41" t="n"/>
      <c r="B865" s="41" t="n"/>
    </row>
    <row r="866" ht="15.75" customHeight="1" s="60">
      <c r="A866" s="41" t="n"/>
      <c r="B866" s="41" t="n"/>
    </row>
    <row r="867" ht="15.75" customHeight="1" s="60">
      <c r="A867" s="41" t="n"/>
      <c r="B867" s="41" t="n"/>
    </row>
    <row r="868" ht="15.75" customHeight="1" s="60">
      <c r="A868" s="41" t="n"/>
      <c r="B868" s="41" t="n"/>
    </row>
    <row r="869" ht="15.75" customHeight="1" s="60">
      <c r="A869" s="41" t="n"/>
      <c r="B869" s="41" t="n"/>
    </row>
    <row r="870" ht="15.75" customHeight="1" s="60">
      <c r="A870" s="41" t="n"/>
      <c r="B870" s="41" t="n"/>
    </row>
    <row r="871" ht="15.75" customHeight="1" s="60">
      <c r="A871" s="41" t="n"/>
      <c r="B871" s="41" t="n"/>
    </row>
    <row r="872" ht="15.75" customHeight="1" s="60">
      <c r="A872" s="41" t="n"/>
      <c r="B872" s="41" t="n"/>
    </row>
    <row r="873" ht="15.75" customHeight="1" s="60">
      <c r="A873" s="41" t="n"/>
      <c r="B873" s="41" t="n"/>
    </row>
    <row r="874" ht="15.75" customHeight="1" s="60">
      <c r="A874" s="41" t="n"/>
      <c r="B874" s="41" t="n"/>
    </row>
    <row r="875" ht="15.75" customHeight="1" s="60">
      <c r="A875" s="41" t="n"/>
      <c r="B875" s="41" t="n"/>
    </row>
    <row r="876" ht="15.75" customHeight="1" s="60">
      <c r="A876" s="41" t="n"/>
      <c r="B876" s="41" t="n"/>
    </row>
    <row r="877" ht="15.75" customHeight="1" s="60">
      <c r="A877" s="41" t="n"/>
      <c r="B877" s="41" t="n"/>
    </row>
    <row r="878" ht="15.75" customHeight="1" s="60">
      <c r="A878" s="41" t="n"/>
      <c r="B878" s="41" t="n"/>
    </row>
    <row r="879" ht="15.75" customHeight="1" s="60">
      <c r="A879" s="41" t="n"/>
      <c r="B879" s="41" t="n"/>
    </row>
    <row r="880" ht="15.75" customHeight="1" s="60">
      <c r="A880" s="41" t="n"/>
      <c r="B880" s="41" t="n"/>
    </row>
    <row r="881" ht="15.75" customHeight="1" s="60">
      <c r="A881" s="41" t="n"/>
      <c r="B881" s="41" t="n"/>
    </row>
    <row r="882" ht="15.75" customHeight="1" s="60">
      <c r="A882" s="41" t="n"/>
      <c r="B882" s="41" t="n"/>
    </row>
    <row r="883" ht="15.75" customHeight="1" s="60">
      <c r="A883" s="41" t="n"/>
      <c r="B883" s="41" t="n"/>
    </row>
    <row r="884" ht="15.75" customHeight="1" s="60">
      <c r="A884" s="41" t="n"/>
      <c r="B884" s="41" t="n"/>
    </row>
    <row r="885" ht="15.75" customHeight="1" s="60">
      <c r="A885" s="41" t="n"/>
      <c r="B885" s="41" t="n"/>
    </row>
    <row r="886" ht="15.75" customHeight="1" s="60">
      <c r="A886" s="41" t="n"/>
      <c r="B886" s="41" t="n"/>
    </row>
    <row r="887" ht="15.75" customHeight="1" s="60">
      <c r="A887" s="41" t="n"/>
      <c r="B887" s="41" t="n"/>
    </row>
    <row r="888" ht="15.75" customHeight="1" s="60">
      <c r="A888" s="41" t="n"/>
      <c r="B888" s="41" t="n"/>
    </row>
    <row r="889" ht="15.75" customHeight="1" s="60">
      <c r="A889" s="41" t="n"/>
      <c r="B889" s="41" t="n"/>
    </row>
    <row r="890" ht="15.75" customHeight="1" s="60">
      <c r="A890" s="41" t="n"/>
      <c r="B890" s="41" t="n"/>
    </row>
    <row r="891" ht="15.75" customHeight="1" s="60">
      <c r="A891" s="41" t="n"/>
      <c r="B891" s="41" t="n"/>
    </row>
    <row r="892" ht="15.75" customHeight="1" s="60">
      <c r="A892" s="41" t="n"/>
      <c r="B892" s="41" t="n"/>
    </row>
    <row r="893" ht="15.75" customHeight="1" s="60">
      <c r="A893" s="41" t="n"/>
      <c r="B893" s="41" t="n"/>
    </row>
    <row r="894" ht="15.75" customHeight="1" s="60">
      <c r="A894" s="41" t="n"/>
      <c r="B894" s="41" t="n"/>
    </row>
    <row r="895" ht="15.75" customHeight="1" s="60">
      <c r="A895" s="41" t="n"/>
      <c r="B895" s="41" t="n"/>
    </row>
    <row r="896" ht="15.75" customHeight="1" s="60">
      <c r="A896" s="41" t="n"/>
      <c r="B896" s="41" t="n"/>
    </row>
    <row r="897" ht="15.75" customHeight="1" s="60">
      <c r="A897" s="41" t="n"/>
      <c r="B897" s="41" t="n"/>
    </row>
    <row r="898" ht="15.75" customHeight="1" s="60">
      <c r="A898" s="41" t="n"/>
      <c r="B898" s="41" t="n"/>
    </row>
    <row r="899" ht="15.75" customHeight="1" s="60">
      <c r="A899" s="41" t="n"/>
      <c r="B899" s="41" t="n"/>
    </row>
    <row r="900" ht="15.75" customHeight="1" s="60">
      <c r="A900" s="41" t="n"/>
      <c r="B900" s="41" t="n"/>
    </row>
    <row r="901" ht="15.75" customHeight="1" s="60">
      <c r="A901" s="41" t="n"/>
      <c r="B901" s="41" t="n"/>
    </row>
    <row r="902" ht="15.75" customHeight="1" s="60">
      <c r="A902" s="41" t="n"/>
      <c r="B902" s="41" t="n"/>
    </row>
    <row r="903" ht="15.75" customHeight="1" s="60">
      <c r="A903" s="41" t="n"/>
      <c r="B903" s="41" t="n"/>
    </row>
    <row r="904" ht="15.75" customHeight="1" s="60">
      <c r="A904" s="41" t="n"/>
      <c r="B904" s="41" t="n"/>
    </row>
    <row r="905" ht="15.75" customHeight="1" s="60">
      <c r="A905" s="41" t="n"/>
      <c r="B905" s="41" t="n"/>
    </row>
    <row r="906" ht="15.75" customHeight="1" s="60">
      <c r="A906" s="41" t="n"/>
      <c r="B906" s="41" t="n"/>
    </row>
    <row r="907" ht="15.75" customHeight="1" s="60">
      <c r="A907" s="41" t="n"/>
      <c r="B907" s="41" t="n"/>
    </row>
    <row r="908" ht="15.75" customHeight="1" s="60">
      <c r="A908" s="41" t="n"/>
      <c r="B908" s="41" t="n"/>
    </row>
    <row r="909" ht="15.75" customHeight="1" s="60">
      <c r="A909" s="41" t="n"/>
      <c r="B909" s="41" t="n"/>
    </row>
    <row r="910" ht="15.75" customHeight="1" s="60">
      <c r="A910" s="41" t="n"/>
      <c r="B910" s="41" t="n"/>
    </row>
    <row r="911" ht="15.75" customHeight="1" s="60">
      <c r="A911" s="41" t="n"/>
      <c r="B911" s="41" t="n"/>
    </row>
    <row r="912" ht="15.75" customHeight="1" s="60">
      <c r="A912" s="41" t="n"/>
      <c r="B912" s="41" t="n"/>
    </row>
    <row r="913" ht="15.75" customHeight="1" s="60">
      <c r="A913" s="41" t="n"/>
      <c r="B913" s="41" t="n"/>
    </row>
    <row r="914" ht="15.75" customHeight="1" s="60">
      <c r="A914" s="41" t="n"/>
      <c r="B914" s="41" t="n"/>
    </row>
    <row r="915" ht="15.75" customHeight="1" s="60">
      <c r="A915" s="41" t="n"/>
      <c r="B915" s="41" t="n"/>
    </row>
    <row r="916" ht="15.75" customHeight="1" s="60">
      <c r="A916" s="41" t="n"/>
      <c r="B916" s="41" t="n"/>
    </row>
    <row r="917" ht="15.75" customHeight="1" s="60">
      <c r="A917" s="41" t="n"/>
      <c r="B917" s="41" t="n"/>
    </row>
    <row r="918" ht="15.75" customHeight="1" s="60">
      <c r="A918" s="41" t="n"/>
      <c r="B918" s="41" t="n"/>
    </row>
    <row r="919" ht="15.75" customHeight="1" s="60">
      <c r="A919" s="41" t="n"/>
      <c r="B919" s="41" t="n"/>
    </row>
    <row r="920" ht="15.75" customHeight="1" s="60">
      <c r="A920" s="41" t="n"/>
      <c r="B920" s="41" t="n"/>
    </row>
    <row r="921" ht="15.75" customHeight="1" s="60">
      <c r="A921" s="41" t="n"/>
      <c r="B921" s="41" t="n"/>
    </row>
    <row r="922" ht="15.75" customHeight="1" s="60">
      <c r="A922" s="41" t="n"/>
      <c r="B922" s="41" t="n"/>
    </row>
    <row r="923" ht="15.75" customHeight="1" s="60">
      <c r="A923" s="41" t="n"/>
      <c r="B923" s="41" t="n"/>
    </row>
    <row r="924" ht="15.75" customHeight="1" s="60">
      <c r="A924" s="41" t="n"/>
      <c r="B924" s="41" t="n"/>
    </row>
    <row r="925" ht="15.75" customHeight="1" s="60">
      <c r="A925" s="41" t="n"/>
      <c r="B925" s="41" t="n"/>
    </row>
    <row r="926" ht="15.75" customHeight="1" s="60">
      <c r="A926" s="41" t="n"/>
      <c r="B926" s="41" t="n"/>
    </row>
    <row r="927" ht="15.75" customHeight="1" s="60">
      <c r="A927" s="41" t="n"/>
      <c r="B927" s="41" t="n"/>
    </row>
    <row r="928" ht="15.75" customHeight="1" s="60">
      <c r="A928" s="41" t="n"/>
      <c r="B928" s="41" t="n"/>
    </row>
    <row r="929" ht="15.75" customHeight="1" s="60">
      <c r="A929" s="41" t="n"/>
      <c r="B929" s="41" t="n"/>
    </row>
    <row r="930" ht="15.75" customHeight="1" s="60">
      <c r="A930" s="41" t="n"/>
      <c r="B930" s="41" t="n"/>
    </row>
    <row r="931" ht="15.75" customHeight="1" s="60">
      <c r="A931" s="41" t="n"/>
      <c r="B931" s="41" t="n"/>
    </row>
    <row r="932" ht="15.75" customHeight="1" s="60">
      <c r="A932" s="41" t="n"/>
      <c r="B932" s="41" t="n"/>
    </row>
    <row r="933" ht="15.75" customHeight="1" s="60">
      <c r="A933" s="41" t="n"/>
      <c r="B933" s="41" t="n"/>
    </row>
    <row r="934" ht="15.75" customHeight="1" s="60">
      <c r="A934" s="41" t="n"/>
      <c r="B934" s="41" t="n"/>
    </row>
    <row r="935" ht="15.75" customHeight="1" s="60">
      <c r="A935" s="41" t="n"/>
      <c r="B935" s="41" t="n"/>
    </row>
    <row r="936" ht="15.75" customHeight="1" s="60">
      <c r="A936" s="41" t="n"/>
      <c r="B936" s="41" t="n"/>
    </row>
    <row r="937" ht="15.75" customHeight="1" s="60">
      <c r="A937" s="41" t="n"/>
      <c r="B937" s="41" t="n"/>
    </row>
    <row r="938" ht="15.75" customHeight="1" s="60">
      <c r="A938" s="41" t="n"/>
      <c r="B938" s="41" t="n"/>
    </row>
    <row r="939" ht="15.75" customHeight="1" s="60">
      <c r="A939" s="41" t="n"/>
      <c r="B939" s="41" t="n"/>
    </row>
    <row r="940" ht="15.75" customHeight="1" s="60">
      <c r="A940" s="41" t="n"/>
      <c r="B940" s="41" t="n"/>
    </row>
    <row r="941" ht="15.75" customHeight="1" s="60">
      <c r="A941" s="41" t="n"/>
      <c r="B941" s="41" t="n"/>
    </row>
    <row r="942" ht="15.75" customHeight="1" s="60">
      <c r="A942" s="41" t="n"/>
      <c r="B942" s="41" t="n"/>
    </row>
    <row r="943" ht="15.75" customHeight="1" s="60">
      <c r="A943" s="41" t="n"/>
      <c r="B943" s="41" t="n"/>
    </row>
    <row r="944" ht="15.75" customHeight="1" s="60">
      <c r="A944" s="41" t="n"/>
      <c r="B944" s="41" t="n"/>
    </row>
    <row r="945" ht="15.75" customHeight="1" s="60">
      <c r="A945" s="41" t="n"/>
      <c r="B945" s="41" t="n"/>
    </row>
    <row r="946" ht="15.75" customHeight="1" s="60">
      <c r="A946" s="41" t="n"/>
      <c r="B946" s="41" t="n"/>
    </row>
    <row r="947" ht="15.75" customHeight="1" s="60">
      <c r="A947" s="41" t="n"/>
      <c r="B947" s="41" t="n"/>
    </row>
    <row r="948" ht="15.75" customHeight="1" s="60">
      <c r="A948" s="41" t="n"/>
      <c r="B948" s="41" t="n"/>
    </row>
    <row r="949" ht="15.75" customHeight="1" s="60">
      <c r="A949" s="41" t="n"/>
      <c r="B949" s="41" t="n"/>
    </row>
    <row r="950" ht="15.75" customHeight="1" s="60">
      <c r="A950" s="41" t="n"/>
      <c r="B950" s="41" t="n"/>
    </row>
    <row r="951" ht="15.75" customHeight="1" s="60">
      <c r="A951" s="41" t="n"/>
      <c r="B951" s="41" t="n"/>
    </row>
    <row r="952" ht="15.75" customHeight="1" s="60">
      <c r="A952" s="41" t="n"/>
      <c r="B952" s="41" t="n"/>
    </row>
    <row r="953" ht="15.75" customHeight="1" s="60">
      <c r="A953" s="41" t="n"/>
      <c r="B953" s="41" t="n"/>
    </row>
    <row r="954" ht="15.75" customHeight="1" s="60">
      <c r="A954" s="41" t="n"/>
      <c r="B954" s="41" t="n"/>
    </row>
    <row r="955" ht="15.75" customHeight="1" s="60">
      <c r="A955" s="41" t="n"/>
      <c r="B955" s="41" t="n"/>
    </row>
    <row r="956" ht="15.75" customHeight="1" s="60">
      <c r="A956" s="41" t="n"/>
      <c r="B956" s="41" t="n"/>
    </row>
    <row r="957" ht="15.75" customHeight="1" s="60">
      <c r="A957" s="41" t="n"/>
      <c r="B957" s="41" t="n"/>
    </row>
    <row r="958" ht="15.75" customHeight="1" s="60">
      <c r="A958" s="41" t="n"/>
      <c r="B958" s="41" t="n"/>
    </row>
    <row r="959" ht="15.75" customHeight="1" s="60">
      <c r="A959" s="41" t="n"/>
      <c r="B959" s="41" t="n"/>
    </row>
    <row r="960" ht="15.75" customHeight="1" s="60">
      <c r="A960" s="41" t="n"/>
      <c r="B960" s="41" t="n"/>
    </row>
    <row r="961" ht="15.75" customHeight="1" s="60">
      <c r="A961" s="41" t="n"/>
      <c r="B961" s="41" t="n"/>
    </row>
    <row r="962" ht="15.75" customHeight="1" s="60">
      <c r="A962" s="41" t="n"/>
      <c r="B962" s="41" t="n"/>
    </row>
    <row r="963" ht="15.75" customHeight="1" s="60">
      <c r="A963" s="41" t="n"/>
      <c r="B963" s="41" t="n"/>
    </row>
    <row r="964" ht="15.75" customHeight="1" s="60">
      <c r="A964" s="41" t="n"/>
      <c r="B964" s="41" t="n"/>
    </row>
    <row r="965" ht="15.75" customHeight="1" s="60">
      <c r="A965" s="41" t="n"/>
      <c r="B965" s="41" t="n"/>
    </row>
    <row r="966" ht="15.75" customHeight="1" s="60">
      <c r="A966" s="41" t="n"/>
      <c r="B966" s="41" t="n"/>
    </row>
    <row r="967" ht="15.75" customHeight="1" s="60">
      <c r="A967" s="41" t="n"/>
      <c r="B967" s="41" t="n"/>
    </row>
    <row r="968" ht="15.75" customHeight="1" s="60">
      <c r="A968" s="41" t="n"/>
      <c r="B968" s="41" t="n"/>
    </row>
    <row r="969" ht="15.75" customHeight="1" s="60">
      <c r="A969" s="41" t="n"/>
      <c r="B969" s="41" t="n"/>
    </row>
    <row r="970" ht="15.75" customHeight="1" s="60">
      <c r="A970" s="41" t="n"/>
      <c r="B970" s="41" t="n"/>
    </row>
    <row r="971" ht="15.75" customHeight="1" s="60">
      <c r="A971" s="41" t="n"/>
      <c r="B971" s="41" t="n"/>
    </row>
    <row r="972" ht="15.75" customHeight="1" s="60">
      <c r="A972" s="41" t="n"/>
      <c r="B972" s="41" t="n"/>
    </row>
    <row r="973" ht="15.75" customHeight="1" s="60">
      <c r="A973" s="41" t="n"/>
      <c r="B973" s="41" t="n"/>
    </row>
    <row r="974" ht="15.75" customHeight="1" s="60">
      <c r="A974" s="41" t="n"/>
      <c r="B974" s="41" t="n"/>
    </row>
    <row r="975" ht="15.75" customHeight="1" s="60">
      <c r="A975" s="41" t="n"/>
      <c r="B975" s="41" t="n"/>
    </row>
    <row r="976" ht="15.75" customHeight="1" s="60">
      <c r="A976" s="41" t="n"/>
      <c r="B976" s="41" t="n"/>
    </row>
    <row r="977" ht="15.75" customHeight="1" s="60">
      <c r="A977" s="41" t="n"/>
      <c r="B977" s="41" t="n"/>
    </row>
    <row r="978" ht="15.75" customHeight="1" s="60">
      <c r="A978" s="41" t="n"/>
      <c r="B978" s="41" t="n"/>
    </row>
    <row r="979" ht="15.75" customHeight="1" s="60">
      <c r="A979" s="41" t="n"/>
      <c r="B979" s="41" t="n"/>
    </row>
    <row r="980" ht="15.75" customHeight="1" s="60">
      <c r="A980" s="41" t="n"/>
      <c r="B980" s="41" t="n"/>
    </row>
    <row r="981" ht="15.75" customHeight="1" s="60">
      <c r="A981" s="41" t="n"/>
      <c r="B981" s="41" t="n"/>
    </row>
    <row r="982" ht="15.75" customHeight="1" s="60">
      <c r="A982" s="41" t="n"/>
      <c r="B982" s="41" t="n"/>
    </row>
    <row r="983" ht="15.75" customHeight="1" s="60">
      <c r="A983" s="41" t="n"/>
      <c r="B983" s="41" t="n"/>
    </row>
    <row r="984" ht="15.75" customHeight="1" s="60">
      <c r="A984" s="41" t="n"/>
      <c r="B984" s="41" t="n"/>
    </row>
    <row r="985" ht="15.75" customHeight="1" s="60">
      <c r="A985" s="41" t="n"/>
      <c r="B985" s="41" t="n"/>
    </row>
    <row r="986" ht="15.75" customHeight="1" s="60">
      <c r="A986" s="41" t="n"/>
      <c r="B986" s="41" t="n"/>
    </row>
    <row r="987" ht="15.75" customHeight="1" s="60">
      <c r="A987" s="41" t="n"/>
      <c r="B987" s="41" t="n"/>
    </row>
    <row r="988" ht="15.75" customHeight="1" s="60">
      <c r="A988" s="41" t="n"/>
      <c r="B988" s="41" t="n"/>
    </row>
    <row r="989" ht="15.75" customHeight="1" s="60">
      <c r="A989" s="41" t="n"/>
      <c r="B989" s="41" t="n"/>
    </row>
    <row r="990" ht="15.75" customHeight="1" s="60">
      <c r="A990" s="41" t="n"/>
      <c r="B990" s="41" t="n"/>
    </row>
    <row r="991" ht="15.75" customHeight="1" s="60">
      <c r="A991" s="41" t="n"/>
      <c r="B991" s="41" t="n"/>
    </row>
    <row r="992" ht="15.75" customHeight="1" s="60">
      <c r="A992" s="41" t="n"/>
      <c r="B992" s="41" t="n"/>
    </row>
    <row r="993" ht="15.75" customHeight="1" s="60">
      <c r="A993" s="41" t="n"/>
      <c r="B993" s="41" t="n"/>
    </row>
    <row r="994" ht="15.75" customHeight="1" s="60">
      <c r="A994" s="41" t="n"/>
      <c r="B994" s="41" t="n"/>
    </row>
    <row r="995" ht="15.75" customHeight="1" s="60">
      <c r="A995" s="41" t="n"/>
      <c r="B995" s="41" t="n"/>
    </row>
    <row r="996" ht="15.75" customHeight="1" s="60">
      <c r="A996" s="41" t="n"/>
      <c r="B996" s="41" t="n"/>
    </row>
    <row r="997" ht="15.75" customHeight="1" s="60">
      <c r="A997" s="41" t="n"/>
      <c r="B997" s="41" t="n"/>
    </row>
    <row r="998" ht="15.75" customHeight="1" s="60">
      <c r="A998" s="41" t="n"/>
      <c r="B998" s="41" t="n"/>
    </row>
    <row r="999" ht="15.75" customHeight="1" s="60">
      <c r="A999" s="41" t="n"/>
      <c r="B999" s="41" t="n"/>
    </row>
    <row r="1000" ht="15.75" customHeight="1" s="60">
      <c r="A1000" s="41" t="n"/>
      <c r="B1000" s="41" t="n"/>
    </row>
  </sheetData>
  <mergeCells count="1">
    <mergeCell ref="A6:B11"/>
  </mergeCells>
  <pageMargins left="0.6" right="0.6" top="0.7" bottom="0.7" header="0" footer="0"/>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2026-09-24T09:03:44Z</dcterms:created>
  <dcterms:modified xmlns:dcterms="http://purl.org/dc/terms/" xmlns:xsi="http://www.w3.org/2001/XMLSchema-instance" xsi:type="dcterms:W3CDTF">2026-09-24T09:03:45Z</dcterms:modified>
</cp:coreProperties>
</file>