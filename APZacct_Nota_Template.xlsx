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" sheetId="1" state="visible" r:id="rId3"/>
    <sheet name="Tetapan" sheetId="2" state="visible" r:id="rId4"/>
    <sheet name="Imbangan_Duga" sheetId="3" state="visible" r:id="rId5"/>
    <sheet name="Baris_Transaksi" sheetId="4" state="visible" r:id="rId6"/>
    <sheet name="Sejarah_Baki" sheetId="5" state="visible" r:id="rId7"/>
    <sheet name="Daftar_Aset_Tet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<sst xmlns="http://schemas.openxmlformats.org/spreadsheetml/2006/main" count="374" uniqueCount="193">
  <si>
    <t xml:space="preserve">NOTA-NOTA KEPADA AKAUN (NOTES TO THE ACCOUNTS) — TEMPLAT UMUM GP23</t>
  </si>
  <si>
    <t xml:space="preserve">Templat ini untuk MANA-MANA jenis koperasi, tanpa kira aktiviti. Formula TIDAK dikodkeras kepada kod akaun tertentu — setiap Nota bertanya "Berkaitan?" dan "Kod Akaun", diisi dengan kod SEBENAR koperasi anda sendiri (daripada helaian Akaun anda sendiri). Jika Tidak Berkaitan, biar kod kosong — baki tunjuk 0, itu betul.</t>
  </si>
  <si>
    <t xml:space="preserve">Nilai yang terpapar semasa ujian formula ini adalah DATA UJIAN/CONTOH sahaja — BUKAN kedudukan kewangan sebenar mana-mana koperasi. Jangan ambil sebarang angka di sini sebagai fakta perniagaan.</t>
  </si>
  <si>
    <t xml:space="preserve">NOTA 1 — MAKLUMAT UMUM  (GP23 perenggan 16, Nota 1)</t>
  </si>
  <si>
    <t xml:space="preserve">Aktiviti utama</t>
  </si>
  <si>
    <t xml:space="preserve">[ISI] ◄ ISI</t>
  </si>
  <si>
    <t xml:space="preserve">Alamat berdaftar</t>
  </si>
  <si>
    <t xml:space="preserve">No. Pendaftaran SKM</t>
  </si>
  <si>
    <t xml:space="preserve">NOTA 2 — ASAS PENYEDIAAN PENYATA KEWANGAN  (GP23 perenggan 16, Nota 2)</t>
  </si>
  <si>
    <t xml:space="preserve">Penyata kewangan ini disediakan mengikut piawaian perakaunan yang diluluskan di Malaysia (MPERS), sebagaimana diubahsuaikan oleh GP23: Garis Panduan Pelaporan Penyata Kewangan Koperasi, selaras dengan Akta Koperasi 1993 dan Peraturan-Peraturan Koperasi 2010. [ISI jika koperasi anda menggunakan piawaian lain]</t>
  </si>
  <si>
    <t xml:space="preserve">NOTA 3 — TARIKH PENGESAHAN PENYATA KEWANGAN  (GP23 perenggan 16, Nota 3)</t>
  </si>
  <si>
    <t xml:space="preserve">Disahkan oleh Lembaga pada</t>
  </si>
  <si>
    <t xml:space="preserve">NOTA 4 — RINGKASAN POLISI PERAKAUNAN PENTING  (GP23 perenggan 16, Nota 5)</t>
  </si>
  <si>
    <t xml:space="preserve">(a) Susut nilai — kaedah/kadar setiap aset (daripada Daftar_Aset_Tetap; kosong jika belum ada aset didaftar):</t>
  </si>
  <si>
    <t xml:space="preserve">Nama Aset</t>
  </si>
  <si>
    <t xml:space="preserve">Kategori</t>
  </si>
  <si>
    <t xml:space="preserve">Kaedah</t>
  </si>
  <si>
    <t xml:space="preserve">Kadar</t>
  </si>
  <si>
    <t xml:space="preserve">(b) Inventori</t>
  </si>
  <si>
    <t xml:space="preserve">Pada kos, atau kos/nilai boleh direalisasi bersih (mana lebih rendah). [ISI jika berbeza] ◄ ISI</t>
  </si>
  <si>
    <t xml:space="preserve">(c) Hutang ragu/lapuk</t>
  </si>
  <si>
    <t xml:space="preserve">[ISI polisi — cth. GP23 wajibkan ini bagi pinjaman &gt;6 bulan tak berbayar] ◄ ISI</t>
  </si>
  <si>
    <t xml:space="preserve">(d) Pengiktirafan hasil</t>
  </si>
  <si>
    <t xml:space="preserve">[ISI — bagaimana setiap aktiviti mengiktiraf pendapatan] ◄ ISI</t>
  </si>
  <si>
    <t xml:space="preserve">(e) Usaha berterusan</t>
  </si>
  <si>
    <t xml:space="preserve">Disediakan berasaskan usaha berterusan. [ISI "TIDAK" + sebab jika tidak lagi benar] ◄ ISI</t>
  </si>
  <si>
    <t xml:space="preserve">NOTA 5 — POLISI RISIKO PENGURUSAN KEWANGAN  (GP23 Lampiran 5 perenggan 6)</t>
  </si>
  <si>
    <t xml:space="preserve">(a) Risiko Kecairan: [ISI] ◄ ISI</t>
  </si>
  <si>
    <t xml:space="preserve">(b) Risiko Kredit: [ISI] ◄ ISI</t>
  </si>
  <si>
    <t xml:space="preserve">NOTA 6 — HARTA TANAH, LOJI DAN PERALATAN (PPE)  (GP23 perenggan 15(a))</t>
  </si>
  <si>
    <t xml:space="preserve">Berkaitan untuk koperasi ini?</t>
  </si>
  <si>
    <t xml:space="preserve">[ISI — Ya/Tidak] ◄ ISI</t>
  </si>
  <si>
    <t xml:space="preserve">Kod Akaun — Kos PPE</t>
  </si>
  <si>
    <t xml:space="preserve">[ISI kod akaun] ◄ ISI</t>
  </si>
  <si>
    <t xml:space="preserve">Kod Akaun — Susut Nilai Terkumpul</t>
  </si>
  <si>
    <t xml:space="preserve">Baki awal tahun (Sejarah_Baki jika ada)</t>
  </si>
  <si>
    <t xml:space="preserve">Tambahan tahun semasa</t>
  </si>
  <si>
    <t xml:space="preserve">Pengurangan tahun semasa</t>
  </si>
  <si>
    <t xml:space="preserve">Baki akhir tahun (semakan bebas)</t>
  </si>
  <si>
    <t xml:space="preserve">Susut Nilai Terkumpul (semakan bebas)</t>
  </si>
  <si>
    <t xml:space="preserve">BERSIH</t>
  </si>
  <si>
    <t xml:space="preserve">Jika PPE terdiri &gt;1 kategori (Tanah/Bangunan/Kenderaan dll.) dengan kod berasingan, salin blok Nota ini sekali untuk setiap kategori.</t>
  </si>
  <si>
    <t xml:space="preserve">NOTA 7 — GERAN/BANTUAN  (GP23 perenggan 15(b))</t>
  </si>
  <si>
    <t xml:space="preserve">Kod Akaun — Geran/Bantuan</t>
  </si>
  <si>
    <t xml:space="preserve">Baki semasa (Imbangan_Duga)</t>
  </si>
  <si>
    <t xml:space="preserve">Punca dan tujuan geran</t>
  </si>
  <si>
    <t xml:space="preserve">NOTA 8 — PELABURAN DALAM SYER (SIAR HARGA &amp; TAK SIAR HARGA)  (GP23 perenggan 15(c))</t>
  </si>
  <si>
    <t xml:space="preserve">Kod Akaun — Pelaburan Syer</t>
  </si>
  <si>
    <t xml:space="preserve">Senarai syer (nama syarikat/bil.unit/kos/nilai pasaran)</t>
  </si>
  <si>
    <t xml:space="preserve">[ISI jadual berasingan jika perlu] ◄ ISI</t>
  </si>
  <si>
    <t xml:space="preserve">Kelulusan SKM &amp; had pelaburan disahkan?</t>
  </si>
  <si>
    <t xml:space="preserve">NOTA 9 — KEPENTINGAN DALAM SUBSIDIARI DAN SYARIKAT BERSEKUTU  (GP23 perenggan 15(d))</t>
  </si>
  <si>
    <t xml:space="preserve">Kod Akaun — Pelaburan Subsidiari/Bersekutu</t>
  </si>
  <si>
    <t xml:space="preserve">Kod Akaun — Hutang Subsidiari/Bersekutu</t>
  </si>
  <si>
    <t xml:space="preserve">Nama syarikat, aktiviti, % pegangan ekuiti</t>
  </si>
  <si>
    <t xml:space="preserve">Kelulusan SKM (s.19 Akta) disahkan?</t>
  </si>
  <si>
    <t xml:space="preserve">NOTA 10 — PELABURAN HARTANAH DAN PELABURAN LAIN  (GP23 perenggan 15(e))</t>
  </si>
  <si>
    <t xml:space="preserve">Kod Akaun — Pelaburan Hartanah/Lain</t>
  </si>
  <si>
    <t xml:space="preserve">Kegunaan hartanah/pelaburan</t>
  </si>
  <si>
    <t xml:space="preserve">NOTA 11 — PELABURAN DALAM USAHA SAMA  (GP23 perenggan 15(f))</t>
  </si>
  <si>
    <t xml:space="preserve">Kod Akaun — Pelaburan Usaha Sama</t>
  </si>
  <si>
    <t xml:space="preserve">Aktiviti, pihak terlibat, kelulusan SKM (s.54)</t>
  </si>
  <si>
    <t xml:space="preserve">NOTA 12 — PROJEK DALAM PELAKSANAAN  (GP23 perenggan 15(g))</t>
  </si>
  <si>
    <t xml:space="preserve">Kod Akaun — Projek Dalam Pelaksanaan</t>
  </si>
  <si>
    <t xml:space="preserve">Jenis projek, kaedah pengiktirafan pendapatan</t>
  </si>
  <si>
    <t xml:space="preserve">NOTA 13 — PINJAMAN/PEMBIAYAAN DIBERI (ANGGOTA &amp; BUKAN ANGGOTA)  (GP23 perenggan 15(h))</t>
  </si>
  <si>
    <t xml:space="preserve">Kod Akaun — Pinjaman/Pembiayaan Diberi</t>
  </si>
  <si>
    <t xml:space="preserve">Peruntukan wajib GP23: tak berbayar 6+ bulan; 50% ragu pada 9–12 bulan; 100% lapuk pada 12+ bulan. Asingkan pinjaman peribadi vs perniagaan jika berkaitan.</t>
  </si>
  <si>
    <t xml:space="preserve">NOTA 14 — ASET DAN PERGERAKAN KUMPULAN WANG RIZAB STATUTORI (KWRS)  (GP23 perenggan 15(m))</t>
  </si>
  <si>
    <t xml:space="preserve">Kod Akaun — Aset mewakili KWRS (cth. Akaun Deposit Koperasi)</t>
  </si>
  <si>
    <t xml:space="preserve">Baki aset KWRS (semasa)</t>
  </si>
  <si>
    <t xml:space="preserve">Kod Akaun — KWRS (Ekuiti/Rizab)</t>
  </si>
  <si>
    <t xml:space="preserve">NOTA 15 — INVENTORI  (GP23 perenggan 15(j))</t>
  </si>
  <si>
    <t xml:space="preserve">Jenis Inventori</t>
  </si>
  <si>
    <t xml:space="preserve">Kod Akaun</t>
  </si>
  <si>
    <t xml:space="preserve">Baki</t>
  </si>
  <si>
    <t xml:space="preserve">[ISI jenis] ◄ ISI</t>
  </si>
  <si>
    <t xml:space="preserve">[ISI kod] ◄ ISI</t>
  </si>
  <si>
    <t xml:space="preserve">Asas penilaian</t>
  </si>
  <si>
    <t xml:space="preserve">Pada kos. [ISI jika berbeza] ◄ ISI</t>
  </si>
  <si>
    <t xml:space="preserve">NOTA 16 — PELBAGAI PENGHUTANG  (GP23 perenggan 15(n))</t>
  </si>
  <si>
    <t xml:space="preserve">Kod Akaun — Pelbagai Penghutang (kasar)</t>
  </si>
  <si>
    <t xml:space="preserve">Kod Akaun — Peruntukan Hutang Ragu</t>
  </si>
  <si>
    <t xml:space="preserve">Tolak: Peruntukan Hutang Ragu (semakan bebas)</t>
  </si>
  <si>
    <t xml:space="preserve">Pengumuran (ageing) mengikut penghutang individu — senaraikan manual jika material; sistem semasa tidak jejak ini automatik.</t>
  </si>
  <si>
    <t xml:space="preserve">NOTA 17 — DEPOSIT TETAP, BANK DAN WANG DI TANGAN  (GP23 perenggan 15(o))</t>
  </si>
  <si>
    <t xml:space="preserve">Institusi/Jenis</t>
  </si>
  <si>
    <t xml:space="preserve">Had wang di tangan ditetapkan Lembaga</t>
  </si>
  <si>
    <t xml:space="preserve">[ISI jika ada] ◄ ISI</t>
  </si>
  <si>
    <t xml:space="preserve">NOTA 18 — SIMPANAN/DEPOSIT DITERIMA DARIPADA ANGGOTA  (GP23 perenggan 15(q))</t>
  </si>
  <si>
    <t xml:space="preserve">Kod Akaun — Simpanan/Deposit Anggota</t>
  </si>
  <si>
    <t xml:space="preserve">Kadar pulangan atas simpanan/deposit</t>
  </si>
  <si>
    <t xml:space="preserve">NOTA 19 — PINJAMAN LUAR  (GP23 perenggan 15(r))</t>
  </si>
  <si>
    <t xml:space="preserve">Kod Akaun — Pinjaman Luar</t>
  </si>
  <si>
    <t xml:space="preserve">Institusi, kadar faedah, tempoh, tujuan</t>
  </si>
  <si>
    <t xml:space="preserve">Kelulusan SKM (jika bukan anggota, para 50(e))</t>
  </si>
  <si>
    <t xml:space="preserve">NOTA 20 — FI AUDIT SURUHANJAYA, KWA PENDIDIKAN, KWA PEMBANGUNAN, DIVIDEN DAN HONORARIUM  (GP23 perenggan 15(s))</t>
  </si>
  <si>
    <t xml:space="preserve">Perkara</t>
  </si>
  <si>
    <t xml:space="preserve">Baki Awal</t>
  </si>
  <si>
    <t xml:space="preserve">Diperuntukkan</t>
  </si>
  <si>
    <t xml:space="preserve">Dibayar</t>
  </si>
  <si>
    <t xml:space="preserve">Baki Akhir</t>
  </si>
  <si>
    <t xml:space="preserve">Fi Audit Suruhanjaya</t>
  </si>
  <si>
    <t xml:space="preserve">KWA Pendidikan Koperasi</t>
  </si>
  <si>
    <t xml:space="preserve">KWA Pembangunan Koperasi</t>
  </si>
  <si>
    <t xml:space="preserve">Cukai Pendapatan</t>
  </si>
  <si>
    <t xml:space="preserve">Zakat</t>
  </si>
  <si>
    <t xml:space="preserve">Dividen</t>
  </si>
  <si>
    <t xml:space="preserve">Honorarium</t>
  </si>
  <si>
    <t xml:space="preserve">NOTA 21 — AMAUN TERHUTANG KEPADA SYARIKAT BERKAITAN  (GP23 perenggan 15(t))</t>
  </si>
  <si>
    <t xml:space="preserve">Kod Akaun — Amaun Terhutang Syarikat Berkaitan</t>
  </si>
  <si>
    <t xml:space="preserve">NOTA 22 — PELBAGAI PEMIUTANG  (GP23 perenggan 15(u))</t>
  </si>
  <si>
    <t xml:space="preserve">Kod Akaun — Pelbagai Pemiutang</t>
  </si>
  <si>
    <t xml:space="preserve">NOTA 23 — OVERDRAF BANK  (GP23 perenggan 15(v))</t>
  </si>
  <si>
    <t xml:space="preserve">Kod Akaun — Overdraf Bank</t>
  </si>
  <si>
    <t xml:space="preserve">Institusi, had overdraf, kadar faedah, cagaran</t>
  </si>
  <si>
    <t xml:space="preserve">NOTA 24 — MODAL SYER ANGGOTA, MODAL YURAN DAN SYER BONUS  (GP23 perenggan 15(w))</t>
  </si>
  <si>
    <t xml:space="preserve">Tambahan</t>
  </si>
  <si>
    <t xml:space="preserve">Kurangan</t>
  </si>
  <si>
    <t xml:space="preserve">Modal Syer Anggota</t>
  </si>
  <si>
    <t xml:space="preserve">Modal Yuran Anggota</t>
  </si>
  <si>
    <t xml:space="preserve">Syer Bonus</t>
  </si>
  <si>
    <t xml:space="preserve">Bilangan anggota (akhir tahun)</t>
  </si>
  <si>
    <t xml:space="preserve">[ISI — daripada sistem keahlian anda, jika berasingan daripada APZacct] ◄ ISI</t>
  </si>
  <si>
    <t xml:space="preserve">NOTA 25 — MODAL SYER DITEBUS DAN SYER BONUS DITEBUS  (GP23 perenggan 15(x))</t>
  </si>
  <si>
    <t xml:space="preserve">Kod Akaun — Modal Syer/Syer Bonus Ditebus</t>
  </si>
  <si>
    <t xml:space="preserve">NOTA 26 — AKAUN RIZAB MODAL  (GP23 perenggan 15(y))</t>
  </si>
  <si>
    <t xml:space="preserve">Kod Akaun — Akaun Rizab Modal</t>
  </si>
  <si>
    <t xml:space="preserve">NOTA 27 — AKAUN RIZAB PENILAIAN SEMULA  (GP23 perenggan 15(z))</t>
  </si>
  <si>
    <t xml:space="preserve">Kod Akaun — Akaun Rizab Penilaian Semula</t>
  </si>
  <si>
    <t xml:space="preserve">NOTA 28 — KUMPULAN WANG PENEBUSAN SYER (DAN SYER BONUS)  (GP23 perenggan 15(aa))</t>
  </si>
  <si>
    <t xml:space="preserve">Kod Akaun — Kumpulan Wang Penebusan Syer</t>
  </si>
  <si>
    <t xml:space="preserve">NOTA 29 — KUMPULAN WANG/TABUNG (ANGGOTA)  (GP23 perenggan 15(ab))</t>
  </si>
  <si>
    <t xml:space="preserve">Nama Kumpulan Wang</t>
  </si>
  <si>
    <t xml:space="preserve">[ISI — cth. Kebajikan/Pendidikan/Khairat Kematian] ◄ ISI</t>
  </si>
  <si>
    <t xml:space="preserve">Baki setiap tabung ini tidak boleh jadi negatif — semak sebelum guna.</t>
  </si>
  <si>
    <t xml:space="preserve">NOTA 30 — KUMPULAN WANG/TABUNG (BUKAN ANGGOTA)  (GP23 perenggan 15(ac))</t>
  </si>
  <si>
    <t xml:space="preserve">Kod Akaun — Kumpulan Wang/Tabung Bukan Anggota</t>
  </si>
  <si>
    <t xml:space="preserve">NOTA 31 — LAIN-LAIN LIABILITI  (GP23 perenggan 15(ad))</t>
  </si>
  <si>
    <t xml:space="preserve">Kod Akaun — Lain-lain Liabiliti</t>
  </si>
  <si>
    <t xml:space="preserve">NOTA 32 — ANALISIS PENDAPATAN DAN PERBELANJAAN MENGIKUT AKTIVITI  (GP23 perenggan 42-44)</t>
  </si>
  <si>
    <t xml:space="preserve">Isi SETIAP aktiviti perniagaan koperasi anda dengan kod Hasil dan kod Kos masing-masing; kosongkan baris untuk aktiviti tanpa kos jualan (perkhidmatan terus).</t>
  </si>
  <si>
    <t xml:space="preserve">Aktiviti</t>
  </si>
  <si>
    <t xml:space="preserve">Kod Hasil</t>
  </si>
  <si>
    <t xml:space="preserve">Kod Kos</t>
  </si>
  <si>
    <t xml:space="preserve">Jualan</t>
  </si>
  <si>
    <t xml:space="preserve">Kos Jualan</t>
  </si>
  <si>
    <t xml:space="preserve">Untung/(Rugi) Kasar</t>
  </si>
  <si>
    <t xml:space="preserve">[ISI nama aktiviti] ◄ ISI</t>
  </si>
  <si>
    <t xml:space="preserve">NOTA 33 — PERBELANJAAN LEMBAGA MENGIKUT INDIVIDU  (GP23 perenggan 47, subperaturan 31(2))</t>
  </si>
  <si>
    <t xml:space="preserve">Kod Akaun — Perbelanjaan Lembaga (untuk semakan silang)</t>
  </si>
  <si>
    <t xml:space="preserve">Nama Ahli Lembaga</t>
  </si>
  <si>
    <t xml:space="preserve">Elaun Tetap</t>
  </si>
  <si>
    <t xml:space="preserve">Elaun Mesyuarat</t>
  </si>
  <si>
    <t xml:space="preserve">Elaun Perjalanan</t>
  </si>
  <si>
    <t xml:space="preserve">Lain-lain</t>
  </si>
  <si>
    <t xml:space="preserve">Jumlah</t>
  </si>
  <si>
    <t xml:space="preserve">JUMLAH</t>
  </si>
  <si>
    <t xml:space="preserve">Semakan silang (Imbangan_Duga, kod di atas)</t>
  </si>
  <si>
    <t xml:space="preserve">Beza (sepatutnya 0 bila lengkap)</t>
  </si>
  <si>
    <t xml:space="preserve">NOTA 34 — KAEDAH PENYATA ALIRAN TUNAI  (GP23 perenggan 50-51)</t>
  </si>
  <si>
    <t xml:space="preserve">Penyata Aliran Tunai disediakan menggunakan kaedah tidak langsung (indirect method), selaras GP23 perenggan 51.</t>
  </si>
  <si>
    <t xml:space="preserve">NOTA 35 — BILANGAN PEKERJA KOPERASI  (GP23 perenggan 16(d))</t>
  </si>
  <si>
    <t xml:space="preserve">Bilangan pekerja (akhir tahun kewangan)</t>
  </si>
  <si>
    <t xml:space="preserve">NOTA 36 — LIABILITI LUAR JANGKA, KOMITMEN DAN PERISTIWA SELEPAS TARIKH KUNCI KIRA-KIRA  (GP23 perenggan 16(b))</t>
  </si>
  <si>
    <t xml:space="preserve">Butiran</t>
  </si>
  <si>
    <t xml:space="preserve">Tiada. [ISI jika ada — semak semula SETIAP tahun] ◄ ISI</t>
  </si>
  <si>
    <t xml:space="preserve">NOTA 37 — MAKLUMAT PERBANDINGAN  (GP23 perenggan 16(e))</t>
  </si>
  <si>
    <t xml:space="preserve">GP23 menghendaki angka tahun lepas ditunjukkan bersebelahan angka tahun semasa bagi SETIAP maklumat berangka. Nota-nota di atas yang menggunakan Sejarah_Baki sudah memenuhi ini secara automatik selepas tahun pertama; nota lain (jadual manual) perlu diisi dengan angka tahun lepas secara manual.</t>
  </si>
  <si>
    <t xml:space="preserve">Label</t>
  </si>
  <si>
    <t xml:space="preserve">Nilai Ditetapkan</t>
  </si>
  <si>
    <t xml:space="preserve">Nilai Digunakan</t>
  </si>
  <si>
    <t xml:space="preserve">Skeleton only — this workbook ships with no cooperative-specific values. Row numbers match APZacct's real Tetapan layout so Nota's formulas resolve once imported alongside your real Tetapan.</t>
  </si>
  <si>
    <t xml:space="preserve">ID Transaksi Baki Pembukaan</t>
  </si>
  <si>
    <t xml:space="preserve">Skeleton only — empty on purpose. In your real APZacct sheet this is formula-driven per account; Nota's formulas SUMIF straight off column A/H here.</t>
  </si>
  <si>
    <t xml:space="preserve">Baki Bersih (bertanda)</t>
  </si>
  <si>
    <t xml:space="preserve">Skeleton only — empty on purpose. This is your real ledger lines sheet once imported.</t>
  </si>
  <si>
    <t xml:space="preserve">ID</t>
  </si>
  <si>
    <t xml:space="preserve">ID Transaksi</t>
  </si>
  <si>
    <t xml:space="preserve">Debit</t>
  </si>
  <si>
    <t xml:space="preserve">Kredit</t>
  </si>
  <si>
    <t xml:space="preserve">Memo</t>
  </si>
  <si>
    <t xml:space="preserve">Tahun (baki ditutup)</t>
  </si>
  <si>
    <t xml:space="preserve">Nama Akaun</t>
  </si>
  <si>
    <t xml:space="preserve">(dicipta automatik oleh posBakiPembukaan() selepas tahun pertama — kosong sehingga itu)</t>
  </si>
  <si>
    <t xml:space="preserve">Skeleton only — columns A/B/G/H/J are what Nota's Note 4 and Note 6 read.</t>
  </si>
  <si>
    <t xml:space="preserve">Kos Asal</t>
  </si>
  <si>
    <t xml:space="preserve">Tarikh Beli</t>
  </si>
  <si>
    <t xml:space="preserve">Jangka Hayat</t>
  </si>
  <si>
    <t xml:space="preserve">Nilai Baki</t>
  </si>
  <si>
    <t xml:space="preserve">Susut Nilai Terkumpul</t>
  </si>
  <si>
    <t xml:space="preserve">Susut Nilai Tahun Ini</t>
  </si>
  <si>
    <t xml:space="preserve">Nilai Buku Bersih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</si>
</sst>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9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6" min="2" style="1" width="2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2" t="s">
        <v>3</v>
      </c>
    </row>
    <row r="6" customFormat="false" ht="15" hidden="false" customHeight="true" outlineLevel="0" collapsed="false">
      <c r="A6" s="1" t="s">
        <v>4</v>
      </c>
      <c r="B6" s="1" t="s">
        <v>5</v>
      </c>
    </row>
    <row r="7" customFormat="false" ht="15" hidden="false" customHeight="true" outlineLevel="0" collapsed="false">
      <c r="A7" s="1" t="s">
        <v>6</v>
      </c>
      <c r="B7" s="1" t="s">
        <v>5</v>
      </c>
    </row>
    <row r="8" customFormat="false" ht="15" hidden="false" customHeight="true" outlineLevel="0" collapsed="false">
      <c r="A8" s="1" t="s">
        <v>7</v>
      </c>
      <c r="B8" s="1" t="str">
        <f aca="false">IF(Tetapan!C6="","[ISI di Tetapan!C6]",Tetapan!C6)</f>
        <v>[ISI di Tetapan!C6]</v>
      </c>
    </row>
    <row r="10" customFormat="false" ht="15" hidden="false" customHeight="true" outlineLevel="0" collapsed="false">
      <c r="A10" s="2" t="s">
        <v>8</v>
      </c>
    </row>
    <row r="11" customFormat="false" ht="15" hidden="false" customHeight="true" outlineLevel="0" collapsed="false">
      <c r="A11" s="1" t="s">
        <v>9</v>
      </c>
    </row>
    <row r="13" customFormat="false" ht="15" hidden="false" customHeight="true" outlineLevel="0" collapsed="false">
      <c r="A13" s="2" t="s">
        <v>10</v>
      </c>
    </row>
    <row r="14" customFormat="false" ht="15" hidden="false" customHeight="true" outlineLevel="0" collapsed="false">
      <c r="A14" s="1" t="s">
        <v>11</v>
      </c>
      <c r="B14" s="1" t="s">
        <v>5</v>
      </c>
    </row>
    <row r="16" customFormat="false" ht="15" hidden="false" customHeight="true" outlineLevel="0" collapsed="false">
      <c r="A16" s="2" t="s">
        <v>12</v>
      </c>
    </row>
    <row r="17" customFormat="false" ht="15" hidden="false" customHeight="true" outlineLevel="0" collapsed="false">
      <c r="A17" s="1" t="s">
        <v>13</v>
      </c>
    </row>
    <row r="18" customFormat="false" ht="15" hidden="false" customHeight="true" outlineLevel="0" collapsed="false">
      <c r="A18" s="2" t="s">
        <v>14</v>
      </c>
      <c r="B18" s="2" t="s">
        <v>15</v>
      </c>
      <c r="C18" s="2" t="s">
        <v>16</v>
      </c>
      <c r="D18" s="2" t="s">
        <v>17</v>
      </c>
    </row>
    <row r="19" customFormat="false" ht="15" hidden="false" customHeight="true" outlineLevel="0" collapsed="false">
      <c r="A19" s="1" t="str">
        <f aca="false">IF(Daftar_Aset_Tetap!A5="","",Daftar_Aset_Tetap!A5)</f>
        <v/>
      </c>
      <c r="B19" s="1" t="str">
        <f aca="false">IF(Daftar_Aset_Tetap!A5="","",Daftar_Aset_Tetap!B5)</f>
        <v/>
      </c>
      <c r="C19" s="1" t="str">
        <f aca="false">IF(Daftar_Aset_Tetap!A5="","",Daftar_Aset_Tetap!G5)</f>
        <v/>
      </c>
      <c r="D19" s="1" t="str">
        <f aca="false">IF(Daftar_Aset_Tetap!A5="","",Daftar_Aset_Tetap!H5)</f>
        <v/>
      </c>
    </row>
    <row r="20" customFormat="false" ht="15" hidden="false" customHeight="true" outlineLevel="0" collapsed="false">
      <c r="A20" s="1" t="str">
        <f aca="false">IF(Daftar_Aset_Tetap!A6="","",Daftar_Aset_Tetap!A6)</f>
        <v/>
      </c>
      <c r="B20" s="1" t="str">
        <f aca="false">IF(Daftar_Aset_Tetap!A6="","",Daftar_Aset_Tetap!B6)</f>
        <v/>
      </c>
      <c r="C20" s="1" t="str">
        <f aca="false">IF(Daftar_Aset_Tetap!A6="","",Daftar_Aset_Tetap!G6)</f>
        <v/>
      </c>
      <c r="D20" s="1" t="str">
        <f aca="false">IF(Daftar_Aset_Tetap!A6="","",Daftar_Aset_Tetap!H6)</f>
        <v/>
      </c>
    </row>
    <row r="21" customFormat="false" ht="15" hidden="false" customHeight="true" outlineLevel="0" collapsed="false">
      <c r="A21" s="1" t="str">
        <f aca="false">IF(Daftar_Aset_Tetap!A7="","",Daftar_Aset_Tetap!A7)</f>
        <v/>
      </c>
      <c r="B21" s="1" t="str">
        <f aca="false">IF(Daftar_Aset_Tetap!A7="","",Daftar_Aset_Tetap!B7)</f>
        <v/>
      </c>
      <c r="C21" s="1" t="str">
        <f aca="false">IF(Daftar_Aset_Tetap!A7="","",Daftar_Aset_Tetap!G7)</f>
        <v/>
      </c>
      <c r="D21" s="1" t="str">
        <f aca="false">IF(Daftar_Aset_Tetap!A7="","",Daftar_Aset_Tetap!H7)</f>
        <v/>
      </c>
    </row>
    <row r="22" customFormat="false" ht="15" hidden="false" customHeight="true" outlineLevel="0" collapsed="false">
      <c r="A22" s="1" t="str">
        <f aca="false">IF(Daftar_Aset_Tetap!A8="","",Daftar_Aset_Tetap!A8)</f>
        <v/>
      </c>
      <c r="B22" s="1" t="str">
        <f aca="false">IF(Daftar_Aset_Tetap!A8="","",Daftar_Aset_Tetap!B8)</f>
        <v/>
      </c>
      <c r="C22" s="1" t="str">
        <f aca="false">IF(Daftar_Aset_Tetap!A8="","",Daftar_Aset_Tetap!G8)</f>
        <v/>
      </c>
      <c r="D22" s="1" t="str">
        <f aca="false">IF(Daftar_Aset_Tetap!A8="","",Daftar_Aset_Tetap!H8)</f>
        <v/>
      </c>
    </row>
    <row r="23" customFormat="false" ht="15" hidden="false" customHeight="true" outlineLevel="0" collapsed="false">
      <c r="A23" s="1" t="str">
        <f aca="false">IF(Daftar_Aset_Tetap!A9="","",Daftar_Aset_Tetap!A9)</f>
        <v/>
      </c>
      <c r="B23" s="1" t="str">
        <f aca="false">IF(Daftar_Aset_Tetap!A9="","",Daftar_Aset_Tetap!B9)</f>
        <v/>
      </c>
      <c r="C23" s="1" t="str">
        <f aca="false">IF(Daftar_Aset_Tetap!A9="","",Daftar_Aset_Tetap!G9)</f>
        <v/>
      </c>
      <c r="D23" s="1" t="str">
        <f aca="false">IF(Daftar_Aset_Tetap!A9="","",Daftar_Aset_Tetap!H9)</f>
        <v/>
      </c>
    </row>
    <row r="24" customFormat="false" ht="15" hidden="false" customHeight="true" outlineLevel="0" collapsed="false">
      <c r="A24" s="1" t="str">
        <f aca="false">IF(Daftar_Aset_Tetap!A10="","",Daftar_Aset_Tetap!A10)</f>
        <v/>
      </c>
      <c r="B24" s="1" t="str">
        <f aca="false">IF(Daftar_Aset_Tetap!A10="","",Daftar_Aset_Tetap!B10)</f>
        <v/>
      </c>
      <c r="C24" s="1" t="str">
        <f aca="false">IF(Daftar_Aset_Tetap!A10="","",Daftar_Aset_Tetap!G10)</f>
        <v/>
      </c>
      <c r="D24" s="1" t="str">
        <f aca="false">IF(Daftar_Aset_Tetap!A10="","",Daftar_Aset_Tetap!H10)</f>
        <v/>
      </c>
    </row>
    <row r="25" customFormat="false" ht="15" hidden="false" customHeight="true" outlineLevel="0" collapsed="false">
      <c r="A25" s="1" t="str">
        <f aca="false">IF(Daftar_Aset_Tetap!A11="","",Daftar_Aset_Tetap!A11)</f>
        <v/>
      </c>
      <c r="B25" s="1" t="str">
        <f aca="false">IF(Daftar_Aset_Tetap!A11="","",Daftar_Aset_Tetap!B11)</f>
        <v/>
      </c>
      <c r="C25" s="1" t="str">
        <f aca="false">IF(Daftar_Aset_Tetap!A11="","",Daftar_Aset_Tetap!G11)</f>
        <v/>
      </c>
      <c r="D25" s="1" t="str">
        <f aca="false">IF(Daftar_Aset_Tetap!A11="","",Daftar_Aset_Tetap!H11)</f>
        <v/>
      </c>
    </row>
    <row r="26" customFormat="false" ht="15" hidden="false" customHeight="true" outlineLevel="0" collapsed="false">
      <c r="A26" s="1" t="str">
        <f aca="false">IF(Daftar_Aset_Tetap!A12="","",Daftar_Aset_Tetap!A12)</f>
        <v/>
      </c>
      <c r="B26" s="1" t="str">
        <f aca="false">IF(Daftar_Aset_Tetap!A12="","",Daftar_Aset_Tetap!B12)</f>
        <v/>
      </c>
      <c r="C26" s="1" t="str">
        <f aca="false">IF(Daftar_Aset_Tetap!A12="","",Daftar_Aset_Tetap!G12)</f>
        <v/>
      </c>
      <c r="D26" s="1" t="str">
        <f aca="false">IF(Daftar_Aset_Tetap!A12="","",Daftar_Aset_Tetap!H12)</f>
        <v/>
      </c>
    </row>
    <row r="27" customFormat="false" ht="15" hidden="false" customHeight="true" outlineLevel="0" collapsed="false">
      <c r="A27" s="1" t="str">
        <f aca="false">IF(Daftar_Aset_Tetap!A13="","",Daftar_Aset_Tetap!A13)</f>
        <v/>
      </c>
      <c r="B27" s="1" t="str">
        <f aca="false">IF(Daftar_Aset_Tetap!A13="","",Daftar_Aset_Tetap!B13)</f>
        <v/>
      </c>
      <c r="C27" s="1" t="str">
        <f aca="false">IF(Daftar_Aset_Tetap!A13="","",Daftar_Aset_Tetap!G13)</f>
        <v/>
      </c>
      <c r="D27" s="1" t="str">
        <f aca="false">IF(Daftar_Aset_Tetap!A13="","",Daftar_Aset_Tetap!H13)</f>
        <v/>
      </c>
    </row>
    <row r="28" customFormat="false" ht="15" hidden="false" customHeight="true" outlineLevel="0" collapsed="false">
      <c r="A28" s="1" t="str">
        <f aca="false">IF(Daftar_Aset_Tetap!A14="","",Daftar_Aset_Tetap!A14)</f>
        <v/>
      </c>
      <c r="B28" s="1" t="str">
        <f aca="false">IF(Daftar_Aset_Tetap!A14="","",Daftar_Aset_Tetap!B14)</f>
        <v/>
      </c>
      <c r="C28" s="1" t="str">
        <f aca="false">IF(Daftar_Aset_Tetap!A14="","",Daftar_Aset_Tetap!G14)</f>
        <v/>
      </c>
      <c r="D28" s="1" t="str">
        <f aca="false">IF(Daftar_Aset_Tetap!A14="","",Daftar_Aset_Tetap!H14)</f>
        <v/>
      </c>
    </row>
    <row r="29" customFormat="false" ht="15" hidden="false" customHeight="true" outlineLevel="0" collapsed="false">
      <c r="A29" s="1" t="s">
        <v>18</v>
      </c>
      <c r="B29" s="1" t="s">
        <v>19</v>
      </c>
    </row>
    <row r="30" customFormat="false" ht="15" hidden="false" customHeight="true" outlineLevel="0" collapsed="false">
      <c r="A30" s="1" t="s">
        <v>20</v>
      </c>
      <c r="B30" s="1" t="s">
        <v>21</v>
      </c>
    </row>
    <row r="31" customFormat="false" ht="15" hidden="false" customHeight="true" outlineLevel="0" collapsed="false">
      <c r="A31" s="1" t="s">
        <v>22</v>
      </c>
      <c r="B31" s="1" t="s">
        <v>23</v>
      </c>
    </row>
    <row r="32" customFormat="false" ht="15" hidden="false" customHeight="true" outlineLevel="0" collapsed="false">
      <c r="A32" s="1" t="s">
        <v>24</v>
      </c>
      <c r="B32" s="1" t="s">
        <v>25</v>
      </c>
    </row>
    <row r="34" customFormat="false" ht="15" hidden="false" customHeight="true" outlineLevel="0" collapsed="false">
      <c r="A34" s="2" t="s">
        <v>26</v>
      </c>
    </row>
    <row r="35" customFormat="false" ht="15" hidden="false" customHeight="true" outlineLevel="0" collapsed="false">
      <c r="A35" s="1" t="s">
        <v>27</v>
      </c>
    </row>
    <row r="36" customFormat="false" ht="15" hidden="false" customHeight="true" outlineLevel="0" collapsed="false">
      <c r="A36" s="1" t="s">
        <v>28</v>
      </c>
    </row>
    <row r="38" customFormat="false" ht="15" hidden="false" customHeight="true" outlineLevel="0" collapsed="false">
      <c r="A38" s="2" t="s">
        <v>29</v>
      </c>
    </row>
    <row r="39" customFormat="false" ht="15" hidden="false" customHeight="true" outlineLevel="0" collapsed="false">
      <c r="A39" s="1" t="s">
        <v>30</v>
      </c>
      <c r="B39" s="1" t="s">
        <v>31</v>
      </c>
    </row>
    <row r="40" customFormat="false" ht="15" hidden="false" customHeight="true" outlineLevel="0" collapsed="false">
      <c r="A40" s="1" t="s">
        <v>32</v>
      </c>
      <c r="B40" s="1" t="s">
        <v>33</v>
      </c>
    </row>
    <row r="41" customFormat="false" ht="15" hidden="false" customHeight="true" outlineLevel="0" collapsed="false">
      <c r="A41" s="1" t="s">
        <v>34</v>
      </c>
      <c r="B41" s="1" t="s">
        <v>33</v>
      </c>
    </row>
    <row r="42" customFormat="false" ht="15" hidden="false" customHeight="true" outlineLevel="0" collapsed="false">
      <c r="A42" s="1" t="s">
        <v>35</v>
      </c>
      <c r="B42" s="1" t="n">
        <f aca="false">IF($B$40="","",IFERROR(SUMIF(Sejarah_Baki!$B:$B,$B$40,Sejarah_Baki!$D:$D)-SUMIF(Sejarah_Baki!$B:$B,$B$40,Sejarah_Baki!$E:$E),"[ISI—thn pertama]"))</f>
        <v>0</v>
      </c>
    </row>
    <row r="43" customFormat="false" ht="15" hidden="false" customHeight="true" outlineLevel="0" collapsed="false">
      <c r="A43" s="1" t="s">
        <v>36</v>
      </c>
      <c r="B43" s="1" t="n">
        <f aca="false">IF($B$40="",0,SUMIFS(Baris_Transaksi!$D:$D,Baris_Transaksi!$C:$C,$B$40,Baris_Transaksi!$B:$B,"&lt;&gt;"&amp;Tetapan!$C$18))</f>
        <v>0</v>
      </c>
    </row>
    <row r="44" customFormat="false" ht="15" hidden="false" customHeight="true" outlineLevel="0" collapsed="false">
      <c r="A44" s="1" t="s">
        <v>37</v>
      </c>
      <c r="B44" s="1" t="n">
        <f aca="false">IF($B$40="",0,SUMIFS(Baris_Transaksi!$E:$E,Baris_Transaksi!$C:$C,$B$40,Baris_Transaksi!$B:$B,"&lt;&gt;"&amp;Tetapan!$C$18))</f>
        <v>0</v>
      </c>
    </row>
    <row r="45" customFormat="false" ht="15" hidden="false" customHeight="true" outlineLevel="0" collapsed="false">
      <c r="A45" s="1" t="s">
        <v>38</v>
      </c>
      <c r="B45" s="1" t="n">
        <f aca="false">IF($B$40="",0,SUMIF(Imbangan_Duga!$A:$A,$B$40,Imbangan_Duga!$H:$H))</f>
        <v>0</v>
      </c>
    </row>
    <row r="46" customFormat="false" ht="15" hidden="false" customHeight="true" outlineLevel="0" collapsed="false">
      <c r="A46" s="1" t="s">
        <v>39</v>
      </c>
      <c r="B46" s="1" t="n">
        <f aca="false">IF($B$41="",0,SUMIF(Imbangan_Duga!$A:$A,$B$41,Imbangan_Duga!$H:$H))</f>
        <v>0</v>
      </c>
    </row>
    <row r="47" customFormat="false" ht="15" hidden="false" customHeight="true" outlineLevel="0" collapsed="false">
      <c r="A47" s="2" t="s">
        <v>40</v>
      </c>
      <c r="B47" s="2" t="n">
        <f aca="false">B45+B46</f>
        <v>0</v>
      </c>
    </row>
    <row r="48" customFormat="false" ht="15" hidden="false" customHeight="true" outlineLevel="0" collapsed="false">
      <c r="A48" s="3" t="s">
        <v>41</v>
      </c>
    </row>
    <row r="50" customFormat="false" ht="15" hidden="false" customHeight="true" outlineLevel="0" collapsed="false">
      <c r="A50" s="2" t="s">
        <v>42</v>
      </c>
    </row>
    <row r="51" customFormat="false" ht="15" hidden="false" customHeight="true" outlineLevel="0" collapsed="false">
      <c r="A51" s="1" t="s">
        <v>30</v>
      </c>
      <c r="B51" s="1" t="s">
        <v>31</v>
      </c>
    </row>
    <row r="52" customFormat="false" ht="15" hidden="false" customHeight="true" outlineLevel="0" collapsed="false">
      <c r="A52" s="1" t="s">
        <v>43</v>
      </c>
      <c r="B52" s="1" t="s">
        <v>33</v>
      </c>
    </row>
    <row r="53" customFormat="false" ht="15" hidden="false" customHeight="true" outlineLevel="0" collapsed="false">
      <c r="A53" s="1" t="s">
        <v>44</v>
      </c>
      <c r="B53" s="1" t="n">
        <f aca="false">IF($B$52="",0,SUMIF(Imbangan_Duga!$A:$A,$B$52,Imbangan_Duga!$H:$H))</f>
        <v>0</v>
      </c>
    </row>
    <row r="54" customFormat="false" ht="15" hidden="false" customHeight="true" outlineLevel="0" collapsed="false">
      <c r="A54" s="1" t="s">
        <v>45</v>
      </c>
      <c r="B54" s="1" t="s">
        <v>5</v>
      </c>
    </row>
    <row r="56" customFormat="false" ht="15" hidden="false" customHeight="true" outlineLevel="0" collapsed="false">
      <c r="A56" s="2" t="s">
        <v>46</v>
      </c>
    </row>
    <row r="57" customFormat="false" ht="15" hidden="false" customHeight="true" outlineLevel="0" collapsed="false">
      <c r="A57" s="1" t="s">
        <v>30</v>
      </c>
      <c r="B57" s="1" t="s">
        <v>31</v>
      </c>
    </row>
    <row r="58" customFormat="false" ht="15" hidden="false" customHeight="true" outlineLevel="0" collapsed="false">
      <c r="A58" s="1" t="s">
        <v>47</v>
      </c>
      <c r="B58" s="1" t="s">
        <v>33</v>
      </c>
    </row>
    <row r="59" customFormat="false" ht="15" hidden="false" customHeight="true" outlineLevel="0" collapsed="false">
      <c r="A59" s="1" t="s">
        <v>44</v>
      </c>
      <c r="B59" s="1" t="n">
        <f aca="false">IF($B$58="",0,SUMIF(Imbangan_Duga!$A:$A,$B$58,Imbangan_Duga!$H:$H))</f>
        <v>0</v>
      </c>
    </row>
    <row r="60" customFormat="false" ht="15" hidden="false" customHeight="true" outlineLevel="0" collapsed="false">
      <c r="A60" s="1" t="s">
        <v>48</v>
      </c>
      <c r="B60" s="1" t="s">
        <v>49</v>
      </c>
    </row>
    <row r="61" customFormat="false" ht="15" hidden="false" customHeight="true" outlineLevel="0" collapsed="false">
      <c r="A61" s="1" t="s">
        <v>50</v>
      </c>
      <c r="B61" s="1" t="s">
        <v>31</v>
      </c>
    </row>
    <row r="63" customFormat="false" ht="15" hidden="false" customHeight="true" outlineLevel="0" collapsed="false">
      <c r="A63" s="2" t="s">
        <v>51</v>
      </c>
    </row>
    <row r="64" customFormat="false" ht="15" hidden="false" customHeight="true" outlineLevel="0" collapsed="false">
      <c r="A64" s="1" t="s">
        <v>30</v>
      </c>
      <c r="B64" s="1" t="s">
        <v>31</v>
      </c>
    </row>
    <row r="65" customFormat="false" ht="15" hidden="false" customHeight="true" outlineLevel="0" collapsed="false">
      <c r="A65" s="1" t="s">
        <v>52</v>
      </c>
      <c r="B65" s="1" t="s">
        <v>33</v>
      </c>
    </row>
    <row r="66" customFormat="false" ht="15" hidden="false" customHeight="true" outlineLevel="0" collapsed="false">
      <c r="A66" s="1" t="s">
        <v>53</v>
      </c>
      <c r="B66" s="1" t="s">
        <v>33</v>
      </c>
    </row>
    <row r="67" customFormat="false" ht="15" hidden="false" customHeight="true" outlineLevel="0" collapsed="false">
      <c r="A67" s="1" t="s">
        <v>44</v>
      </c>
      <c r="B67" s="1" t="n">
        <f aca="false">IF($B$65="",0,SUMIF(Imbangan_Duga!$A:$A,$B$65,Imbangan_Duga!$H:$H))</f>
        <v>0</v>
      </c>
    </row>
    <row r="68" customFormat="false" ht="15" hidden="false" customHeight="true" outlineLevel="0" collapsed="false">
      <c r="A68" s="1" t="s">
        <v>44</v>
      </c>
      <c r="B68" s="1" t="n">
        <f aca="false">IF($B$66="",0,SUMIF(Imbangan_Duga!$A:$A,$B$66,Imbangan_Duga!$H:$H))</f>
        <v>0</v>
      </c>
    </row>
    <row r="69" customFormat="false" ht="15" hidden="false" customHeight="true" outlineLevel="0" collapsed="false">
      <c r="A69" s="1" t="s">
        <v>54</v>
      </c>
      <c r="B69" s="1" t="s">
        <v>5</v>
      </c>
    </row>
    <row r="70" customFormat="false" ht="15" hidden="false" customHeight="true" outlineLevel="0" collapsed="false">
      <c r="A70" s="1" t="s">
        <v>55</v>
      </c>
      <c r="B70" s="1" t="s">
        <v>31</v>
      </c>
    </row>
    <row r="72" customFormat="false" ht="15" hidden="false" customHeight="true" outlineLevel="0" collapsed="false">
      <c r="A72" s="2" t="s">
        <v>56</v>
      </c>
    </row>
    <row r="73" customFormat="false" ht="15" hidden="false" customHeight="true" outlineLevel="0" collapsed="false">
      <c r="A73" s="1" t="s">
        <v>30</v>
      </c>
      <c r="B73" s="1" t="s">
        <v>31</v>
      </c>
    </row>
    <row r="74" customFormat="false" ht="15" hidden="false" customHeight="true" outlineLevel="0" collapsed="false">
      <c r="A74" s="1" t="s">
        <v>57</v>
      </c>
      <c r="B74" s="1" t="s">
        <v>33</v>
      </c>
    </row>
    <row r="75" customFormat="false" ht="15" hidden="false" customHeight="true" outlineLevel="0" collapsed="false">
      <c r="A75" s="1" t="s">
        <v>44</v>
      </c>
      <c r="B75" s="1" t="n">
        <f aca="false">IF($B$74="",0,SUMIF(Imbangan_Duga!$A:$A,$B$74,Imbangan_Duga!$H:$H))</f>
        <v>0</v>
      </c>
    </row>
    <row r="76" customFormat="false" ht="15" hidden="false" customHeight="true" outlineLevel="0" collapsed="false">
      <c r="A76" s="1" t="s">
        <v>58</v>
      </c>
      <c r="B76" s="1" t="s">
        <v>5</v>
      </c>
    </row>
    <row r="78" customFormat="false" ht="15" hidden="false" customHeight="true" outlineLevel="0" collapsed="false">
      <c r="A78" s="2" t="s">
        <v>59</v>
      </c>
    </row>
    <row r="79" customFormat="false" ht="15" hidden="false" customHeight="true" outlineLevel="0" collapsed="false">
      <c r="A79" s="1" t="s">
        <v>30</v>
      </c>
      <c r="B79" s="1" t="s">
        <v>31</v>
      </c>
    </row>
    <row r="80" customFormat="false" ht="15" hidden="false" customHeight="true" outlineLevel="0" collapsed="false">
      <c r="A80" s="1" t="s">
        <v>60</v>
      </c>
      <c r="B80" s="1" t="s">
        <v>33</v>
      </c>
    </row>
    <row r="81" customFormat="false" ht="15" hidden="false" customHeight="true" outlineLevel="0" collapsed="false">
      <c r="A81" s="1" t="s">
        <v>44</v>
      </c>
      <c r="B81" s="1" t="n">
        <f aca="false">IF($B$80="",0,SUMIF(Imbangan_Duga!$A:$A,$B$80,Imbangan_Duga!$H:$H))</f>
        <v>0</v>
      </c>
    </row>
    <row r="82" customFormat="false" ht="15" hidden="false" customHeight="true" outlineLevel="0" collapsed="false">
      <c r="A82" s="1" t="s">
        <v>61</v>
      </c>
      <c r="B82" s="1" t="s">
        <v>5</v>
      </c>
    </row>
    <row r="84" customFormat="false" ht="15" hidden="false" customHeight="true" outlineLevel="0" collapsed="false">
      <c r="A84" s="2" t="s">
        <v>62</v>
      </c>
    </row>
    <row r="85" customFormat="false" ht="15" hidden="false" customHeight="true" outlineLevel="0" collapsed="false">
      <c r="A85" s="1" t="s">
        <v>30</v>
      </c>
      <c r="B85" s="1" t="s">
        <v>31</v>
      </c>
    </row>
    <row r="86" customFormat="false" ht="15" hidden="false" customHeight="true" outlineLevel="0" collapsed="false">
      <c r="A86" s="1" t="s">
        <v>63</v>
      </c>
      <c r="B86" s="1" t="s">
        <v>33</v>
      </c>
    </row>
    <row r="87" customFormat="false" ht="15" hidden="false" customHeight="true" outlineLevel="0" collapsed="false">
      <c r="A87" s="1" t="s">
        <v>44</v>
      </c>
      <c r="B87" s="1" t="n">
        <f aca="false">IF($B$86="",0,SUMIF(Imbangan_Duga!$A:$A,$B$86,Imbangan_Duga!$H:$H))</f>
        <v>0</v>
      </c>
    </row>
    <row r="88" customFormat="false" ht="15" hidden="false" customHeight="true" outlineLevel="0" collapsed="false">
      <c r="A88" s="1" t="s">
        <v>64</v>
      </c>
      <c r="B88" s="1" t="s">
        <v>5</v>
      </c>
    </row>
    <row r="90" customFormat="false" ht="15" hidden="false" customHeight="true" outlineLevel="0" collapsed="false">
      <c r="A90" s="2" t="s">
        <v>65</v>
      </c>
    </row>
    <row r="91" customFormat="false" ht="15" hidden="false" customHeight="true" outlineLevel="0" collapsed="false">
      <c r="A91" s="1" t="s">
        <v>30</v>
      </c>
      <c r="B91" s="1" t="s">
        <v>31</v>
      </c>
    </row>
    <row r="92" customFormat="false" ht="15" hidden="false" customHeight="true" outlineLevel="0" collapsed="false">
      <c r="A92" s="1" t="s">
        <v>66</v>
      </c>
      <c r="B92" s="1" t="s">
        <v>33</v>
      </c>
    </row>
    <row r="93" customFormat="false" ht="15" hidden="false" customHeight="true" outlineLevel="0" collapsed="false">
      <c r="A93" s="1" t="s">
        <v>35</v>
      </c>
      <c r="B93" s="1" t="n">
        <f aca="false">IF($B$92="","",IFERROR(SUMIF(Sejarah_Baki!$B:$B,$B$92,Sejarah_Baki!$D:$D)-SUMIF(Sejarah_Baki!$B:$B,$B$92,Sejarah_Baki!$E:$E),"[ISI—thn pertama]"))</f>
        <v>0</v>
      </c>
    </row>
    <row r="94" customFormat="false" ht="15" hidden="false" customHeight="true" outlineLevel="0" collapsed="false">
      <c r="A94" s="1" t="s">
        <v>36</v>
      </c>
      <c r="B94" s="1" t="n">
        <f aca="false">IF($B$92="",0,SUMIFS(Baris_Transaksi!$D:$D,Baris_Transaksi!$C:$C,$B$92,Baris_Transaksi!$B:$B,"&lt;&gt;"&amp;Tetapan!$C$18))</f>
        <v>0</v>
      </c>
    </row>
    <row r="95" customFormat="false" ht="15" hidden="false" customHeight="true" outlineLevel="0" collapsed="false">
      <c r="A95" s="1" t="s">
        <v>37</v>
      </c>
      <c r="B95" s="1" t="n">
        <f aca="false">IF($B$92="",0,SUMIFS(Baris_Transaksi!$E:$E,Baris_Transaksi!$C:$C,$B$92,Baris_Transaksi!$B:$B,"&lt;&gt;"&amp;Tetapan!$C$18))</f>
        <v>0</v>
      </c>
    </row>
    <row r="96" customFormat="false" ht="15" hidden="false" customHeight="true" outlineLevel="0" collapsed="false">
      <c r="A96" s="1" t="s">
        <v>38</v>
      </c>
      <c r="B96" s="1" t="n">
        <f aca="false">IF($B$92="",0,SUMIF(Imbangan_Duga!$A:$A,$B$92,Imbangan_Duga!$H:$H))</f>
        <v>0</v>
      </c>
    </row>
    <row r="97" customFormat="false" ht="15" hidden="false" customHeight="true" outlineLevel="0" collapsed="false">
      <c r="A97" s="3" t="s">
        <v>67</v>
      </c>
    </row>
    <row r="99" customFormat="false" ht="15" hidden="false" customHeight="true" outlineLevel="0" collapsed="false">
      <c r="A99" s="2" t="s">
        <v>68</v>
      </c>
    </row>
    <row r="100" customFormat="false" ht="15" hidden="false" customHeight="true" outlineLevel="0" collapsed="false">
      <c r="A100" s="1" t="s">
        <v>30</v>
      </c>
      <c r="B100" s="1" t="s">
        <v>31</v>
      </c>
    </row>
    <row r="101" customFormat="false" ht="15" hidden="false" customHeight="true" outlineLevel="0" collapsed="false">
      <c r="A101" s="1" t="s">
        <v>69</v>
      </c>
      <c r="B101" s="1" t="s">
        <v>33</v>
      </c>
    </row>
    <row r="102" customFormat="false" ht="15" hidden="false" customHeight="true" outlineLevel="0" collapsed="false">
      <c r="A102" s="1" t="s">
        <v>70</v>
      </c>
      <c r="B102" s="1" t="n">
        <f aca="false">IF($B$101="",0,SUMIF(Imbangan_Duga!$A:$A,$B$101,Imbangan_Duga!$H:$H))</f>
        <v>0</v>
      </c>
    </row>
    <row r="103" customFormat="false" ht="15" hidden="false" customHeight="true" outlineLevel="0" collapsed="false">
      <c r="A103" s="1" t="s">
        <v>71</v>
      </c>
      <c r="B103" s="1" t="s">
        <v>33</v>
      </c>
    </row>
    <row r="104" customFormat="false" ht="15" hidden="false" customHeight="true" outlineLevel="0" collapsed="false">
      <c r="A104" s="1" t="s">
        <v>35</v>
      </c>
      <c r="B104" s="1" t="n">
        <f aca="false">IF($B$103="","",IFERROR(SUMIF(Sejarah_Baki!$B:$B,$B$103,Sejarah_Baki!$D:$D)-SUMIF(Sejarah_Baki!$B:$B,$B$103,Sejarah_Baki!$E:$E),"[ISI—thn pertama]"))</f>
        <v>0</v>
      </c>
    </row>
    <row r="105" customFormat="false" ht="15" hidden="false" customHeight="true" outlineLevel="0" collapsed="false">
      <c r="A105" s="1" t="s">
        <v>36</v>
      </c>
      <c r="B105" s="1" t="n">
        <f aca="false">IF($B$103="",0,SUMIFS(Baris_Transaksi!$D:$D,Baris_Transaksi!$C:$C,$B$103,Baris_Transaksi!$B:$B,"&lt;&gt;"&amp;Tetapan!$C$18))</f>
        <v>0</v>
      </c>
    </row>
    <row r="106" customFormat="false" ht="15" hidden="false" customHeight="true" outlineLevel="0" collapsed="false">
      <c r="A106" s="1" t="s">
        <v>37</v>
      </c>
      <c r="B106" s="1" t="n">
        <f aca="false">IF($B$103="",0,SUMIFS(Baris_Transaksi!$E:$E,Baris_Transaksi!$C:$C,$B$103,Baris_Transaksi!$B:$B,"&lt;&gt;"&amp;Tetapan!$C$18))</f>
        <v>0</v>
      </c>
    </row>
    <row r="107" customFormat="false" ht="15" hidden="false" customHeight="true" outlineLevel="0" collapsed="false">
      <c r="A107" s="1" t="s">
        <v>38</v>
      </c>
      <c r="B107" s="1" t="n">
        <f aca="false">IF($B$103="",0,SUMIF(Imbangan_Duga!$A:$A,$B$103,Imbangan_Duga!$H:$H))</f>
        <v>0</v>
      </c>
    </row>
    <row r="109" customFormat="false" ht="15" hidden="false" customHeight="true" outlineLevel="0" collapsed="false">
      <c r="A109" s="2" t="s">
        <v>72</v>
      </c>
    </row>
    <row r="110" customFormat="false" ht="15" hidden="false" customHeight="true" outlineLevel="0" collapsed="false">
      <c r="A110" s="1" t="s">
        <v>30</v>
      </c>
      <c r="B110" s="1" t="s">
        <v>31</v>
      </c>
    </row>
    <row r="111" customFormat="false" ht="15" hidden="false" customHeight="true" outlineLevel="0" collapsed="false">
      <c r="A111" s="2" t="s">
        <v>73</v>
      </c>
      <c r="B111" s="2" t="s">
        <v>74</v>
      </c>
      <c r="C111" s="2" t="s">
        <v>75</v>
      </c>
    </row>
    <row r="112" customFormat="false" ht="15" hidden="false" customHeight="true" outlineLevel="0" collapsed="false">
      <c r="A112" s="1" t="s">
        <v>76</v>
      </c>
      <c r="B112" s="1" t="s">
        <v>77</v>
      </c>
      <c r="C112" s="1" t="n">
        <f aca="false">IF(B112="",0,SUMIF(Imbangan_Duga!$A:$A,B112,Imbangan_Duga!$H:$H))</f>
        <v>0</v>
      </c>
    </row>
    <row r="113" customFormat="false" ht="15" hidden="false" customHeight="true" outlineLevel="0" collapsed="false">
      <c r="C113" s="1" t="n">
        <f aca="false">IF(B113="",0,SUMIF(Imbangan_Duga!$A:$A,B113,Imbangan_Duga!$H:$H))</f>
        <v>0</v>
      </c>
    </row>
    <row r="114" customFormat="false" ht="15" hidden="false" customHeight="true" outlineLevel="0" collapsed="false">
      <c r="C114" s="1" t="n">
        <f aca="false">IF(B114="",0,SUMIF(Imbangan_Duga!$A:$A,B114,Imbangan_Duga!$H:$H))</f>
        <v>0</v>
      </c>
    </row>
    <row r="115" customFormat="false" ht="15" hidden="false" customHeight="true" outlineLevel="0" collapsed="false">
      <c r="C115" s="1" t="n">
        <f aca="false">IF(B115="",0,SUMIF(Imbangan_Duga!$A:$A,B115,Imbangan_Duga!$H:$H))</f>
        <v>0</v>
      </c>
    </row>
    <row r="116" customFormat="false" ht="15" hidden="false" customHeight="true" outlineLevel="0" collapsed="false">
      <c r="A116" s="1" t="s">
        <v>78</v>
      </c>
      <c r="B116" s="1" t="s">
        <v>79</v>
      </c>
    </row>
    <row r="118" customFormat="false" ht="15" hidden="false" customHeight="true" outlineLevel="0" collapsed="false">
      <c r="A118" s="2" t="s">
        <v>80</v>
      </c>
    </row>
    <row r="119" customFormat="false" ht="15" hidden="false" customHeight="true" outlineLevel="0" collapsed="false">
      <c r="A119" s="1" t="s">
        <v>30</v>
      </c>
      <c r="B119" s="1" t="s">
        <v>31</v>
      </c>
    </row>
    <row r="120" customFormat="false" ht="15" hidden="false" customHeight="true" outlineLevel="0" collapsed="false">
      <c r="A120" s="1" t="s">
        <v>81</v>
      </c>
      <c r="B120" s="1" t="s">
        <v>33</v>
      </c>
    </row>
    <row r="121" customFormat="false" ht="15" hidden="false" customHeight="true" outlineLevel="0" collapsed="false">
      <c r="A121" s="1" t="s">
        <v>82</v>
      </c>
      <c r="B121" s="1" t="s">
        <v>33</v>
      </c>
    </row>
    <row r="122" customFormat="false" ht="15" hidden="false" customHeight="true" outlineLevel="0" collapsed="false">
      <c r="A122" s="1" t="s">
        <v>35</v>
      </c>
      <c r="B122" s="1" t="n">
        <f aca="false">IF($B$120="","",IFERROR(SUMIF(Sejarah_Baki!$B:$B,$B$120,Sejarah_Baki!$D:$D)-SUMIF(Sejarah_Baki!$B:$B,$B$120,Sejarah_Baki!$E:$E),"[ISI—thn pertama]"))</f>
        <v>0</v>
      </c>
    </row>
    <row r="123" customFormat="false" ht="15" hidden="false" customHeight="true" outlineLevel="0" collapsed="false">
      <c r="A123" s="1" t="s">
        <v>36</v>
      </c>
      <c r="B123" s="1" t="n">
        <f aca="false">IF($B$120="",0,SUMIFS(Baris_Transaksi!$D:$D,Baris_Transaksi!$C:$C,$B$120,Baris_Transaksi!$B:$B,"&lt;&gt;"&amp;Tetapan!$C$18))</f>
        <v>0</v>
      </c>
    </row>
    <row r="124" customFormat="false" ht="15" hidden="false" customHeight="true" outlineLevel="0" collapsed="false">
      <c r="A124" s="1" t="s">
        <v>37</v>
      </c>
      <c r="B124" s="1" t="n">
        <f aca="false">IF($B$120="",0,SUMIFS(Baris_Transaksi!$E:$E,Baris_Transaksi!$C:$C,$B$120,Baris_Transaksi!$B:$B,"&lt;&gt;"&amp;Tetapan!$C$18))</f>
        <v>0</v>
      </c>
    </row>
    <row r="125" customFormat="false" ht="15" hidden="false" customHeight="true" outlineLevel="0" collapsed="false">
      <c r="A125" s="1" t="s">
        <v>38</v>
      </c>
      <c r="B125" s="1" t="n">
        <f aca="false">IF($B$120="",0,SUMIF(Imbangan_Duga!$A:$A,$B$120,Imbangan_Duga!$H:$H))</f>
        <v>0</v>
      </c>
    </row>
    <row r="126" customFormat="false" ht="15" hidden="false" customHeight="true" outlineLevel="0" collapsed="false">
      <c r="A126" s="1" t="s">
        <v>83</v>
      </c>
      <c r="B126" s="1" t="n">
        <f aca="false">IF($B$121="",0,SUMIF(Imbangan_Duga!$A:$A,$B$121,Imbangan_Duga!$H:$H))</f>
        <v>0</v>
      </c>
    </row>
    <row r="127" customFormat="false" ht="15" hidden="false" customHeight="true" outlineLevel="0" collapsed="false">
      <c r="A127" s="2" t="s">
        <v>40</v>
      </c>
      <c r="B127" s="2" t="n">
        <f aca="false">B125+B126</f>
        <v>0</v>
      </c>
    </row>
    <row r="128" customFormat="false" ht="15" hidden="false" customHeight="true" outlineLevel="0" collapsed="false">
      <c r="A128" s="3" t="s">
        <v>84</v>
      </c>
    </row>
    <row r="130" customFormat="false" ht="15" hidden="false" customHeight="true" outlineLevel="0" collapsed="false">
      <c r="A130" s="2" t="s">
        <v>85</v>
      </c>
    </row>
    <row r="131" customFormat="false" ht="15" hidden="false" customHeight="true" outlineLevel="0" collapsed="false">
      <c r="A131" s="1" t="s">
        <v>30</v>
      </c>
      <c r="B131" s="1" t="s">
        <v>31</v>
      </c>
    </row>
    <row r="132" customFormat="false" ht="15" hidden="false" customHeight="true" outlineLevel="0" collapsed="false">
      <c r="A132" s="2" t="s">
        <v>86</v>
      </c>
      <c r="B132" s="2" t="s">
        <v>74</v>
      </c>
      <c r="C132" s="2" t="s">
        <v>75</v>
      </c>
    </row>
    <row r="133" customFormat="false" ht="15" hidden="false" customHeight="true" outlineLevel="0" collapsed="false">
      <c r="A133" s="1" t="s">
        <v>5</v>
      </c>
      <c r="B133" s="1" t="s">
        <v>77</v>
      </c>
      <c r="C133" s="1" t="n">
        <f aca="false">IF(B133="",0,SUMIF(Imbangan_Duga!$A:$A,B133,Imbangan_Duga!$H:$H))</f>
        <v>0</v>
      </c>
    </row>
    <row r="134" customFormat="false" ht="15" hidden="false" customHeight="true" outlineLevel="0" collapsed="false">
      <c r="C134" s="1" t="n">
        <f aca="false">IF(B134="",0,SUMIF(Imbangan_Duga!$A:$A,B134,Imbangan_Duga!$H:$H))</f>
        <v>0</v>
      </c>
    </row>
    <row r="135" customFormat="false" ht="15" hidden="false" customHeight="true" outlineLevel="0" collapsed="false">
      <c r="C135" s="1" t="n">
        <f aca="false">IF(B135="",0,SUMIF(Imbangan_Duga!$A:$A,B135,Imbangan_Duga!$H:$H))</f>
        <v>0</v>
      </c>
    </row>
    <row r="136" customFormat="false" ht="15" hidden="false" customHeight="true" outlineLevel="0" collapsed="false">
      <c r="C136" s="1" t="n">
        <f aca="false">IF(B136="",0,SUMIF(Imbangan_Duga!$A:$A,B136,Imbangan_Duga!$H:$H))</f>
        <v>0</v>
      </c>
    </row>
    <row r="137" customFormat="false" ht="15" hidden="false" customHeight="true" outlineLevel="0" collapsed="false">
      <c r="C137" s="1" t="n">
        <f aca="false">IF(B137="",0,SUMIF(Imbangan_Duga!$A:$A,B137,Imbangan_Duga!$H:$H))</f>
        <v>0</v>
      </c>
    </row>
    <row r="138" customFormat="false" ht="15" hidden="false" customHeight="true" outlineLevel="0" collapsed="false">
      <c r="A138" s="1" t="s">
        <v>87</v>
      </c>
      <c r="B138" s="1" t="s">
        <v>88</v>
      </c>
    </row>
    <row r="140" customFormat="false" ht="15" hidden="false" customHeight="true" outlineLevel="0" collapsed="false">
      <c r="A140" s="2" t="s">
        <v>89</v>
      </c>
    </row>
    <row r="141" customFormat="false" ht="15" hidden="false" customHeight="true" outlineLevel="0" collapsed="false">
      <c r="A141" s="1" t="s">
        <v>30</v>
      </c>
      <c r="B141" s="1" t="s">
        <v>31</v>
      </c>
    </row>
    <row r="142" customFormat="false" ht="15" hidden="false" customHeight="true" outlineLevel="0" collapsed="false">
      <c r="A142" s="1" t="s">
        <v>90</v>
      </c>
      <c r="B142" s="1" t="s">
        <v>33</v>
      </c>
    </row>
    <row r="143" customFormat="false" ht="15" hidden="false" customHeight="true" outlineLevel="0" collapsed="false">
      <c r="A143" s="1" t="s">
        <v>35</v>
      </c>
      <c r="B143" s="1" t="n">
        <f aca="false">IF($B$142="","",IFERROR(SUMIF(Sejarah_Baki!$B:$B,$B$142,Sejarah_Baki!$D:$D)-SUMIF(Sejarah_Baki!$B:$B,$B$142,Sejarah_Baki!$E:$E),"[ISI—thn pertama]"))</f>
        <v>0</v>
      </c>
    </row>
    <row r="144" customFormat="false" ht="15" hidden="false" customHeight="true" outlineLevel="0" collapsed="false">
      <c r="A144" s="1" t="s">
        <v>36</v>
      </c>
      <c r="B144" s="1" t="n">
        <f aca="false">IF($B$142="",0,SUMIFS(Baris_Transaksi!$D:$D,Baris_Transaksi!$C:$C,$B$142,Baris_Transaksi!$B:$B,"&lt;&gt;"&amp;Tetapan!$C$18))</f>
        <v>0</v>
      </c>
    </row>
    <row r="145" customFormat="false" ht="15" hidden="false" customHeight="true" outlineLevel="0" collapsed="false">
      <c r="A145" s="1" t="s">
        <v>37</v>
      </c>
      <c r="B145" s="1" t="n">
        <f aca="false">IF($B$142="",0,SUMIFS(Baris_Transaksi!$E:$E,Baris_Transaksi!$C:$C,$B$142,Baris_Transaksi!$B:$B,"&lt;&gt;"&amp;Tetapan!$C$18))</f>
        <v>0</v>
      </c>
    </row>
    <row r="146" customFormat="false" ht="15" hidden="false" customHeight="true" outlineLevel="0" collapsed="false">
      <c r="A146" s="1" t="s">
        <v>38</v>
      </c>
      <c r="B146" s="1" t="n">
        <f aca="false">IF($B$142="",0,SUMIF(Imbangan_Duga!$A:$A,$B$142,Imbangan_Duga!$H:$H))</f>
        <v>0</v>
      </c>
    </row>
    <row r="147" customFormat="false" ht="15" hidden="false" customHeight="true" outlineLevel="0" collapsed="false">
      <c r="A147" s="1" t="s">
        <v>91</v>
      </c>
      <c r="B147" s="1" t="s">
        <v>5</v>
      </c>
    </row>
    <row r="149" customFormat="false" ht="15" hidden="false" customHeight="true" outlineLevel="0" collapsed="false">
      <c r="A149" s="2" t="s">
        <v>92</v>
      </c>
    </row>
    <row r="150" customFormat="false" ht="15" hidden="false" customHeight="true" outlineLevel="0" collapsed="false">
      <c r="A150" s="1" t="s">
        <v>30</v>
      </c>
      <c r="B150" s="1" t="s">
        <v>31</v>
      </c>
    </row>
    <row r="151" customFormat="false" ht="15" hidden="false" customHeight="true" outlineLevel="0" collapsed="false">
      <c r="A151" s="1" t="s">
        <v>93</v>
      </c>
      <c r="B151" s="1" t="s">
        <v>33</v>
      </c>
    </row>
    <row r="152" customFormat="false" ht="15" hidden="false" customHeight="true" outlineLevel="0" collapsed="false">
      <c r="A152" s="1" t="s">
        <v>35</v>
      </c>
      <c r="B152" s="1" t="n">
        <f aca="false">IF($B$151="","",IFERROR(SUMIF(Sejarah_Baki!$B:$B,$B$151,Sejarah_Baki!$D:$D)-SUMIF(Sejarah_Baki!$B:$B,$B$151,Sejarah_Baki!$E:$E),"[ISI—thn pertama]"))</f>
        <v>0</v>
      </c>
    </row>
    <row r="153" customFormat="false" ht="15" hidden="false" customHeight="true" outlineLevel="0" collapsed="false">
      <c r="A153" s="1" t="s">
        <v>36</v>
      </c>
      <c r="B153" s="1" t="n">
        <f aca="false">IF($B$151="",0,SUMIFS(Baris_Transaksi!$D:$D,Baris_Transaksi!$C:$C,$B$151,Baris_Transaksi!$B:$B,"&lt;&gt;"&amp;Tetapan!$C$18))</f>
        <v>0</v>
      </c>
    </row>
    <row r="154" customFormat="false" ht="15" hidden="false" customHeight="true" outlineLevel="0" collapsed="false">
      <c r="A154" s="1" t="s">
        <v>37</v>
      </c>
      <c r="B154" s="1" t="n">
        <f aca="false">IF($B$151="",0,SUMIFS(Baris_Transaksi!$E:$E,Baris_Transaksi!$C:$C,$B$151,Baris_Transaksi!$B:$B,"&lt;&gt;"&amp;Tetapan!$C$18))</f>
        <v>0</v>
      </c>
    </row>
    <row r="155" customFormat="false" ht="15" hidden="false" customHeight="true" outlineLevel="0" collapsed="false">
      <c r="A155" s="1" t="s">
        <v>38</v>
      </c>
      <c r="B155" s="1" t="n">
        <f aca="false">IF($B$151="",0,SUMIF(Imbangan_Duga!$A:$A,$B$151,Imbangan_Duga!$H:$H))</f>
        <v>0</v>
      </c>
    </row>
    <row r="156" customFormat="false" ht="15" hidden="false" customHeight="true" outlineLevel="0" collapsed="false">
      <c r="A156" s="1" t="s">
        <v>94</v>
      </c>
      <c r="B156" s="1" t="s">
        <v>5</v>
      </c>
    </row>
    <row r="157" customFormat="false" ht="15" hidden="false" customHeight="true" outlineLevel="0" collapsed="false">
      <c r="A157" s="1" t="s">
        <v>95</v>
      </c>
      <c r="B157" s="1" t="s">
        <v>31</v>
      </c>
    </row>
    <row r="159" customFormat="false" ht="15" hidden="false" customHeight="true" outlineLevel="0" collapsed="false">
      <c r="A159" s="2" t="s">
        <v>96</v>
      </c>
    </row>
    <row r="160" customFormat="false" ht="15" hidden="false" customHeight="true" outlineLevel="0" collapsed="false">
      <c r="A160" s="1" t="s">
        <v>30</v>
      </c>
      <c r="B160" s="1" t="s">
        <v>31</v>
      </c>
    </row>
    <row r="161" customFormat="false" ht="15" hidden="false" customHeight="true" outlineLevel="0" collapsed="false">
      <c r="A161" s="2" t="s">
        <v>97</v>
      </c>
      <c r="B161" s="2" t="s">
        <v>74</v>
      </c>
      <c r="C161" s="2" t="s">
        <v>98</v>
      </c>
      <c r="D161" s="2" t="s">
        <v>99</v>
      </c>
      <c r="E161" s="2" t="s">
        <v>100</v>
      </c>
      <c r="F161" s="2" t="s">
        <v>101</v>
      </c>
    </row>
    <row r="162" customFormat="false" ht="15" hidden="false" customHeight="true" outlineLevel="0" collapsed="false">
      <c r="A162" s="1" t="s">
        <v>102</v>
      </c>
      <c r="B162" s="1" t="s">
        <v>77</v>
      </c>
      <c r="C162" s="1" t="n">
        <f aca="false">IF($B$162="","",IFERROR(SUMIF(Sejarah_Baki!$B:$B,$B$162,Sejarah_Baki!$D:$D)-SUMIF(Sejarah_Baki!$B:$B,$B$162,Sejarah_Baki!$E:$E),"[ISI]"))</f>
        <v>0</v>
      </c>
      <c r="D162" s="1" t="n">
        <f aca="false">IF($B$162="",0,SUMIFS(Baris_Transaksi!$E:$E,Baris_Transaksi!$C:$C,$B$162,Baris_Transaksi!$B:$B,"&lt;&gt;"&amp;Tetapan!$C$18))</f>
        <v>0</v>
      </c>
      <c r="E162" s="1" t="n">
        <f aca="false">IF($B$162="",0,SUMIFS(Baris_Transaksi!$D:$D,Baris_Transaksi!$C:$C,$B$162,Baris_Transaksi!$B:$B,"&lt;&gt;"&amp;Tetapan!$C$18))</f>
        <v>0</v>
      </c>
      <c r="F162" s="1" t="n">
        <f aca="false">IF($B$162="",0,SUMIF(Imbangan_Duga!$A:$A,$B$162,Imbangan_Duga!$H:$H))</f>
        <v>0</v>
      </c>
    </row>
    <row r="163" customFormat="false" ht="15" hidden="false" customHeight="true" outlineLevel="0" collapsed="false">
      <c r="A163" s="1" t="s">
        <v>103</v>
      </c>
      <c r="B163" s="1" t="s">
        <v>77</v>
      </c>
      <c r="C163" s="1" t="n">
        <f aca="false">IF($B$163="","",IFERROR(SUMIF(Sejarah_Baki!$B:$B,$B$163,Sejarah_Baki!$D:$D)-SUMIF(Sejarah_Baki!$B:$B,$B$163,Sejarah_Baki!$E:$E),"[ISI]"))</f>
        <v>0</v>
      </c>
      <c r="D163" s="1" t="n">
        <f aca="false">IF($B$163="",0,SUMIFS(Baris_Transaksi!$E:$E,Baris_Transaksi!$C:$C,$B$163,Baris_Transaksi!$B:$B,"&lt;&gt;"&amp;Tetapan!$C$18))</f>
        <v>0</v>
      </c>
      <c r="E163" s="1" t="n">
        <f aca="false">IF($B$163="",0,SUMIFS(Baris_Transaksi!$D:$D,Baris_Transaksi!$C:$C,$B$163,Baris_Transaksi!$B:$B,"&lt;&gt;"&amp;Tetapan!$C$18))</f>
        <v>0</v>
      </c>
      <c r="F163" s="1" t="n">
        <f aca="false">IF($B$163="",0,SUMIF(Imbangan_Duga!$A:$A,$B$163,Imbangan_Duga!$H:$H))</f>
        <v>0</v>
      </c>
    </row>
    <row r="164" customFormat="false" ht="15" hidden="false" customHeight="true" outlineLevel="0" collapsed="false">
      <c r="A164" s="1" t="s">
        <v>104</v>
      </c>
      <c r="B164" s="1" t="s">
        <v>77</v>
      </c>
      <c r="C164" s="1" t="n">
        <f aca="false">IF($B$164="","",IFERROR(SUMIF(Sejarah_Baki!$B:$B,$B$164,Sejarah_Baki!$D:$D)-SUMIF(Sejarah_Baki!$B:$B,$B$164,Sejarah_Baki!$E:$E),"[ISI]"))</f>
        <v>0</v>
      </c>
      <c r="D164" s="1" t="n">
        <f aca="false">IF($B$164="",0,SUMIFS(Baris_Transaksi!$E:$E,Baris_Transaksi!$C:$C,$B$164,Baris_Transaksi!$B:$B,"&lt;&gt;"&amp;Tetapan!$C$18))</f>
        <v>0</v>
      </c>
      <c r="E164" s="1" t="n">
        <f aca="false">IF($B$164="",0,SUMIFS(Baris_Transaksi!$D:$D,Baris_Transaksi!$C:$C,$B$164,Baris_Transaksi!$B:$B,"&lt;&gt;"&amp;Tetapan!$C$18))</f>
        <v>0</v>
      </c>
      <c r="F164" s="1" t="n">
        <f aca="false">IF($B$164="",0,SUMIF(Imbangan_Duga!$A:$A,$B$164,Imbangan_Duga!$H:$H))</f>
        <v>0</v>
      </c>
    </row>
    <row r="165" customFormat="false" ht="15" hidden="false" customHeight="true" outlineLevel="0" collapsed="false">
      <c r="A165" s="1" t="s">
        <v>105</v>
      </c>
      <c r="B165" s="1" t="s">
        <v>77</v>
      </c>
      <c r="C165" s="1" t="n">
        <f aca="false">IF($B$165="","",IFERROR(SUMIF(Sejarah_Baki!$B:$B,$B$165,Sejarah_Baki!$D:$D)-SUMIF(Sejarah_Baki!$B:$B,$B$165,Sejarah_Baki!$E:$E),"[ISI]"))</f>
        <v>0</v>
      </c>
      <c r="D165" s="1" t="n">
        <f aca="false">IF($B$165="",0,SUMIFS(Baris_Transaksi!$E:$E,Baris_Transaksi!$C:$C,$B$165,Baris_Transaksi!$B:$B,"&lt;&gt;"&amp;Tetapan!$C$18))</f>
        <v>0</v>
      </c>
      <c r="E165" s="1" t="n">
        <f aca="false">IF($B$165="",0,SUMIFS(Baris_Transaksi!$D:$D,Baris_Transaksi!$C:$C,$B$165,Baris_Transaksi!$B:$B,"&lt;&gt;"&amp;Tetapan!$C$18))</f>
        <v>0</v>
      </c>
      <c r="F165" s="1" t="n">
        <f aca="false">IF($B$165="",0,SUMIF(Imbangan_Duga!$A:$A,$B$165,Imbangan_Duga!$H:$H))</f>
        <v>0</v>
      </c>
    </row>
    <row r="166" customFormat="false" ht="15" hidden="false" customHeight="true" outlineLevel="0" collapsed="false">
      <c r="A166" s="1" t="s">
        <v>106</v>
      </c>
      <c r="B166" s="1" t="s">
        <v>77</v>
      </c>
      <c r="C166" s="1" t="n">
        <f aca="false">IF($B$166="","",IFERROR(SUMIF(Sejarah_Baki!$B:$B,$B$166,Sejarah_Baki!$D:$D)-SUMIF(Sejarah_Baki!$B:$B,$B$166,Sejarah_Baki!$E:$E),"[ISI]"))</f>
        <v>0</v>
      </c>
      <c r="D166" s="1" t="n">
        <f aca="false">IF($B$166="",0,SUMIFS(Baris_Transaksi!$E:$E,Baris_Transaksi!$C:$C,$B$166,Baris_Transaksi!$B:$B,"&lt;&gt;"&amp;Tetapan!$C$18))</f>
        <v>0</v>
      </c>
      <c r="E166" s="1" t="n">
        <f aca="false">IF($B$166="",0,SUMIFS(Baris_Transaksi!$D:$D,Baris_Transaksi!$C:$C,$B$166,Baris_Transaksi!$B:$B,"&lt;&gt;"&amp;Tetapan!$C$18))</f>
        <v>0</v>
      </c>
      <c r="F166" s="1" t="n">
        <f aca="false">IF($B$166="",0,SUMIF(Imbangan_Duga!$A:$A,$B$166,Imbangan_Duga!$H:$H))</f>
        <v>0</v>
      </c>
    </row>
    <row r="167" customFormat="false" ht="15" hidden="false" customHeight="true" outlineLevel="0" collapsed="false">
      <c r="A167" s="1" t="s">
        <v>107</v>
      </c>
      <c r="B167" s="1" t="s">
        <v>77</v>
      </c>
      <c r="C167" s="1" t="n">
        <f aca="false">IF($B$167="","",IFERROR(SUMIF(Sejarah_Baki!$B:$B,$B$167,Sejarah_Baki!$D:$D)-SUMIF(Sejarah_Baki!$B:$B,$B$167,Sejarah_Baki!$E:$E),"[ISI]"))</f>
        <v>0</v>
      </c>
      <c r="D167" s="1" t="n">
        <f aca="false">IF($B$167="",0,SUMIFS(Baris_Transaksi!$E:$E,Baris_Transaksi!$C:$C,$B$167,Baris_Transaksi!$B:$B,"&lt;&gt;"&amp;Tetapan!$C$18))</f>
        <v>0</v>
      </c>
      <c r="E167" s="1" t="n">
        <f aca="false">IF($B$167="",0,SUMIFS(Baris_Transaksi!$D:$D,Baris_Transaksi!$C:$C,$B$167,Baris_Transaksi!$B:$B,"&lt;&gt;"&amp;Tetapan!$C$18))</f>
        <v>0</v>
      </c>
      <c r="F167" s="1" t="n">
        <f aca="false">IF($B$167="",0,SUMIF(Imbangan_Duga!$A:$A,$B$167,Imbangan_Duga!$H:$H))</f>
        <v>0</v>
      </c>
    </row>
    <row r="168" customFormat="false" ht="15" hidden="false" customHeight="true" outlineLevel="0" collapsed="false">
      <c r="A168" s="1" t="s">
        <v>108</v>
      </c>
      <c r="B168" s="1" t="s">
        <v>77</v>
      </c>
      <c r="C168" s="1" t="n">
        <f aca="false">IF($B$168="","",IFERROR(SUMIF(Sejarah_Baki!$B:$B,$B$168,Sejarah_Baki!$D:$D)-SUMIF(Sejarah_Baki!$B:$B,$B$168,Sejarah_Baki!$E:$E),"[ISI]"))</f>
        <v>0</v>
      </c>
      <c r="D168" s="1" t="n">
        <f aca="false">IF($B$168="",0,SUMIFS(Baris_Transaksi!$E:$E,Baris_Transaksi!$C:$C,$B$168,Baris_Transaksi!$B:$B,"&lt;&gt;"&amp;Tetapan!$C$18))</f>
        <v>0</v>
      </c>
      <c r="E168" s="1" t="n">
        <f aca="false">IF($B$168="",0,SUMIFS(Baris_Transaksi!$D:$D,Baris_Transaksi!$C:$C,$B$168,Baris_Transaksi!$B:$B,"&lt;&gt;"&amp;Tetapan!$C$18))</f>
        <v>0</v>
      </c>
      <c r="F168" s="1" t="n">
        <f aca="false">IF($B$168="",0,SUMIF(Imbangan_Duga!$A:$A,$B$168,Imbangan_Duga!$H:$H))</f>
        <v>0</v>
      </c>
    </row>
    <row r="170" customFormat="false" ht="15" hidden="false" customHeight="true" outlineLevel="0" collapsed="false">
      <c r="A170" s="2" t="s">
        <v>109</v>
      </c>
    </row>
    <row r="171" customFormat="false" ht="15" hidden="false" customHeight="true" outlineLevel="0" collapsed="false">
      <c r="A171" s="1" t="s">
        <v>30</v>
      </c>
      <c r="B171" s="1" t="s">
        <v>31</v>
      </c>
    </row>
    <row r="172" customFormat="false" ht="15" hidden="false" customHeight="true" outlineLevel="0" collapsed="false">
      <c r="A172" s="1" t="s">
        <v>110</v>
      </c>
      <c r="B172" s="1" t="s">
        <v>33</v>
      </c>
    </row>
    <row r="173" customFormat="false" ht="15" hidden="false" customHeight="true" outlineLevel="0" collapsed="false">
      <c r="A173" s="1" t="s">
        <v>44</v>
      </c>
      <c r="B173" s="1" t="n">
        <f aca="false">IF($B$172="",0,SUMIF(Imbangan_Duga!$A:$A,$B$172,Imbangan_Duga!$H:$H))</f>
        <v>0</v>
      </c>
    </row>
    <row r="175" customFormat="false" ht="15" hidden="false" customHeight="true" outlineLevel="0" collapsed="false">
      <c r="A175" s="2" t="s">
        <v>111</v>
      </c>
    </row>
    <row r="176" customFormat="false" ht="15" hidden="false" customHeight="true" outlineLevel="0" collapsed="false">
      <c r="A176" s="1" t="s">
        <v>30</v>
      </c>
      <c r="B176" s="1" t="s">
        <v>31</v>
      </c>
    </row>
    <row r="177" customFormat="false" ht="15" hidden="false" customHeight="true" outlineLevel="0" collapsed="false">
      <c r="A177" s="1" t="s">
        <v>112</v>
      </c>
      <c r="B177" s="1" t="s">
        <v>33</v>
      </c>
    </row>
    <row r="178" customFormat="false" ht="15" hidden="false" customHeight="true" outlineLevel="0" collapsed="false">
      <c r="A178" s="1" t="s">
        <v>35</v>
      </c>
      <c r="B178" s="1" t="n">
        <f aca="false">IF($B$177="","",IFERROR(SUMIF(Sejarah_Baki!$B:$B,$B$177,Sejarah_Baki!$D:$D)-SUMIF(Sejarah_Baki!$B:$B,$B$177,Sejarah_Baki!$E:$E),"[ISI—thn pertama]"))</f>
        <v>0</v>
      </c>
    </row>
    <row r="179" customFormat="false" ht="15" hidden="false" customHeight="true" outlineLevel="0" collapsed="false">
      <c r="A179" s="1" t="s">
        <v>36</v>
      </c>
      <c r="B179" s="1" t="n">
        <f aca="false">IF($B$177="",0,SUMIFS(Baris_Transaksi!$D:$D,Baris_Transaksi!$C:$C,$B$177,Baris_Transaksi!$B:$B,"&lt;&gt;"&amp;Tetapan!$C$18))</f>
        <v>0</v>
      </c>
    </row>
    <row r="180" customFormat="false" ht="15" hidden="false" customHeight="true" outlineLevel="0" collapsed="false">
      <c r="A180" s="1" t="s">
        <v>37</v>
      </c>
      <c r="B180" s="1" t="n">
        <f aca="false">IF($B$177="",0,SUMIFS(Baris_Transaksi!$E:$E,Baris_Transaksi!$C:$C,$B$177,Baris_Transaksi!$B:$B,"&lt;&gt;"&amp;Tetapan!$C$18))</f>
        <v>0</v>
      </c>
    </row>
    <row r="181" customFormat="false" ht="15" hidden="false" customHeight="true" outlineLevel="0" collapsed="false">
      <c r="A181" s="1" t="s">
        <v>38</v>
      </c>
      <c r="B181" s="1" t="n">
        <f aca="false">IF($B$177="",0,SUMIF(Imbangan_Duga!$A:$A,$B$177,Imbangan_Duga!$H:$H))</f>
        <v>0</v>
      </c>
    </row>
    <row r="183" customFormat="false" ht="15" hidden="false" customHeight="true" outlineLevel="0" collapsed="false">
      <c r="A183" s="2" t="s">
        <v>113</v>
      </c>
    </row>
    <row r="184" customFormat="false" ht="15" hidden="false" customHeight="true" outlineLevel="0" collapsed="false">
      <c r="A184" s="1" t="s">
        <v>30</v>
      </c>
      <c r="B184" s="1" t="s">
        <v>31</v>
      </c>
    </row>
    <row r="185" customFormat="false" ht="15" hidden="false" customHeight="true" outlineLevel="0" collapsed="false">
      <c r="A185" s="1" t="s">
        <v>114</v>
      </c>
      <c r="B185" s="1" t="s">
        <v>33</v>
      </c>
    </row>
    <row r="186" customFormat="false" ht="15" hidden="false" customHeight="true" outlineLevel="0" collapsed="false">
      <c r="A186" s="1" t="s">
        <v>44</v>
      </c>
      <c r="B186" s="1" t="n">
        <f aca="false">IF($B$185="",0,SUMIF(Imbangan_Duga!$A:$A,$B$185,Imbangan_Duga!$H:$H))</f>
        <v>0</v>
      </c>
    </row>
    <row r="187" customFormat="false" ht="15" hidden="false" customHeight="true" outlineLevel="0" collapsed="false">
      <c r="A187" s="1" t="s">
        <v>115</v>
      </c>
      <c r="B187" s="1" t="s">
        <v>5</v>
      </c>
    </row>
    <row r="189" customFormat="false" ht="15" hidden="false" customHeight="true" outlineLevel="0" collapsed="false">
      <c r="A189" s="2" t="s">
        <v>116</v>
      </c>
    </row>
    <row r="190" customFormat="false" ht="15" hidden="false" customHeight="true" outlineLevel="0" collapsed="false">
      <c r="A190" s="1" t="s">
        <v>30</v>
      </c>
      <c r="B190" s="1" t="s">
        <v>31</v>
      </c>
    </row>
    <row r="191" customFormat="false" ht="15" hidden="false" customHeight="true" outlineLevel="0" collapsed="false">
      <c r="A191" s="2" t="s">
        <v>97</v>
      </c>
      <c r="B191" s="2" t="s">
        <v>74</v>
      </c>
      <c r="C191" s="2" t="s">
        <v>98</v>
      </c>
      <c r="D191" s="2" t="s">
        <v>117</v>
      </c>
      <c r="E191" s="2" t="s">
        <v>118</v>
      </c>
      <c r="F191" s="2" t="s">
        <v>101</v>
      </c>
    </row>
    <row r="192" customFormat="false" ht="15" hidden="false" customHeight="true" outlineLevel="0" collapsed="false">
      <c r="A192" s="1" t="s">
        <v>119</v>
      </c>
      <c r="B192" s="1" t="s">
        <v>77</v>
      </c>
      <c r="C192" s="1" t="n">
        <f aca="false">IF($B$192="","",IFERROR(SUMIF(Sejarah_Baki!$B:$B,$B$192,Sejarah_Baki!$D:$D)-SUMIF(Sejarah_Baki!$B:$B,$B$192,Sejarah_Baki!$E:$E),"[ISI]"))</f>
        <v>0</v>
      </c>
      <c r="D192" s="1" t="n">
        <f aca="false">IF($B$192="",0,SUMIFS(Baris_Transaksi!$E:$E,Baris_Transaksi!$C:$C,$B$192,Baris_Transaksi!$B:$B,"&lt;&gt;"&amp;Tetapan!$C$18))</f>
        <v>0</v>
      </c>
      <c r="E192" s="1" t="n">
        <f aca="false">IF($B$192="",0,SUMIFS(Baris_Transaksi!$D:$D,Baris_Transaksi!$C:$C,$B$192,Baris_Transaksi!$B:$B,"&lt;&gt;"&amp;Tetapan!$C$18))</f>
        <v>0</v>
      </c>
      <c r="F192" s="1" t="n">
        <f aca="false">IF($B$192="",0,SUMIF(Imbangan_Duga!$A:$A,$B$192,Imbangan_Duga!$H:$H))</f>
        <v>0</v>
      </c>
    </row>
    <row r="193" customFormat="false" ht="15" hidden="false" customHeight="true" outlineLevel="0" collapsed="false">
      <c r="A193" s="1" t="s">
        <v>120</v>
      </c>
      <c r="B193" s="1" t="s">
        <v>77</v>
      </c>
      <c r="C193" s="1" t="n">
        <f aca="false">IF($B$193="","",IFERROR(SUMIF(Sejarah_Baki!$B:$B,$B$193,Sejarah_Baki!$D:$D)-SUMIF(Sejarah_Baki!$B:$B,$B$193,Sejarah_Baki!$E:$E),"[ISI]"))</f>
        <v>0</v>
      </c>
      <c r="D193" s="1" t="n">
        <f aca="false">IF($B$193="",0,SUMIFS(Baris_Transaksi!$E:$E,Baris_Transaksi!$C:$C,$B$193,Baris_Transaksi!$B:$B,"&lt;&gt;"&amp;Tetapan!$C$18))</f>
        <v>0</v>
      </c>
      <c r="E193" s="1" t="n">
        <f aca="false">IF($B$193="",0,SUMIFS(Baris_Transaksi!$D:$D,Baris_Transaksi!$C:$C,$B$193,Baris_Transaksi!$B:$B,"&lt;&gt;"&amp;Tetapan!$C$18))</f>
        <v>0</v>
      </c>
      <c r="F193" s="1" t="n">
        <f aca="false">IF($B$193="",0,SUMIF(Imbangan_Duga!$A:$A,$B$193,Imbangan_Duga!$H:$H))</f>
        <v>0</v>
      </c>
    </row>
    <row r="194" customFormat="false" ht="15" hidden="false" customHeight="true" outlineLevel="0" collapsed="false">
      <c r="A194" s="1" t="s">
        <v>121</v>
      </c>
      <c r="B194" s="1" t="s">
        <v>77</v>
      </c>
      <c r="C194" s="1" t="n">
        <f aca="false">IF($B$194="","",IFERROR(SUMIF(Sejarah_Baki!$B:$B,$B$194,Sejarah_Baki!$D:$D)-SUMIF(Sejarah_Baki!$B:$B,$B$194,Sejarah_Baki!$E:$E),"[ISI]"))</f>
        <v>0</v>
      </c>
      <c r="D194" s="1" t="n">
        <f aca="false">IF($B$194="",0,SUMIFS(Baris_Transaksi!$E:$E,Baris_Transaksi!$C:$C,$B$194,Baris_Transaksi!$B:$B,"&lt;&gt;"&amp;Tetapan!$C$18))</f>
        <v>0</v>
      </c>
      <c r="E194" s="1" t="n">
        <f aca="false">IF($B$194="",0,SUMIFS(Baris_Transaksi!$D:$D,Baris_Transaksi!$C:$C,$B$194,Baris_Transaksi!$B:$B,"&lt;&gt;"&amp;Tetapan!$C$18))</f>
        <v>0</v>
      </c>
      <c r="F194" s="1" t="n">
        <f aca="false">IF($B$194="",0,SUMIF(Imbangan_Duga!$A:$A,$B$194,Imbangan_Duga!$H:$H))</f>
        <v>0</v>
      </c>
    </row>
    <row r="195" customFormat="false" ht="15" hidden="false" customHeight="true" outlineLevel="0" collapsed="false">
      <c r="A195" s="1" t="s">
        <v>122</v>
      </c>
      <c r="B195" s="1" t="s">
        <v>123</v>
      </c>
    </row>
    <row r="197" customFormat="false" ht="15" hidden="false" customHeight="true" outlineLevel="0" collapsed="false">
      <c r="A197" s="2" t="s">
        <v>124</v>
      </c>
    </row>
    <row r="198" customFormat="false" ht="15" hidden="false" customHeight="true" outlineLevel="0" collapsed="false">
      <c r="A198" s="1" t="s">
        <v>30</v>
      </c>
      <c r="B198" s="1" t="s">
        <v>31</v>
      </c>
    </row>
    <row r="199" customFormat="false" ht="15" hidden="false" customHeight="true" outlineLevel="0" collapsed="false">
      <c r="A199" s="1" t="s">
        <v>125</v>
      </c>
      <c r="B199" s="1" t="s">
        <v>33</v>
      </c>
    </row>
    <row r="200" customFormat="false" ht="15" hidden="false" customHeight="true" outlineLevel="0" collapsed="false">
      <c r="A200" s="1" t="s">
        <v>35</v>
      </c>
      <c r="B200" s="1" t="n">
        <f aca="false">IF($B$199="","",IFERROR(SUMIF(Sejarah_Baki!$B:$B,$B$199,Sejarah_Baki!$D:$D)-SUMIF(Sejarah_Baki!$B:$B,$B$199,Sejarah_Baki!$E:$E),"[ISI—thn pertama]"))</f>
        <v>0</v>
      </c>
    </row>
    <row r="201" customFormat="false" ht="15" hidden="false" customHeight="true" outlineLevel="0" collapsed="false">
      <c r="A201" s="1" t="s">
        <v>36</v>
      </c>
      <c r="B201" s="1" t="n">
        <f aca="false">IF($B$199="",0,SUMIFS(Baris_Transaksi!$D:$D,Baris_Transaksi!$C:$C,$B$199,Baris_Transaksi!$B:$B,"&lt;&gt;"&amp;Tetapan!$C$18))</f>
        <v>0</v>
      </c>
    </row>
    <row r="202" customFormat="false" ht="15" hidden="false" customHeight="true" outlineLevel="0" collapsed="false">
      <c r="A202" s="1" t="s">
        <v>37</v>
      </c>
      <c r="B202" s="1" t="n">
        <f aca="false">IF($B$199="",0,SUMIFS(Baris_Transaksi!$E:$E,Baris_Transaksi!$C:$C,$B$199,Baris_Transaksi!$B:$B,"&lt;&gt;"&amp;Tetapan!$C$18))</f>
        <v>0</v>
      </c>
    </row>
    <row r="203" customFormat="false" ht="15" hidden="false" customHeight="true" outlineLevel="0" collapsed="false">
      <c r="A203" s="1" t="s">
        <v>38</v>
      </c>
      <c r="B203" s="1" t="n">
        <f aca="false">IF($B$199="",0,SUMIF(Imbangan_Duga!$A:$A,$B$199,Imbangan_Duga!$H:$H))</f>
        <v>0</v>
      </c>
    </row>
    <row r="205" customFormat="false" ht="15" hidden="false" customHeight="true" outlineLevel="0" collapsed="false">
      <c r="A205" s="2" t="s">
        <v>126</v>
      </c>
    </row>
    <row r="206" customFormat="false" ht="15" hidden="false" customHeight="true" outlineLevel="0" collapsed="false">
      <c r="A206" s="1" t="s">
        <v>30</v>
      </c>
      <c r="B206" s="1" t="s">
        <v>31</v>
      </c>
    </row>
    <row r="207" customFormat="false" ht="15" hidden="false" customHeight="true" outlineLevel="0" collapsed="false">
      <c r="A207" s="1" t="s">
        <v>127</v>
      </c>
      <c r="B207" s="1" t="s">
        <v>33</v>
      </c>
    </row>
    <row r="208" customFormat="false" ht="15" hidden="false" customHeight="true" outlineLevel="0" collapsed="false">
      <c r="A208" s="1" t="s">
        <v>35</v>
      </c>
      <c r="B208" s="1" t="n">
        <f aca="false">IF($B$207="","",IFERROR(SUMIF(Sejarah_Baki!$B:$B,$B$207,Sejarah_Baki!$D:$D)-SUMIF(Sejarah_Baki!$B:$B,$B$207,Sejarah_Baki!$E:$E),"[ISI—thn pertama]"))</f>
        <v>0</v>
      </c>
    </row>
    <row r="209" customFormat="false" ht="15" hidden="false" customHeight="true" outlineLevel="0" collapsed="false">
      <c r="A209" s="1" t="s">
        <v>36</v>
      </c>
      <c r="B209" s="1" t="n">
        <f aca="false">IF($B$207="",0,SUMIFS(Baris_Transaksi!$D:$D,Baris_Transaksi!$C:$C,$B$207,Baris_Transaksi!$B:$B,"&lt;&gt;"&amp;Tetapan!$C$18))</f>
        <v>0</v>
      </c>
    </row>
    <row r="210" customFormat="false" ht="15" hidden="false" customHeight="true" outlineLevel="0" collapsed="false">
      <c r="A210" s="1" t="s">
        <v>37</v>
      </c>
      <c r="B210" s="1" t="n">
        <f aca="false">IF($B$207="",0,SUMIFS(Baris_Transaksi!$E:$E,Baris_Transaksi!$C:$C,$B$207,Baris_Transaksi!$B:$B,"&lt;&gt;"&amp;Tetapan!$C$18))</f>
        <v>0</v>
      </c>
    </row>
    <row r="211" customFormat="false" ht="15" hidden="false" customHeight="true" outlineLevel="0" collapsed="false">
      <c r="A211" s="1" t="s">
        <v>38</v>
      </c>
      <c r="B211" s="1" t="n">
        <f aca="false">IF($B$207="",0,SUMIF(Imbangan_Duga!$A:$A,$B$207,Imbangan_Duga!$H:$H))</f>
        <v>0</v>
      </c>
    </row>
    <row r="213" customFormat="false" ht="15" hidden="false" customHeight="true" outlineLevel="0" collapsed="false">
      <c r="A213" s="2" t="s">
        <v>128</v>
      </c>
    </row>
    <row r="214" customFormat="false" ht="15" hidden="false" customHeight="true" outlineLevel="0" collapsed="false">
      <c r="A214" s="1" t="s">
        <v>30</v>
      </c>
      <c r="B214" s="1" t="s">
        <v>31</v>
      </c>
    </row>
    <row r="215" customFormat="false" ht="15" hidden="false" customHeight="true" outlineLevel="0" collapsed="false">
      <c r="A215" s="1" t="s">
        <v>129</v>
      </c>
      <c r="B215" s="1" t="s">
        <v>33</v>
      </c>
    </row>
    <row r="216" customFormat="false" ht="15" hidden="false" customHeight="true" outlineLevel="0" collapsed="false">
      <c r="A216" s="1" t="s">
        <v>35</v>
      </c>
      <c r="B216" s="1" t="n">
        <f aca="false">IF($B$215="","",IFERROR(SUMIF(Sejarah_Baki!$B:$B,$B$215,Sejarah_Baki!$D:$D)-SUMIF(Sejarah_Baki!$B:$B,$B$215,Sejarah_Baki!$E:$E),"[ISI—thn pertama]"))</f>
        <v>0</v>
      </c>
    </row>
    <row r="217" customFormat="false" ht="15" hidden="false" customHeight="true" outlineLevel="0" collapsed="false">
      <c r="A217" s="1" t="s">
        <v>36</v>
      </c>
      <c r="B217" s="1" t="n">
        <f aca="false">IF($B$215="",0,SUMIFS(Baris_Transaksi!$D:$D,Baris_Transaksi!$C:$C,$B$215,Baris_Transaksi!$B:$B,"&lt;&gt;"&amp;Tetapan!$C$18))</f>
        <v>0</v>
      </c>
    </row>
    <row r="218" customFormat="false" ht="15" hidden="false" customHeight="true" outlineLevel="0" collapsed="false">
      <c r="A218" s="1" t="s">
        <v>37</v>
      </c>
      <c r="B218" s="1" t="n">
        <f aca="false">IF($B$215="",0,SUMIFS(Baris_Transaksi!$E:$E,Baris_Transaksi!$C:$C,$B$215,Baris_Transaksi!$B:$B,"&lt;&gt;"&amp;Tetapan!$C$18))</f>
        <v>0</v>
      </c>
    </row>
    <row r="219" customFormat="false" ht="15" hidden="false" customHeight="true" outlineLevel="0" collapsed="false">
      <c r="A219" s="1" t="s">
        <v>38</v>
      </c>
      <c r="B219" s="1" t="n">
        <f aca="false">IF($B$215="",0,SUMIF(Imbangan_Duga!$A:$A,$B$215,Imbangan_Duga!$H:$H))</f>
        <v>0</v>
      </c>
    </row>
    <row r="221" customFormat="false" ht="15" hidden="false" customHeight="true" outlineLevel="0" collapsed="false">
      <c r="A221" s="2" t="s">
        <v>130</v>
      </c>
    </row>
    <row r="222" customFormat="false" ht="15" hidden="false" customHeight="true" outlineLevel="0" collapsed="false">
      <c r="A222" s="1" t="s">
        <v>30</v>
      </c>
      <c r="B222" s="1" t="s">
        <v>31</v>
      </c>
    </row>
    <row r="223" customFormat="false" ht="15" hidden="false" customHeight="true" outlineLevel="0" collapsed="false">
      <c r="A223" s="1" t="s">
        <v>131</v>
      </c>
      <c r="B223" s="1" t="s">
        <v>33</v>
      </c>
    </row>
    <row r="224" customFormat="false" ht="15" hidden="false" customHeight="true" outlineLevel="0" collapsed="false">
      <c r="A224" s="1" t="s">
        <v>35</v>
      </c>
      <c r="B224" s="1" t="n">
        <f aca="false">IF($B$223="","",IFERROR(SUMIF(Sejarah_Baki!$B:$B,$B$223,Sejarah_Baki!$D:$D)-SUMIF(Sejarah_Baki!$B:$B,$B$223,Sejarah_Baki!$E:$E),"[ISI—thn pertama]"))</f>
        <v>0</v>
      </c>
    </row>
    <row r="225" customFormat="false" ht="15" hidden="false" customHeight="true" outlineLevel="0" collapsed="false">
      <c r="A225" s="1" t="s">
        <v>36</v>
      </c>
      <c r="B225" s="1" t="n">
        <f aca="false">IF($B$223="",0,SUMIFS(Baris_Transaksi!$D:$D,Baris_Transaksi!$C:$C,$B$223,Baris_Transaksi!$B:$B,"&lt;&gt;"&amp;Tetapan!$C$18))</f>
        <v>0</v>
      </c>
    </row>
    <row r="226" customFormat="false" ht="15" hidden="false" customHeight="true" outlineLevel="0" collapsed="false">
      <c r="A226" s="1" t="s">
        <v>37</v>
      </c>
      <c r="B226" s="1" t="n">
        <f aca="false">IF($B$223="",0,SUMIFS(Baris_Transaksi!$E:$E,Baris_Transaksi!$C:$C,$B$223,Baris_Transaksi!$B:$B,"&lt;&gt;"&amp;Tetapan!$C$18))</f>
        <v>0</v>
      </c>
    </row>
    <row r="227" customFormat="false" ht="15" hidden="false" customHeight="true" outlineLevel="0" collapsed="false">
      <c r="A227" s="1" t="s">
        <v>38</v>
      </c>
      <c r="B227" s="1" t="n">
        <f aca="false">IF($B$223="",0,SUMIF(Imbangan_Duga!$A:$A,$B$223,Imbangan_Duga!$H:$H))</f>
        <v>0</v>
      </c>
    </row>
    <row r="229" customFormat="false" ht="15" hidden="false" customHeight="true" outlineLevel="0" collapsed="false">
      <c r="A229" s="2" t="s">
        <v>132</v>
      </c>
    </row>
    <row r="230" customFormat="false" ht="15" hidden="false" customHeight="true" outlineLevel="0" collapsed="false">
      <c r="A230" s="1" t="s">
        <v>30</v>
      </c>
      <c r="B230" s="1" t="s">
        <v>31</v>
      </c>
    </row>
    <row r="231" customFormat="false" ht="15" hidden="false" customHeight="true" outlineLevel="0" collapsed="false">
      <c r="A231" s="2" t="s">
        <v>133</v>
      </c>
      <c r="B231" s="2" t="s">
        <v>74</v>
      </c>
      <c r="C231" s="2" t="s">
        <v>98</v>
      </c>
      <c r="D231" s="2" t="s">
        <v>117</v>
      </c>
      <c r="E231" s="2" t="s">
        <v>118</v>
      </c>
      <c r="F231" s="2" t="s">
        <v>101</v>
      </c>
    </row>
    <row r="232" customFormat="false" ht="15" hidden="false" customHeight="true" outlineLevel="0" collapsed="false">
      <c r="A232" s="1" t="s">
        <v>134</v>
      </c>
      <c r="B232" s="1" t="s">
        <v>77</v>
      </c>
      <c r="C232" s="1" t="n">
        <f aca="false">IF($B$232="","",IFERROR(SUMIF(Sejarah_Baki!$B:$B,$B$232,Sejarah_Baki!$D:$D)-SUMIF(Sejarah_Baki!$B:$B,$B$232,Sejarah_Baki!$E:$E),"[ISI]"))</f>
        <v>0</v>
      </c>
      <c r="D232" s="1" t="n">
        <f aca="false">IF($B$232="",0,SUMIFS(Baris_Transaksi!$E:$E,Baris_Transaksi!$C:$C,$B$232,Baris_Transaksi!$B:$B,"&lt;&gt;"&amp;Tetapan!$C$18))</f>
        <v>0</v>
      </c>
      <c r="E232" s="1" t="n">
        <f aca="false">IF($B$232="",0,SUMIFS(Baris_Transaksi!$D:$D,Baris_Transaksi!$C:$C,$B$232,Baris_Transaksi!$B:$B,"&lt;&gt;"&amp;Tetapan!$C$18))</f>
        <v>0</v>
      </c>
      <c r="F232" s="1" t="n">
        <f aca="false">IF($B$232="",0,SUMIF(Imbangan_Duga!$A:$A,$B$232,Imbangan_Duga!$H:$H))</f>
        <v>0</v>
      </c>
    </row>
    <row r="233" customFormat="false" ht="15" hidden="false" customHeight="true" outlineLevel="0" collapsed="false">
      <c r="C233" s="1" t="str">
        <f aca="false">IF($B$233="","",IFERROR(SUMIF(Sejarah_Baki!$B:$B,$B$233,Sejarah_Baki!$D:$D)-SUMIF(Sejarah_Baki!$B:$B,$B$233,Sejarah_Baki!$E:$E),"[ISI]"))</f>
        <v/>
      </c>
      <c r="D233" s="1" t="n">
        <f aca="false">IF($B$233="",0,SUMIFS(Baris_Transaksi!$E:$E,Baris_Transaksi!$C:$C,$B$233,Baris_Transaksi!$B:$B,"&lt;&gt;"&amp;Tetapan!$C$18))</f>
        <v>0</v>
      </c>
      <c r="E233" s="1" t="n">
        <f aca="false">IF($B$233="",0,SUMIFS(Baris_Transaksi!$D:$D,Baris_Transaksi!$C:$C,$B$233,Baris_Transaksi!$B:$B,"&lt;&gt;"&amp;Tetapan!$C$18))</f>
        <v>0</v>
      </c>
      <c r="F233" s="1" t="n">
        <f aca="false">IF($B$233="",0,SUMIF(Imbangan_Duga!$A:$A,$B$233,Imbangan_Duga!$H:$H))</f>
        <v>0</v>
      </c>
    </row>
    <row r="234" customFormat="false" ht="15" hidden="false" customHeight="true" outlineLevel="0" collapsed="false">
      <c r="C234" s="1" t="str">
        <f aca="false">IF($B$234="","",IFERROR(SUMIF(Sejarah_Baki!$B:$B,$B$234,Sejarah_Baki!$D:$D)-SUMIF(Sejarah_Baki!$B:$B,$B$234,Sejarah_Baki!$E:$E),"[ISI]"))</f>
        <v/>
      </c>
      <c r="D234" s="1" t="n">
        <f aca="false">IF($B$234="",0,SUMIFS(Baris_Transaksi!$E:$E,Baris_Transaksi!$C:$C,$B$234,Baris_Transaksi!$B:$B,"&lt;&gt;"&amp;Tetapan!$C$18))</f>
        <v>0</v>
      </c>
      <c r="E234" s="1" t="n">
        <f aca="false">IF($B$234="",0,SUMIFS(Baris_Transaksi!$D:$D,Baris_Transaksi!$C:$C,$B$234,Baris_Transaksi!$B:$B,"&lt;&gt;"&amp;Tetapan!$C$18))</f>
        <v>0</v>
      </c>
      <c r="F234" s="1" t="n">
        <f aca="false">IF($B$234="",0,SUMIF(Imbangan_Duga!$A:$A,$B$234,Imbangan_Duga!$H:$H))</f>
        <v>0</v>
      </c>
    </row>
    <row r="235" customFormat="false" ht="15" hidden="false" customHeight="true" outlineLevel="0" collapsed="false">
      <c r="A235" s="3" t="s">
        <v>135</v>
      </c>
    </row>
    <row r="237" customFormat="false" ht="15" hidden="false" customHeight="true" outlineLevel="0" collapsed="false">
      <c r="A237" s="2" t="s">
        <v>136</v>
      </c>
    </row>
    <row r="238" customFormat="false" ht="15" hidden="false" customHeight="true" outlineLevel="0" collapsed="false">
      <c r="A238" s="1" t="s">
        <v>30</v>
      </c>
      <c r="B238" s="1" t="s">
        <v>31</v>
      </c>
    </row>
    <row r="239" customFormat="false" ht="15" hidden="false" customHeight="true" outlineLevel="0" collapsed="false">
      <c r="A239" s="1" t="s">
        <v>137</v>
      </c>
      <c r="B239" s="1" t="s">
        <v>33</v>
      </c>
    </row>
    <row r="240" customFormat="false" ht="15" hidden="false" customHeight="true" outlineLevel="0" collapsed="false">
      <c r="A240" s="1" t="s">
        <v>35</v>
      </c>
      <c r="B240" s="1" t="n">
        <f aca="false">IF($B$239="","",IFERROR(SUMIF(Sejarah_Baki!$B:$B,$B$239,Sejarah_Baki!$D:$D)-SUMIF(Sejarah_Baki!$B:$B,$B$239,Sejarah_Baki!$E:$E),"[ISI—thn pertama]"))</f>
        <v>0</v>
      </c>
    </row>
    <row r="241" customFormat="false" ht="15" hidden="false" customHeight="true" outlineLevel="0" collapsed="false">
      <c r="A241" s="1" t="s">
        <v>36</v>
      </c>
      <c r="B241" s="1" t="n">
        <f aca="false">IF($B$239="",0,SUMIFS(Baris_Transaksi!$D:$D,Baris_Transaksi!$C:$C,$B$239,Baris_Transaksi!$B:$B,"&lt;&gt;"&amp;Tetapan!$C$18))</f>
        <v>0</v>
      </c>
    </row>
    <row r="242" customFormat="false" ht="15" hidden="false" customHeight="true" outlineLevel="0" collapsed="false">
      <c r="A242" s="1" t="s">
        <v>37</v>
      </c>
      <c r="B242" s="1" t="n">
        <f aca="false">IF($B$239="",0,SUMIFS(Baris_Transaksi!$E:$E,Baris_Transaksi!$C:$C,$B$239,Baris_Transaksi!$B:$B,"&lt;&gt;"&amp;Tetapan!$C$18))</f>
        <v>0</v>
      </c>
    </row>
    <row r="243" customFormat="false" ht="15" hidden="false" customHeight="true" outlineLevel="0" collapsed="false">
      <c r="A243" s="1" t="s">
        <v>38</v>
      </c>
      <c r="B243" s="1" t="n">
        <f aca="false">IF($B$239="",0,SUMIF(Imbangan_Duga!$A:$A,$B$239,Imbangan_Duga!$H:$H))</f>
        <v>0</v>
      </c>
    </row>
    <row r="245" customFormat="false" ht="15" hidden="false" customHeight="true" outlineLevel="0" collapsed="false">
      <c r="A245" s="2" t="s">
        <v>138</v>
      </c>
    </row>
    <row r="246" customFormat="false" ht="15" hidden="false" customHeight="true" outlineLevel="0" collapsed="false">
      <c r="A246" s="1" t="s">
        <v>30</v>
      </c>
      <c r="B246" s="1" t="s">
        <v>31</v>
      </c>
    </row>
    <row r="247" customFormat="false" ht="15" hidden="false" customHeight="true" outlineLevel="0" collapsed="false">
      <c r="A247" s="1" t="s">
        <v>139</v>
      </c>
      <c r="B247" s="1" t="s">
        <v>33</v>
      </c>
    </row>
    <row r="248" customFormat="false" ht="15" hidden="false" customHeight="true" outlineLevel="0" collapsed="false">
      <c r="A248" s="1" t="s">
        <v>44</v>
      </c>
      <c r="B248" s="1" t="n">
        <f aca="false">IF($B$247="",0,SUMIF(Imbangan_Duga!$A:$A,$B$247,Imbangan_Duga!$H:$H))</f>
        <v>0</v>
      </c>
    </row>
    <row r="250" customFormat="false" ht="15" hidden="false" customHeight="true" outlineLevel="0" collapsed="false">
      <c r="A250" s="2" t="s">
        <v>140</v>
      </c>
    </row>
    <row r="251" customFormat="false" ht="15" hidden="false" customHeight="true" outlineLevel="0" collapsed="false">
      <c r="A251" s="1" t="s">
        <v>141</v>
      </c>
    </row>
    <row r="252" customFormat="false" ht="15" hidden="false" customHeight="true" outlineLevel="0" collapsed="false">
      <c r="A252" s="2" t="s">
        <v>142</v>
      </c>
      <c r="B252" s="2" t="s">
        <v>143</v>
      </c>
      <c r="C252" s="2" t="s">
        <v>144</v>
      </c>
      <c r="D252" s="2" t="s">
        <v>145</v>
      </c>
      <c r="E252" s="2" t="s">
        <v>146</v>
      </c>
      <c r="F252" s="2" t="s">
        <v>147</v>
      </c>
    </row>
    <row r="253" customFormat="false" ht="15" hidden="false" customHeight="true" outlineLevel="0" collapsed="false">
      <c r="A253" s="1" t="s">
        <v>148</v>
      </c>
      <c r="B253" s="1" t="s">
        <v>5</v>
      </c>
      <c r="C253" s="1" t="s">
        <v>5</v>
      </c>
      <c r="D253" s="1" t="n">
        <f aca="false">IF(B253="",0,SUMIF(Imbangan_Duga!$A:$A,B253,Imbangan_Duga!$H:$H))</f>
        <v>0</v>
      </c>
      <c r="E253" s="1" t="n">
        <f aca="false">IF(C253="",0,SUMIF(Imbangan_Duga!$A:$A,C253,Imbangan_Duga!$H:$H))</f>
        <v>0</v>
      </c>
      <c r="F253" s="1" t="n">
        <f aca="false">D253-E253</f>
        <v>0</v>
      </c>
    </row>
    <row r="254" customFormat="false" ht="15" hidden="false" customHeight="true" outlineLevel="0" collapsed="false">
      <c r="D254" s="1" t="n">
        <f aca="false">IF(B254="",0,SUMIF(Imbangan_Duga!$A:$A,B254,Imbangan_Duga!$H:$H))</f>
        <v>0</v>
      </c>
      <c r="E254" s="1" t="n">
        <f aca="false">IF(C254="",0,SUMIF(Imbangan_Duga!$A:$A,C254,Imbangan_Duga!$H:$H))</f>
        <v>0</v>
      </c>
      <c r="F254" s="1" t="n">
        <f aca="false">D254-E254</f>
        <v>0</v>
      </c>
    </row>
    <row r="255" customFormat="false" ht="15" hidden="false" customHeight="true" outlineLevel="0" collapsed="false">
      <c r="D255" s="1" t="n">
        <f aca="false">IF(B255="",0,SUMIF(Imbangan_Duga!$A:$A,B255,Imbangan_Duga!$H:$H))</f>
        <v>0</v>
      </c>
      <c r="E255" s="1" t="n">
        <f aca="false">IF(C255="",0,SUMIF(Imbangan_Duga!$A:$A,C255,Imbangan_Duga!$H:$H))</f>
        <v>0</v>
      </c>
      <c r="F255" s="1" t="n">
        <f aca="false">D255-E255</f>
        <v>0</v>
      </c>
    </row>
    <row r="256" customFormat="false" ht="15" hidden="false" customHeight="true" outlineLevel="0" collapsed="false">
      <c r="D256" s="1" t="n">
        <f aca="false">IF(B256="",0,SUMIF(Imbangan_Duga!$A:$A,B256,Imbangan_Duga!$H:$H))</f>
        <v>0</v>
      </c>
      <c r="E256" s="1" t="n">
        <f aca="false">IF(C256="",0,SUMIF(Imbangan_Duga!$A:$A,C256,Imbangan_Duga!$H:$H))</f>
        <v>0</v>
      </c>
      <c r="F256" s="1" t="n">
        <f aca="false">D256-E256</f>
        <v>0</v>
      </c>
    </row>
    <row r="257" customFormat="false" ht="15" hidden="false" customHeight="true" outlineLevel="0" collapsed="false">
      <c r="D257" s="1" t="n">
        <f aca="false">IF(B257="",0,SUMIF(Imbangan_Duga!$A:$A,B257,Imbangan_Duga!$H:$H))</f>
        <v>0</v>
      </c>
      <c r="E257" s="1" t="n">
        <f aca="false">IF(C257="",0,SUMIF(Imbangan_Duga!$A:$A,C257,Imbangan_Duga!$H:$H))</f>
        <v>0</v>
      </c>
      <c r="F257" s="1" t="n">
        <f aca="false">D257-E257</f>
        <v>0</v>
      </c>
    </row>
    <row r="258" customFormat="false" ht="15" hidden="false" customHeight="true" outlineLevel="0" collapsed="false">
      <c r="D258" s="1" t="n">
        <f aca="false">IF(B258="",0,SUMIF(Imbangan_Duga!$A:$A,B258,Imbangan_Duga!$H:$H))</f>
        <v>0</v>
      </c>
      <c r="E258" s="1" t="n">
        <f aca="false">IF(C258="",0,SUMIF(Imbangan_Duga!$A:$A,C258,Imbangan_Duga!$H:$H))</f>
        <v>0</v>
      </c>
      <c r="F258" s="1" t="n">
        <f aca="false">D258-E258</f>
        <v>0</v>
      </c>
    </row>
    <row r="259" customFormat="false" ht="15" hidden="false" customHeight="true" outlineLevel="0" collapsed="false">
      <c r="D259" s="1" t="n">
        <f aca="false">IF(B259="",0,SUMIF(Imbangan_Duga!$A:$A,B259,Imbangan_Duga!$H:$H))</f>
        <v>0</v>
      </c>
      <c r="E259" s="1" t="n">
        <f aca="false">IF(C259="",0,SUMIF(Imbangan_Duga!$A:$A,C259,Imbangan_Duga!$H:$H))</f>
        <v>0</v>
      </c>
      <c r="F259" s="1" t="n">
        <f aca="false">D259-E259</f>
        <v>0</v>
      </c>
    </row>
    <row r="260" customFormat="false" ht="15" hidden="false" customHeight="true" outlineLevel="0" collapsed="false">
      <c r="D260" s="1" t="n">
        <f aca="false">IF(B260="",0,SUMIF(Imbangan_Duga!$A:$A,B260,Imbangan_Duga!$H:$H))</f>
        <v>0</v>
      </c>
      <c r="E260" s="1" t="n">
        <f aca="false">IF(C260="",0,SUMIF(Imbangan_Duga!$A:$A,C260,Imbangan_Duga!$H:$H))</f>
        <v>0</v>
      </c>
      <c r="F260" s="1" t="n">
        <f aca="false">D260-E260</f>
        <v>0</v>
      </c>
    </row>
    <row r="262" customFormat="false" ht="15" hidden="false" customHeight="true" outlineLevel="0" collapsed="false">
      <c r="A262" s="2" t="s">
        <v>149</v>
      </c>
    </row>
    <row r="263" customFormat="false" ht="15" hidden="false" customHeight="true" outlineLevel="0" collapsed="false">
      <c r="A263" s="1" t="s">
        <v>150</v>
      </c>
      <c r="B263" s="1" t="s">
        <v>33</v>
      </c>
    </row>
    <row r="264" customFormat="false" ht="15" hidden="false" customHeight="true" outlineLevel="0" collapsed="false">
      <c r="A264" s="2" t="s">
        <v>151</v>
      </c>
      <c r="B264" s="2" t="s">
        <v>152</v>
      </c>
      <c r="C264" s="2" t="s">
        <v>153</v>
      </c>
      <c r="D264" s="2" t="s">
        <v>154</v>
      </c>
      <c r="E264" s="2" t="s">
        <v>155</v>
      </c>
      <c r="F264" s="2" t="s">
        <v>156</v>
      </c>
    </row>
    <row r="265" customFormat="false" ht="15" hidden="false" customHeight="true" outlineLevel="0" collapsed="false">
      <c r="A265" s="1" t="s">
        <v>5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f aca="false">SUM(B265:E265)</f>
        <v>0</v>
      </c>
    </row>
    <row r="266" customFormat="false" ht="15" hidden="false" customHeight="true" outlineLevel="0" collapsed="false">
      <c r="B266" s="1" t="n">
        <v>0</v>
      </c>
      <c r="C266" s="1" t="n">
        <v>0</v>
      </c>
      <c r="D266" s="1" t="n">
        <v>0</v>
      </c>
      <c r="E266" s="1" t="n">
        <v>0</v>
      </c>
      <c r="F266" s="1" t="n">
        <f aca="false">SUM(B266:E266)</f>
        <v>0</v>
      </c>
    </row>
    <row r="267" customFormat="false" ht="15" hidden="false" customHeight="true" outlineLevel="0" collapsed="false">
      <c r="B267" s="1" t="n">
        <v>0</v>
      </c>
      <c r="C267" s="1" t="n">
        <v>0</v>
      </c>
      <c r="D267" s="1" t="n">
        <v>0</v>
      </c>
      <c r="E267" s="1" t="n">
        <v>0</v>
      </c>
      <c r="F267" s="1" t="n">
        <f aca="false">SUM(B267:E267)</f>
        <v>0</v>
      </c>
    </row>
    <row r="268" customFormat="false" ht="15" hidden="false" customHeight="true" outlineLevel="0" collapsed="false">
      <c r="B268" s="1" t="n">
        <v>0</v>
      </c>
      <c r="C268" s="1" t="n">
        <v>0</v>
      </c>
      <c r="D268" s="1" t="n">
        <v>0</v>
      </c>
      <c r="E268" s="1" t="n">
        <v>0</v>
      </c>
      <c r="F268" s="1" t="n">
        <f aca="false">SUM(B268:E268)</f>
        <v>0</v>
      </c>
    </row>
    <row r="269" customFormat="false" ht="15" hidden="false" customHeight="true" outlineLevel="0" collapsed="false">
      <c r="B269" s="1" t="n">
        <v>0</v>
      </c>
      <c r="C269" s="1" t="n">
        <v>0</v>
      </c>
      <c r="D269" s="1" t="n">
        <v>0</v>
      </c>
      <c r="E269" s="1" t="n">
        <v>0</v>
      </c>
      <c r="F269" s="1" t="n">
        <f aca="false">SUM(B269:E269)</f>
        <v>0</v>
      </c>
    </row>
    <row r="270" customFormat="false" ht="15" hidden="false" customHeight="true" outlineLevel="0" collapsed="false">
      <c r="B270" s="1" t="n">
        <v>0</v>
      </c>
      <c r="C270" s="1" t="n">
        <v>0</v>
      </c>
      <c r="D270" s="1" t="n">
        <v>0</v>
      </c>
      <c r="E270" s="1" t="n">
        <v>0</v>
      </c>
      <c r="F270" s="1" t="n">
        <f aca="false">SUM(B270:E270)</f>
        <v>0</v>
      </c>
    </row>
    <row r="271" customFormat="false" ht="15" hidden="false" customHeight="true" outlineLevel="0" collapsed="false">
      <c r="B271" s="1" t="n">
        <v>0</v>
      </c>
      <c r="C271" s="1" t="n">
        <v>0</v>
      </c>
      <c r="D271" s="1" t="n">
        <v>0</v>
      </c>
      <c r="E271" s="1" t="n">
        <v>0</v>
      </c>
      <c r="F271" s="1" t="n">
        <f aca="false">SUM(B271:E271)</f>
        <v>0</v>
      </c>
    </row>
    <row r="272" customFormat="false" ht="15" hidden="false" customHeight="true" outlineLevel="0" collapsed="false">
      <c r="B272" s="1" t="n">
        <v>0</v>
      </c>
      <c r="C272" s="1" t="n">
        <v>0</v>
      </c>
      <c r="D272" s="1" t="n">
        <v>0</v>
      </c>
      <c r="E272" s="1" t="n">
        <v>0</v>
      </c>
      <c r="F272" s="1" t="n">
        <f aca="false">SUM(B272:E272)</f>
        <v>0</v>
      </c>
    </row>
    <row r="273" customFormat="false" ht="15" hidden="false" customHeight="true" outlineLevel="0" collapsed="false">
      <c r="A273" s="2" t="s">
        <v>157</v>
      </c>
      <c r="B273" s="1" t="n">
        <f aca="false">SUM(B265:B272)</f>
        <v>0</v>
      </c>
      <c r="C273" s="1" t="n">
        <f aca="false">SUM(C265:C272)</f>
        <v>0</v>
      </c>
      <c r="D273" s="1" t="n">
        <f aca="false">SUM(D265:D272)</f>
        <v>0</v>
      </c>
      <c r="E273" s="1" t="n">
        <f aca="false">SUM(E265:E272)</f>
        <v>0</v>
      </c>
      <c r="F273" s="1" t="n">
        <f aca="false">SUM(F265:F272)</f>
        <v>0</v>
      </c>
    </row>
    <row r="274" customFormat="false" ht="15" hidden="false" customHeight="true" outlineLevel="0" collapsed="false">
      <c r="A274" s="1" t="s">
        <v>158</v>
      </c>
      <c r="B274" s="1" t="n">
        <f aca="false">IF($B$263="",0,SUMIF(Imbangan_Duga!$A:$A,$B$263,Imbangan_Duga!$H:$H))</f>
        <v>0</v>
      </c>
    </row>
    <row r="275" customFormat="false" ht="15" hidden="false" customHeight="true" outlineLevel="0" collapsed="false">
      <c r="A275" s="1" t="s">
        <v>159</v>
      </c>
      <c r="B275" s="1" t="n">
        <f aca="false">F273-B274</f>
        <v>0</v>
      </c>
    </row>
    <row r="277" customFormat="false" ht="15" hidden="false" customHeight="true" outlineLevel="0" collapsed="false">
      <c r="A277" s="2" t="s">
        <v>160</v>
      </c>
    </row>
    <row r="278" customFormat="false" ht="15" hidden="false" customHeight="true" outlineLevel="0" collapsed="false">
      <c r="A278" s="1" t="s">
        <v>161</v>
      </c>
    </row>
    <row r="280" customFormat="false" ht="15" hidden="false" customHeight="true" outlineLevel="0" collapsed="false">
      <c r="A280" s="2" t="s">
        <v>162</v>
      </c>
    </row>
    <row r="281" customFormat="false" ht="15" hidden="false" customHeight="true" outlineLevel="0" collapsed="false">
      <c r="A281" s="1" t="s">
        <v>163</v>
      </c>
      <c r="B281" s="1" t="s">
        <v>5</v>
      </c>
    </row>
    <row r="283" customFormat="false" ht="15" hidden="false" customHeight="true" outlineLevel="0" collapsed="false">
      <c r="A283" s="2" t="s">
        <v>164</v>
      </c>
    </row>
    <row r="284" customFormat="false" ht="15" hidden="false" customHeight="true" outlineLevel="0" collapsed="false">
      <c r="A284" s="1" t="s">
        <v>165</v>
      </c>
      <c r="B284" s="1" t="s">
        <v>166</v>
      </c>
    </row>
    <row r="286" customFormat="false" ht="15" hidden="false" customHeight="true" outlineLevel="0" collapsed="false">
      <c r="A286" s="2" t="s">
        <v>167</v>
      </c>
    </row>
    <row r="287" customFormat="false" ht="15" hidden="false" customHeight="true" outlineLevel="0" collapsed="false">
      <c r="A287" s="3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" t="s">
        <v>169</v>
      </c>
      <c r="B1" s="2" t="s">
        <v>170</v>
      </c>
      <c r="C1" s="2" t="s">
        <v>171</v>
      </c>
      <c r="E1" s="3" t="s">
        <v>172</v>
      </c>
    </row>
    <row r="6" customFormat="false" ht="15" hidden="false" customHeight="true" outlineLevel="0" collapsed="false">
      <c r="A6" s="1" t="s">
        <v>7</v>
      </c>
    </row>
    <row r="18" customFormat="false" ht="15" hidden="false" customHeight="true" outlineLevel="0" collapsed="false">
      <c r="A18" s="1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174</v>
      </c>
    </row>
    <row r="4" customFormat="false" ht="15" hidden="false" customHeight="true" outlineLevel="0" collapsed="false">
      <c r="A4" s="2" t="s">
        <v>74</v>
      </c>
      <c r="H4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176</v>
      </c>
    </row>
    <row r="4" customFormat="false" ht="15" hidden="false" customHeight="true" outlineLevel="0" collapsed="false">
      <c r="A4" s="2" t="s">
        <v>177</v>
      </c>
      <c r="B4" s="2" t="s">
        <v>178</v>
      </c>
      <c r="C4" s="2" t="s">
        <v>74</v>
      </c>
      <c r="D4" s="2" t="s">
        <v>179</v>
      </c>
      <c r="E4" s="2" t="s">
        <v>180</v>
      </c>
      <c r="F4" s="2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" t="s">
        <v>182</v>
      </c>
      <c r="B1" s="2" t="s">
        <v>74</v>
      </c>
      <c r="C1" s="2" t="s">
        <v>183</v>
      </c>
      <c r="D1" s="2" t="s">
        <v>179</v>
      </c>
      <c r="E1" s="2" t="s">
        <v>180</v>
      </c>
    </row>
    <row r="2" customFormat="false" ht="15" hidden="false" customHeight="true" outlineLevel="0" collapsed="false">
      <c r="A2" s="3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185</v>
      </c>
    </row>
    <row r="4" customFormat="false" ht="15" hidden="false" customHeight="true" outlineLevel="0" collapsed="false">
      <c r="A4" s="2" t="s">
        <v>14</v>
      </c>
      <c r="B4" s="2" t="s">
        <v>15</v>
      </c>
      <c r="C4" s="2" t="s">
        <v>186</v>
      </c>
      <c r="D4" s="2" t="s">
        <v>187</v>
      </c>
      <c r="E4" s="2" t="s">
        <v>188</v>
      </c>
      <c r="F4" s="2" t="s">
        <v>189</v>
      </c>
      <c r="G4" s="2" t="s">
        <v>16</v>
      </c>
      <c r="H4" s="2" t="s">
        <v>17</v>
      </c>
      <c r="I4" s="2" t="s">
        <v>190</v>
      </c>
      <c r="J4" s="2" t="s">
        <v>191</v>
      </c>
      <c r="K4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2026-09-26T15:13:52Z</dcterms:created>
  <dc:creator>openpyxl</dc:creator>
  <dc:description/>
  <dc:language>en-US</dc:language>
  <cp:lastModifiedBy/>
  <dcterms:modified xsi:type="dcterms:W3CDTF">2026-09-27T05:19:21Z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