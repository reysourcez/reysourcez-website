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Settings" sheetId="2" state="visible" r:id="rId2"/>
    <sheet xmlns:r="http://schemas.openxmlformats.org/officeDocument/2006/relationships" name="Catchments" sheetId="3" state="visible" r:id="rId3"/>
    <sheet xmlns:r="http://schemas.openxmlformats.org/officeDocument/2006/relationships" name="Categories" sheetId="4" state="visible" r:id="rId4"/>
    <sheet xmlns:r="http://schemas.openxmlformats.org/officeDocument/2006/relationships" name="NameHints" sheetId="5" state="visible" r:id="rId5"/>
    <sheet xmlns:r="http://schemas.openxmlformats.org/officeDocument/2006/relationships" name="Towns" sheetId="6" state="visible" r:id="rId6"/>
    <sheet xmlns:r="http://schemas.openxmlformats.org/officeDocument/2006/relationships" name="Anchors" sheetId="7" state="visible" r:id="rId7"/>
    <sheet xmlns:r="http://schemas.openxmlformats.org/officeDocument/2006/relationships" name="Cloudflare" sheetId="8" state="visible" r:id="rId8"/>
  </sheets>
  <definedNames/>
  <calcPr calcId="124519" fullCalcOnLoad="1"/>
</workbook>
</file>

<file path=xl/styles.xml><?xml version="1.0" encoding="utf-8"?>
<styleSheet xmlns="http://schemas.openxmlformats.org/spreadsheetml/2006/main">
  <numFmts count="2">
    <numFmt numFmtId="164" formatCode="0.0"/>
    <numFmt numFmtId="165" formatCode="0.0000"/>
  </numFmts>
  <fonts count="9">
    <font>
      <name val="Calibri"/>
      <family val="2"/>
      <color theme="1"/>
      <sz val="11"/>
      <scheme val="minor"/>
    </font>
    <font>
      <name val="Arial"/>
      <b val="1"/>
      <color rgb="001F6F5C"/>
      <sz val="14"/>
    </font>
    <font>
      <name val="Arial"/>
      <i val="1"/>
      <color rgb="00555555"/>
      <sz val="10"/>
    </font>
    <font>
      <name val="Arial"/>
      <b val="1"/>
      <sz val="10"/>
    </font>
    <font>
      <name val="Arial"/>
      <sz val="10"/>
    </font>
    <font>
      <name val="Arial"/>
      <color rgb="00008000"/>
      <sz val="10"/>
    </font>
    <font>
      <name val="Arial"/>
      <i val="1"/>
      <color rgb="00666666"/>
      <sz val="10"/>
    </font>
    <font>
      <name val="Arial"/>
      <b val="1"/>
      <color rgb="00FFFFFF"/>
      <sz val="10"/>
    </font>
    <font>
      <name val="Arial"/>
      <b val="1"/>
      <color rgb="00C0392B"/>
      <sz val="10"/>
    </font>
  </fonts>
  <fills count="7">
    <fill>
      <patternFill/>
    </fill>
    <fill>
      <patternFill patternType="gray125"/>
    </fill>
    <fill>
      <patternFill patternType="solid">
        <fgColor rgb="00FFFF00"/>
      </patternFill>
    </fill>
    <fill>
      <patternFill patternType="solid">
        <fgColor rgb="00F7F7F7"/>
      </patternFill>
    </fill>
    <fill>
      <patternFill patternType="solid">
        <fgColor rgb="00F2F2F2"/>
      </patternFill>
    </fill>
    <fill>
      <patternFill patternType="solid">
        <fgColor rgb="001F6F5C"/>
      </patternFill>
    </fill>
    <fill>
      <patternFill patternType="solid">
        <fgColor rgb="00E3ECE7"/>
      </patternFill>
    </fill>
  </fills>
  <borders count="6">
    <border>
      <left/>
      <right/>
      <top/>
      <bottom/>
      <diagonal/>
    </border>
    <border>
      <left style="thin">
        <color rgb="00C8C8C8"/>
      </left>
      <right style="thin">
        <color rgb="00C8C8C8"/>
      </right>
      <top style="thin">
        <color rgb="00C8C8C8"/>
      </top>
      <bottom style="thin">
        <color rgb="00C8C8C8"/>
      </bottom>
    </border>
    <border>
      <left/>
      <right/>
      <top style="thin">
        <color rgb="00C8C8C8"/>
      </top>
      <bottom/>
      <diagonal/>
    </border>
    <border>
      <left/>
      <right style="thin">
        <color rgb="00C8C8C8"/>
      </right>
      <top style="thin">
        <color rgb="00C8C8C8"/>
      </top>
      <bottom/>
      <diagonal/>
    </border>
    <border>
      <left/>
      <right/>
      <top style="thin">
        <color rgb="00C8C8C8"/>
      </top>
      <bottom style="thin">
        <color rgb="00C8C8C8"/>
      </bottom>
      <diagonal/>
    </border>
    <border>
      <left/>
      <right style="thin">
        <color rgb="00C8C8C8"/>
      </right>
      <top style="thin">
        <color rgb="00C8C8C8"/>
      </top>
      <bottom style="thin">
        <color rgb="00C8C8C8"/>
      </bottom>
      <diagonal/>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4" fillId="2" borderId="1" applyAlignment="1" pivotButton="0" quotePrefix="0" xfId="0">
      <alignment vertical="top" wrapText="1"/>
    </xf>
    <xf numFmtId="0" fontId="4" fillId="0" borderId="1" applyAlignment="1" pivotButton="0" quotePrefix="0" xfId="0">
      <alignment vertical="top" wrapText="1"/>
    </xf>
    <xf numFmtId="0" fontId="0" fillId="0" borderId="4" pivotButton="0" quotePrefix="0" xfId="0"/>
    <xf numFmtId="0" fontId="0" fillId="0" borderId="5" pivotButton="0" quotePrefix="0" xfId="0"/>
    <xf numFmtId="0" fontId="5" fillId="0" borderId="1" applyAlignment="1" pivotButton="0" quotePrefix="0" xfId="0">
      <alignment vertical="top" wrapText="1"/>
    </xf>
    <xf numFmtId="0" fontId="4" fillId="3" borderId="1" applyAlignment="1" pivotButton="0" quotePrefix="0" xfId="0">
      <alignment vertical="top" wrapText="1"/>
    </xf>
    <xf numFmtId="0" fontId="6" fillId="4" borderId="1" applyAlignment="1" pivotButton="0" quotePrefix="0" xfId="0">
      <alignment vertical="top" wrapText="1"/>
    </xf>
    <xf numFmtId="0" fontId="7" fillId="5" borderId="1" applyAlignment="1" pivotButton="0" quotePrefix="0" xfId="0">
      <alignment vertical="center" wrapText="1"/>
    </xf>
    <xf numFmtId="0" fontId="6" fillId="2" borderId="1" applyAlignment="1" pivotButton="0" quotePrefix="0" xfId="0">
      <alignment vertical="top" wrapText="1"/>
    </xf>
    <xf numFmtId="0" fontId="3" fillId="0" borderId="1" applyAlignment="1" pivotButton="0" quotePrefix="0" xfId="0">
      <alignment vertical="top" wrapText="1"/>
    </xf>
    <xf numFmtId="0" fontId="8" fillId="0" borderId="0" applyAlignment="1" pivotButton="0" quotePrefix="0" xfId="0">
      <alignment vertical="top" wrapText="1"/>
    </xf>
    <xf numFmtId="0" fontId="3" fillId="6" borderId="1" pivotButton="0" quotePrefix="0" xfId="0"/>
    <xf numFmtId="2" fontId="4" fillId="0" borderId="1" applyAlignment="1" pivotButton="0" quotePrefix="0" xfId="0">
      <alignment vertical="top" wrapText="1"/>
    </xf>
    <xf numFmtId="0" fontId="3" fillId="3" borderId="1" applyAlignment="1" pivotButton="0" quotePrefix="0" xfId="0">
      <alignment vertical="top" wrapText="1"/>
    </xf>
    <xf numFmtId="2" fontId="3" fillId="3" borderId="1" applyAlignment="1" pivotButton="0" quotePrefix="0" xfId="0">
      <alignment vertical="top" wrapText="1"/>
    </xf>
    <xf numFmtId="3" fontId="4" fillId="0" borderId="1" applyAlignment="1" pivotButton="0" quotePrefix="0" xfId="0">
      <alignment vertical="top" wrapText="1"/>
    </xf>
    <xf numFmtId="164" fontId="4" fillId="0" borderId="1" applyAlignment="1" pivotButton="0" quotePrefix="0" xfId="0">
      <alignment vertical="top" wrapText="1"/>
    </xf>
    <xf numFmtId="3" fontId="4" fillId="2" borderId="1" applyAlignment="1" pivotButton="0" quotePrefix="0" xfId="0">
      <alignment vertical="top" wrapText="1"/>
    </xf>
    <xf numFmtId="3" fontId="5" fillId="0" borderId="1" applyAlignment="1" pivotButton="0" quotePrefix="0" xfId="0">
      <alignment vertical="top" wrapText="1"/>
    </xf>
    <xf numFmtId="3" fontId="4" fillId="3" borderId="1" applyAlignment="1" pivotButton="0" quotePrefix="0" xfId="0">
      <alignment vertical="top" wrapText="1"/>
    </xf>
    <xf numFmtId="0" fontId="4" fillId="3" borderId="1" applyAlignment="1" pivotButton="0" quotePrefix="0" xfId="0">
      <alignment horizontal="center" vertical="top" wrapText="1"/>
    </xf>
    <xf numFmtId="0" fontId="4" fillId="0" borderId="1" applyAlignment="1" pivotButton="0" quotePrefix="0" xfId="0">
      <alignment horizontal="center" vertical="top" wrapText="1"/>
    </xf>
    <xf numFmtId="0" fontId="3" fillId="3" borderId="1" applyAlignment="1" pivotButton="0" quotePrefix="0" xfId="0">
      <alignment horizontal="center" vertical="top" wrapText="1"/>
    </xf>
    <xf numFmtId="0" fontId="5" fillId="0" borderId="1" applyAlignment="1" pivotButton="0" quotePrefix="0" xfId="0">
      <alignment horizontal="center" vertical="top" wrapText="1"/>
    </xf>
    <xf numFmtId="165" fontId="4" fillId="0" borderId="1" applyAlignment="1" pivotButton="0" quotePrefix="0" xfId="0">
      <alignment vertical="top" wrapText="1"/>
    </xf>
    <xf numFmtId="0" fontId="4" fillId="2" borderId="1" applyAlignment="1" pivotButton="0" quotePrefix="0" xfId="0">
      <alignment horizontal="center"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33"/>
  <sheetViews>
    <sheetView workbookViewId="0">
      <selection activeCell="A1" sqref="A1"/>
    </sheetView>
  </sheetViews>
  <sheetFormatPr baseColWidth="8" defaultRowHeight="15"/>
  <cols>
    <col width="34" customWidth="1" min="1" max="1"/>
    <col width="26" customWidth="1" min="2" max="2"/>
    <col width="22" customWidth="1" min="3" max="3"/>
    <col width="42" customWidth="1" min="4" max="4"/>
    <col width="60" customWidth="1" min="5" max="5"/>
  </cols>
  <sheetData>
    <row r="1">
      <c r="A1" s="1" t="inlineStr">
        <is>
          <t>Market Radar — Settings Reference — v1.6.2 (2026-09-27)</t>
        </is>
      </c>
    </row>
    <row r="2">
      <c r="A2" s="2" t="inlineStr">
        <is>
          <t>Human-facing sheet of every tunable value. Companion to MARKET_RADAR_SETUP_AND_GLOSSARY.md.</t>
        </is>
      </c>
    </row>
    <row r="4">
      <c r="A4" s="3" t="inlineStr">
        <is>
          <t>What this workbook is</t>
        </is>
      </c>
    </row>
    <row r="5" ht="34" customHeight="1">
      <c r="A5" s="4" t="inlineStr">
        <is>
          <t>A plain-English list of every number, name and switch that controls Market Radar, with where each one lives in the code. It is a REFERENCE and a request form — typing in this workbook does NOT change the website.</t>
        </is>
      </c>
    </row>
    <row r="7">
      <c r="A7" s="3" t="inlineStr">
        <is>
          <t>How to use it</t>
        </is>
      </c>
    </row>
    <row r="8" ht="30" customHeight="1">
      <c r="A8" s="4" t="inlineStr">
        <is>
          <t>1. Find the setting on the sheet listed below.</t>
        </is>
      </c>
    </row>
    <row r="9" ht="30" customHeight="1">
      <c r="A9" s="4" t="inlineStr">
        <is>
          <t>2. Type the value you want in the YELLOW cell on that row (leave it blank to keep the current value).</t>
        </is>
      </c>
    </row>
    <row r="10" ht="30" customHeight="1">
      <c r="A10" s="4" t="inlineStr">
        <is>
          <t>3. Send the workbook to your AI session (or a developer) and ask for the change — or edit the file/line shown in 'Where to change it' yourself, then bump the version numbers.</t>
        </is>
      </c>
    </row>
    <row r="11" ht="30" customHeight="1">
      <c r="A11" s="4" t="inlineStr">
        <is>
          <t>4. After any code release, this workbook must be updated in the SAME release. It was out of date for three releases (v1.5.1 to v1.6.1) before this regeneration — do not let that happen again.</t>
        </is>
      </c>
    </row>
    <row r="13">
      <c r="A13" s="3" t="inlineStr">
        <is>
          <t>Colour legend</t>
        </is>
      </c>
    </row>
    <row r="14">
      <c r="A14" s="5" t="inlineStr">
        <is>
          <t>Yellow cell</t>
        </is>
      </c>
      <c r="B14" s="6" t="inlineStr">
        <is>
          <t>You fill this in (blank = keep current)</t>
        </is>
      </c>
      <c r="C14" s="7" t="n"/>
      <c r="D14" s="7" t="n"/>
      <c r="E14" s="8" t="n"/>
    </row>
    <row r="15">
      <c r="A15" s="9" t="inlineStr">
        <is>
          <t>Green text</t>
        </is>
      </c>
      <c r="B15" s="6" t="inlineStr">
        <is>
          <t>Calculated from another sheet — do not type over it</t>
        </is>
      </c>
      <c r="C15" s="7" t="n"/>
      <c r="D15" s="7" t="n"/>
      <c r="E15" s="8" t="n"/>
    </row>
    <row r="16">
      <c r="A16" s="10" t="inlineStr">
        <is>
          <t>Grey cell / black text</t>
        </is>
      </c>
      <c r="B16" s="6" t="inlineStr">
        <is>
          <t>Reference value or calculated — do not edit</t>
        </is>
      </c>
      <c r="C16" s="7" t="n"/>
      <c r="D16" s="7" t="n"/>
      <c r="E16" s="8" t="n"/>
    </row>
    <row r="17">
      <c r="A17" s="11" t="inlineStr">
        <is>
          <t>Grey italic row</t>
        </is>
      </c>
      <c r="B17" s="6" t="inlineStr">
        <is>
          <t>Example only — shows the expected format</t>
        </is>
      </c>
      <c r="C17" s="7" t="n"/>
      <c r="D17" s="7" t="n"/>
      <c r="E17" s="8" t="n"/>
    </row>
    <row r="19">
      <c r="A19" s="3" t="inlineStr">
        <is>
          <t>Example of a filled-in row (format only — the real row is on the Settings sheet)</t>
        </is>
      </c>
    </row>
    <row r="20" ht="32" customHeight="1">
      <c r="A20" s="12" t="inlineStr">
        <is>
          <t>Setting</t>
        </is>
      </c>
      <c r="B20" s="12" t="inlineStr">
        <is>
          <t>Current value</t>
        </is>
      </c>
      <c r="C20" s="12" t="inlineStr">
        <is>
          <t>Your value</t>
        </is>
      </c>
      <c r="D20" s="12" t="inlineStr">
        <is>
          <t>Where to change it</t>
        </is>
      </c>
      <c r="E20" s="12" t="inlineStr">
        <is>
          <t>Notes</t>
        </is>
      </c>
    </row>
    <row r="21">
      <c r="A21" s="11" t="inlineStr">
        <is>
          <t>EXAMPLE — Daily analysis limit per browser</t>
        </is>
      </c>
      <c r="B21" s="11" t="n">
        <v>15</v>
      </c>
      <c r="C21" s="13" t="n">
        <v>25</v>
      </c>
      <c r="D21" s="11" t="inlineStr">
        <is>
          <t>MAX_ANALYSES_PER_DAY, market-radar.js</t>
        </is>
      </c>
      <c r="E21" s="11" t="inlineStr">
        <is>
          <t>Example only. Typing 25 here would be a REQUEST to change the limit from 15 to 25.</t>
        </is>
      </c>
    </row>
    <row r="24">
      <c r="A24" s="3" t="inlineStr">
        <is>
          <t>Sheets in this workbook</t>
        </is>
      </c>
    </row>
    <row r="25" ht="28" customHeight="1">
      <c r="A25" s="14" t="inlineStr">
        <is>
          <t>Settings</t>
        </is>
      </c>
      <c r="B25" s="6" t="inlineStr">
        <is>
          <t>Scoring weights, thresholds, Market Gap rules, search/catchment numbers, Worker limits, cache lifetimes, versions.</t>
        </is>
      </c>
      <c r="C25" s="7" t="n"/>
      <c r="D25" s="7" t="n"/>
      <c r="E25" s="8" t="n"/>
    </row>
    <row r="26" ht="28" customHeight="1">
      <c r="A26" s="14" t="inlineStr">
        <is>
          <t>Catchments</t>
        </is>
      </c>
      <c r="B26" s="6" t="inlineStr">
        <is>
          <t>The six walk/drive modes, and what the search-radius multiplier does to each (live formulas).</t>
        </is>
      </c>
      <c r="C26" s="7" t="n"/>
      <c r="D26" s="7" t="n"/>
      <c r="E26" s="8" t="n"/>
    </row>
    <row r="27" ht="28" customHeight="1">
      <c r="A27" s="14" t="inlineStr">
        <is>
          <t>Categories</t>
        </is>
      </c>
      <c r="B27" s="6" t="inlineStr">
        <is>
          <t>The 13 business types: OSM tags, MSIC codes, and which backup sources cover each. Includes the tag-pair budget check.</t>
        </is>
      </c>
      <c r="C27" s="7" t="n"/>
      <c r="D27" s="7" t="n"/>
      <c r="E27" s="8" t="n"/>
    </row>
    <row r="28" ht="28" customHeight="1">
      <c r="A28" s="14" t="inlineStr">
        <is>
          <t>NameHints</t>
        </is>
      </c>
      <c r="B28" s="6" t="inlineStr">
        <is>
          <t>Brand/keyword list that re-classifies a place as 'Drink stall / bubble tea' by its name.</t>
        </is>
      </c>
      <c r="C28" s="7" t="n"/>
      <c r="D28" s="7" t="n"/>
      <c r="E28" s="8" t="n"/>
    </row>
    <row r="29" ht="28" customHeight="1">
      <c r="A29" s="14" t="inlineStr">
        <is>
          <t>Towns</t>
        </is>
      </c>
      <c r="B29" s="6" t="inlineStr">
        <is>
          <t>The four towns, their DOSM district spelling, and the pinned population fallback.</t>
        </is>
      </c>
      <c r="C29" s="7" t="n"/>
      <c r="D29" s="7" t="n"/>
      <c r="E29" s="8" t="n"/>
    </row>
    <row r="30" ht="28" customHeight="1">
      <c r="A30" s="14" t="inlineStr">
        <is>
          <t>Anchors</t>
        </is>
      </c>
      <c r="B30" s="6" t="inlineStr">
        <is>
          <t>Foot-traffic institutions (schools, hospitals, malls…) — shown on the map, never counted as competitors.</t>
        </is>
      </c>
      <c r="C30" s="7" t="n"/>
      <c r="D30" s="7" t="n"/>
      <c r="E30" s="8" t="n"/>
    </row>
    <row r="31" ht="28" customHeight="1">
      <c r="A31" s="14" t="inlineStr">
        <is>
          <t>Cloudflare</t>
        </is>
      </c>
      <c r="B31" s="6" t="inlineStr">
        <is>
          <t>Secret/binding NAMES (never values) and the Worker's endpoints, models and allowed origins.</t>
        </is>
      </c>
      <c r="C31" s="7" t="n"/>
      <c r="D31" s="7" t="n"/>
      <c r="E31" s="8" t="n"/>
    </row>
    <row r="33" ht="28" customHeight="1">
      <c r="A33" s="15" t="inlineStr">
        <is>
          <t>Never type an API key, password or secret into this workbook. Keys live only in Cloudflare's Secrets store.</t>
        </is>
      </c>
    </row>
  </sheetData>
  <mergeCells count="17">
    <mergeCell ref="B31:E31"/>
    <mergeCell ref="B17:E17"/>
    <mergeCell ref="B26:E26"/>
    <mergeCell ref="B27:E27"/>
    <mergeCell ref="A10:E10"/>
    <mergeCell ref="B30:E30"/>
    <mergeCell ref="B16:E16"/>
    <mergeCell ref="A11:E11"/>
    <mergeCell ref="B15:E15"/>
    <mergeCell ref="B29:E29"/>
    <mergeCell ref="A5:E5"/>
    <mergeCell ref="B25:E25"/>
    <mergeCell ref="A33:E33"/>
    <mergeCell ref="A8:E8"/>
    <mergeCell ref="B28:E28"/>
    <mergeCell ref="A9:E9"/>
    <mergeCell ref="B14:E1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60"/>
  <sheetViews>
    <sheetView workbookViewId="0">
      <pane ySplit="4" topLeftCell="A5" activePane="bottomLeft" state="frozen"/>
      <selection pane="bottomLeft" activeCell="A1" sqref="A1"/>
    </sheetView>
  </sheetViews>
  <sheetFormatPr baseColWidth="8" defaultRowHeight="15"/>
  <cols>
    <col width="52" customWidth="1" min="1" max="1"/>
    <col width="24" customWidth="1" min="2" max="2"/>
    <col width="18" customWidth="1" min="3" max="3"/>
    <col width="46" customWidth="1" min="4" max="4"/>
    <col width="70" customWidth="1" min="5" max="5"/>
  </cols>
  <sheetData>
    <row r="1">
      <c r="A1" s="1" t="inlineStr">
        <is>
          <t>Settings — v1.6.2 (2026-09-27)</t>
        </is>
      </c>
    </row>
    <row r="2">
      <c r="A2" s="2" t="inlineStr">
        <is>
          <t>Edit only the yellow cells. Values below were transcribed from the shipped code on 2026-09-27.</t>
        </is>
      </c>
    </row>
    <row r="4" ht="32" customHeight="1">
      <c r="A4" s="12" t="inlineStr">
        <is>
          <t>Setting</t>
        </is>
      </c>
      <c r="B4" s="12" t="inlineStr">
        <is>
          <t>Current value</t>
        </is>
      </c>
      <c r="C4" s="12" t="inlineStr">
        <is>
          <t>Your value</t>
        </is>
      </c>
      <c r="D4" s="12" t="inlineStr">
        <is>
          <t>Where to change it</t>
        </is>
      </c>
      <c r="E4" s="12" t="inlineStr">
        <is>
          <t>Notes</t>
        </is>
      </c>
    </row>
    <row r="5">
      <c r="A5" s="16" t="inlineStr">
        <is>
          <t>OPPORTUNITY SCORE WEIGHTS (Market Analysis mode) — the page also lets you edit these live</t>
        </is>
      </c>
      <c r="B5" s="16" t="n"/>
      <c r="C5" s="16" t="n"/>
      <c r="D5" s="16" t="n"/>
      <c r="E5" s="16" t="n"/>
    </row>
    <row r="6">
      <c r="A6" s="6" t="inlineStr">
        <is>
          <t>Low competition weight</t>
        </is>
      </c>
      <c r="B6" s="17" t="n">
        <v>0.35</v>
      </c>
      <c r="C6" s="5" t="n"/>
      <c r="D6" s="6" t="inlineStr">
        <is>
          <t>SCORE_WEIGHTS_DEFAULT.lowCompetition — market-radar.js</t>
        </is>
      </c>
      <c r="E6" s="6" t="inlineStr">
        <is>
          <t>Fewer competitors = higher score.</t>
        </is>
      </c>
    </row>
    <row r="7">
      <c r="A7" s="6" t="inlineStr">
        <is>
          <t>Population reached weight</t>
        </is>
      </c>
      <c r="B7" s="17" t="n">
        <v>0.25</v>
      </c>
      <c r="C7" s="5" t="n"/>
      <c r="D7" s="6" t="inlineStr">
        <is>
          <t>SCORE_WEIGHTS_DEFAULT.population — market-radar.js</t>
        </is>
      </c>
      <c r="E7" s="6" t="inlineStr"/>
    </row>
    <row r="8">
      <c r="A8" s="6" t="inlineStr">
        <is>
          <t>Household income band weight</t>
        </is>
      </c>
      <c r="B8" s="17" t="n">
        <v>0.15</v>
      </c>
      <c r="C8" s="5" t="n"/>
      <c r="D8" s="6" t="inlineStr">
        <is>
          <t>SCORE_WEIGHTS_DEFAULT.income — market-radar.js</t>
        </is>
      </c>
      <c r="E8" s="6" t="inlineStr"/>
    </row>
    <row r="9">
      <c r="A9" s="6" t="inlineStr">
        <is>
          <t>Category diversity nearby weight</t>
        </is>
      </c>
      <c r="B9" s="17" t="n">
        <v>0.15</v>
      </c>
      <c r="C9" s="5" t="n"/>
      <c r="D9" s="6" t="inlineStr">
        <is>
          <t>SCORE_WEIGHTS_DEFAULT.diversity — market-radar.js</t>
        </is>
      </c>
      <c r="E9" s="6" t="inlineStr"/>
    </row>
    <row r="10">
      <c r="A10" s="6" t="inlineStr">
        <is>
          <t>Momentum weight</t>
        </is>
      </c>
      <c r="B10" s="17" t="n">
        <v>0.1</v>
      </c>
      <c r="C10" s="5" t="n"/>
      <c r="D10" s="6" t="inlineStr">
        <is>
          <t>SCORE_WEIGHTS_DEFAULT.momentum — market-radar.js</t>
        </is>
      </c>
      <c r="E10" s="6" t="inlineStr">
        <is>
          <t>Sits at a neutral 0.5 sub-score until repeated snapshots exist, so this weight currently just pulls every score toward the middle.</t>
        </is>
      </c>
    </row>
    <row r="11">
      <c r="A11" s="6" t="inlineStr">
        <is>
          <t>Competitor strength weight</t>
        </is>
      </c>
      <c r="B11" s="17" t="n">
        <v>0</v>
      </c>
      <c r="C11" s="5" t="n"/>
      <c r="D11" s="6" t="inlineStr">
        <is>
          <t>SCORE_WEIGHTS_DEFAULT.competitorStrength — market-radar.js</t>
        </is>
      </c>
      <c r="E11" s="6" t="inlineStr">
        <is>
          <t>Off by default. Set to 0.10 automatically (taken from Low competition) the moment an on-site busyness read is picked.</t>
        </is>
      </c>
    </row>
    <row r="12">
      <c r="A12" s="18" t="inlineStr">
        <is>
          <t>Weights total — current (should be 1.00)</t>
        </is>
      </c>
      <c r="B12" s="19">
        <f>SUM(B6:B11)</f>
        <v/>
      </c>
      <c r="C12" s="10" t="n"/>
      <c r="D12" s="10" t="inlineStr">
        <is>
          <t>(calculated)</t>
        </is>
      </c>
      <c r="E12" s="10" t="inlineStr">
        <is>
          <t>Transparency check only — the page divides by the total, so a total off 1.00 still gives a sane 0–100 score.</t>
        </is>
      </c>
    </row>
    <row r="13">
      <c r="A13" s="18" t="inlineStr">
        <is>
          <t>Weights total — with YOUR values applied (blank = keep current)</t>
        </is>
      </c>
      <c r="B13" s="19">
        <f>SUMPRODUCT((C6:C11="")*B6:B11)+SUM(C6:C11)</f>
        <v/>
      </c>
      <c r="C13" s="10" t="n"/>
      <c r="D13" s="10" t="inlineStr">
        <is>
          <t>(calculated)</t>
        </is>
      </c>
      <c r="E13" s="10" t="inlineStr">
        <is>
          <t>Type new weights in the yellow cells above and watch this — aim for 1.00.</t>
        </is>
      </c>
    </row>
    <row r="14">
      <c r="A14" s="16" t="inlineStr">
        <is>
          <t>SCORE THRESHOLDS &amp; AUTO-BEHAVIOUR</t>
        </is>
      </c>
      <c r="B14" s="16" t="n"/>
      <c r="C14" s="16" t="n"/>
      <c r="D14" s="16" t="n"/>
      <c r="E14" s="16" t="n"/>
    </row>
    <row r="15">
      <c r="A15" s="6" t="inlineStr">
        <is>
          <t>Competitors that count as 'fully saturated', PER business type ticked</t>
        </is>
      </c>
      <c r="B15" s="6" t="n">
        <v>12</v>
      </c>
      <c r="C15" s="5" t="n"/>
      <c r="D15" s="6" t="inlineStr">
        <is>
          <t>SATURATION_COUNT — market-radar.js</t>
        </is>
      </c>
      <c r="E15" s="6" t="inlineStr">
        <is>
          <t>Ticking 4 types means 48 is 'saturated'. A judgement call, not a sourced figure.</t>
        </is>
      </c>
    </row>
    <row r="16">
      <c r="A16" s="6" t="inlineStr">
        <is>
          <t>District population that maxes out the population sub-score (people)</t>
        </is>
      </c>
      <c r="B16" s="20" t="n">
        <v>120000</v>
      </c>
      <c r="C16" s="5" t="n"/>
      <c r="D16" s="6" t="inlineStr">
        <is>
          <t>POPULATION_NORMALIZER — market-radar.js</t>
        </is>
      </c>
      <c r="E16" s="6" t="inlineStr">
        <is>
          <t>A district at or above this scores 1.0 on population.</t>
        </is>
      </c>
    </row>
    <row r="17">
      <c r="A17" s="6" t="inlineStr">
        <is>
          <t>District income that maxes out the income sub-score (RM/month)</t>
        </is>
      </c>
      <c r="B17" s="20" t="n">
        <v>7000</v>
      </c>
      <c r="C17" s="5" t="n"/>
      <c r="D17" s="6" t="inlineStr">
        <is>
          <t>INCOME_NORMALIZER — market-radar.js</t>
        </is>
      </c>
      <c r="E17" s="6" t="inlineStr"/>
    </row>
    <row r="18">
      <c r="A18" s="6" t="inlineStr">
        <is>
          <t>Weight given to an on-site read the moment one is picked</t>
        </is>
      </c>
      <c r="B18" s="17" t="n">
        <v>0.1</v>
      </c>
      <c r="C18" s="5" t="n"/>
      <c r="D18" s="6" t="inlineStr">
        <is>
          <t>ON_SITE_AUTO_WEIGHT — market-radar.js</t>
        </is>
      </c>
      <c r="E18" s="6" t="inlineStr">
        <is>
          <t>Taken out of 'Low competition' so the total stays 1.00.</t>
        </is>
      </c>
    </row>
    <row r="19">
      <c r="A19" s="6" t="inlineStr">
        <is>
          <t>Verdict: 'Strong opportunity' at or above (score 0–1)</t>
        </is>
      </c>
      <c r="B19" s="17" t="n">
        <v>0.75</v>
      </c>
      <c r="C19" s="5" t="n"/>
      <c r="D19" s="6" t="inlineStr">
        <is>
          <t>scoreVerdict() — market-radar.js</t>
        </is>
      </c>
      <c r="E19" s="6" t="inlineStr">
        <is>
          <t>Hardcoded inside the function, not a named constant.</t>
        </is>
      </c>
    </row>
    <row r="20">
      <c r="A20" s="6" t="inlineStr">
        <is>
          <t>Verdict: 'Worth a closer look' at or above</t>
        </is>
      </c>
      <c r="B20" s="17" t="n">
        <v>0.55</v>
      </c>
      <c r="C20" s="5" t="n"/>
      <c r="D20" s="6" t="inlineStr">
        <is>
          <t>scoreVerdict() — market-radar.js</t>
        </is>
      </c>
      <c r="E20" s="6" t="inlineStr"/>
    </row>
    <row r="21">
      <c r="A21" s="6" t="inlineStr">
        <is>
          <t>Verdict: 'Competitive, proceed carefully' at or above</t>
        </is>
      </c>
      <c r="B21" s="17" t="n">
        <v>0.35</v>
      </c>
      <c r="C21" s="5" t="n"/>
      <c r="D21" s="6" t="inlineStr">
        <is>
          <t>scoreVerdict() — market-radar.js</t>
        </is>
      </c>
      <c r="E21" s="6" t="inlineStr">
        <is>
          <t>Below this: 'Crowded — hard to stand out here'.</t>
        </is>
      </c>
    </row>
    <row r="22">
      <c r="A22" s="16" t="inlineStr">
        <is>
          <t>BUSINESS-TYPE PICKER</t>
        </is>
      </c>
      <c r="B22" s="16" t="n"/>
      <c r="C22" s="16" t="n"/>
      <c r="D22" s="16" t="n"/>
      <c r="E22" s="16" t="n"/>
    </row>
    <row r="23">
      <c r="A23" s="6" t="inlineStr">
        <is>
          <t>Most business types tickable at once (Market Analysis)</t>
        </is>
      </c>
      <c r="B23" s="6" t="n">
        <v>4</v>
      </c>
      <c r="C23" s="5" t="n"/>
      <c r="D23" s="6" t="inlineStr">
        <is>
          <t>MAX_CATEGORIES — market-radar.js</t>
        </is>
      </c>
      <c r="E23" s="6" t="inlineStr">
        <is>
          <t>Does not apply to Market Gap, which always checks the whole checklist.</t>
        </is>
      </c>
    </row>
    <row r="24">
      <c r="A24" s="6" t="inlineStr">
        <is>
          <t>Business type ticked when the page opens</t>
        </is>
      </c>
      <c r="B24" s="6" t="inlineStr">
        <is>
          <t>cafe  (Cafe / kopitiam)</t>
        </is>
      </c>
      <c r="C24" s="5" t="n"/>
      <c r="D24" s="6" t="inlineStr">
        <is>
          <t>DEFAULT_CATEGORIES — market-radar.js</t>
        </is>
      </c>
      <c r="E24" s="6" t="inlineStr">
        <is>
          <t>Use a category KEY from the Categories sheet.</t>
        </is>
      </c>
    </row>
    <row r="25">
      <c r="A25" s="6" t="inlineStr">
        <is>
          <t>Allowed characters in a custom OSM key/value</t>
        </is>
      </c>
      <c r="B25" s="6" t="inlineStr">
        <is>
          <t>/^[A-Za-z0-9_:\-]{1,40}$/</t>
        </is>
      </c>
      <c r="C25" s="5" t="n"/>
      <c r="D25" s="6" t="inlineStr">
        <is>
          <t>CUSTOM_TAG_PATTERN (market-radar.js) AND TAG_TOKEN (market-radar-proxy-worker.js)</t>
        </is>
      </c>
      <c r="E25" s="6" t="inlineStr">
        <is>
          <t>Must be changed in BOTH files or the Worker will silently drop tags the page allows.</t>
        </is>
      </c>
    </row>
    <row r="26">
      <c r="A26" s="6" t="inlineStr">
        <is>
          <t>Default town  —  NOT ACTUALLY USED</t>
        </is>
      </c>
      <c r="B26" s="6" t="inlineStr">
        <is>
          <t>miri</t>
        </is>
      </c>
      <c r="C26" s="5" t="n"/>
      <c r="D26" s="6" t="inlineStr">
        <is>
          <t>DEFAULT_TOWN — market-radar.js</t>
        </is>
      </c>
      <c r="E26" s="6" t="inlineStr">
        <is>
          <t>Declared but never read anywhere (checked 2026-09-27): the wizard always asks for the town. Changing this has NO effect. Earlier versions of this sheet listed it as a working setting.</t>
        </is>
      </c>
    </row>
    <row r="27">
      <c r="A27" s="16" t="inlineStr">
        <is>
          <t>MARKET GAP MODE</t>
        </is>
      </c>
      <c r="B27" s="16" t="n"/>
      <c r="C27" s="16" t="n"/>
      <c r="D27" s="16" t="n"/>
      <c r="E27" s="16" t="n"/>
    </row>
    <row r="28">
      <c r="A28" s="6" t="inlineStr">
        <is>
          <t>Most custom checklist items addable</t>
        </is>
      </c>
      <c r="B28" s="6" t="n">
        <v>8</v>
      </c>
      <c r="C28" s="5" t="n"/>
      <c r="D28" s="6" t="inlineStr">
        <is>
          <t>MAX_GAP_CUSTOM_ITEMS — market-radar.js</t>
        </is>
      </c>
      <c r="E28" s="6" t="inlineStr">
        <is>
          <t>Each one uses 1 of the Worker's tag-pair budget — see the Categories sheet.</t>
        </is>
      </c>
    </row>
    <row r="29">
      <c r="A29" s="6" t="inlineStr">
        <is>
          <t>'Oversupplied' if count is at least this × the catchment's own average</t>
        </is>
      </c>
      <c r="B29" s="21" t="n">
        <v>2</v>
      </c>
      <c r="C29" s="5" t="n"/>
      <c r="D29" s="6" t="inlineStr">
        <is>
          <t>computeGapReads() — market-radar.js (inline: avg * 2)</t>
        </is>
      </c>
      <c r="E29" s="6" t="inlineStr">
        <is>
          <t>Average is over categories that have at least one place. Relative to THIS catchment, never an outside benchmark.</t>
        </is>
      </c>
    </row>
    <row r="30">
      <c r="A30" s="6" t="inlineStr">
        <is>
          <t>'Thin' if count is at most this × the catchment's own average</t>
        </is>
      </c>
      <c r="B30" s="21" t="n">
        <v>0.4</v>
      </c>
      <c r="C30" s="5" t="n"/>
      <c r="D30" s="6" t="inlineStr">
        <is>
          <t>computeGapReads() — market-radar.js (inline: avg * 0.4)</t>
        </is>
      </c>
      <c r="E30" s="6" t="inlineStr">
        <is>
          <t>A count of zero is always 'Gap' — no threshold involved.</t>
        </is>
      </c>
    </row>
    <row r="31">
      <c r="A31" s="16" t="inlineStr">
        <is>
          <t>CATCHMENT, SEARCH &amp; MAP</t>
        </is>
      </c>
      <c r="B31" s="16" t="n"/>
      <c r="C31" s="16" t="n"/>
      <c r="D31" s="16" t="n"/>
      <c r="E31" s="16" t="n"/>
    </row>
    <row r="32">
      <c r="A32" s="6" t="inlineStr">
        <is>
          <t>Over-fetch multiplier applied to a catchment's fallback radius before asking Overpass</t>
        </is>
      </c>
      <c r="B32" s="17" t="n">
        <v>1.3</v>
      </c>
      <c r="C32" s="5" t="n"/>
      <c r="D32" s="6" t="inlineStr">
        <is>
          <t>analyzeSpot() — market-radar.js (inline: fallbackRadiusM * 1.3)</t>
        </is>
      </c>
      <c r="E32" s="6" t="inlineStr">
        <is>
          <t>CANDIDATE FACTOR in the 2026-09-27 pharmacy/petrol report, for DRIVE catchments: a real isochrone can stretch past 1.3× along a highway, so Overpass's own search never reaches the place. Do not change without live evidence. The Catchments sheet shows what any value would do.</t>
        </is>
      </c>
    </row>
    <row r="33">
      <c r="A33" s="6" t="inlineStr">
        <is>
          <t>Largest search radius the Worker accepts (metres)</t>
        </is>
      </c>
      <c r="B33" s="20" t="n">
        <v>12000</v>
      </c>
      <c r="C33" s="5" t="n"/>
      <c r="D33" s="6" t="inlineStr">
        <is>
          <t>MAX_RADIUS_M — market-radar-proxy-worker.js</t>
        </is>
      </c>
      <c r="E33" s="6" t="inlineStr">
        <is>
          <t>Anything larger is clamped down. Raising the multiplier past ~1.5 pushes 'drive15' into this cap.</t>
        </is>
      </c>
    </row>
    <row r="34">
      <c r="A34" s="6" t="inlineStr">
        <is>
          <t>Smallest search radius the Worker accepts (metres)</t>
        </is>
      </c>
      <c r="B34" s="20" t="n">
        <v>100</v>
      </c>
      <c r="C34" s="5" t="n"/>
      <c r="D34" s="6" t="inlineStr">
        <is>
          <t>Router — Math.max(…, 100) — market-radar-proxy-worker.js</t>
        </is>
      </c>
      <c r="E34" s="6" t="inlineStr">
        <is>
          <t>Hardcoded inline.</t>
        </is>
      </c>
    </row>
    <row r="35">
      <c r="A35" s="6" t="inlineStr">
        <is>
          <t>Isochrone time range the Worker accepts (seconds)</t>
        </is>
      </c>
      <c r="B35" s="6" t="inlineStr">
        <is>
          <t>60 – 3600</t>
        </is>
      </c>
      <c r="C35" s="5" t="n"/>
      <c r="D35" s="6" t="inlineStr">
        <is>
          <t>Router — market-radar-proxy-worker.js</t>
        </is>
      </c>
      <c r="E35" s="6" t="inlineStr">
        <is>
          <t>Anything outside is ignored and the page draws a fallback circle.</t>
        </is>
      </c>
    </row>
    <row r="36">
      <c r="A36" s="6" t="inlineStr">
        <is>
          <t>Map starting zoom</t>
        </is>
      </c>
      <c r="B36" s="6" t="n">
        <v>14</v>
      </c>
      <c r="C36" s="5" t="n"/>
      <c r="D36" s="6" t="inlineStr">
        <is>
          <t>initMap() — market-radar.js (inline setView)</t>
        </is>
      </c>
      <c r="E36" s="6" t="inlineStr">
        <is>
          <t>Re-fitted to the catchment after each analysis.</t>
        </is>
      </c>
    </row>
    <row r="37">
      <c r="A37" s="6" t="inlineStr">
        <is>
          <t>Heat map radius (pixels)</t>
        </is>
      </c>
      <c r="B37" s="6" t="n">
        <v>35</v>
      </c>
      <c r="C37" s="5" t="n"/>
      <c r="D37" s="6" t="inlineStr">
        <is>
          <t>analyzeSpot() — market-radar.js (heatLayer options)</t>
        </is>
      </c>
      <c r="E37" s="6" t="inlineStr"/>
    </row>
    <row r="38">
      <c r="A38" s="6" t="inlineStr">
        <is>
          <t>Heat map blur (pixels)</t>
        </is>
      </c>
      <c r="B38" s="6" t="n">
        <v>25</v>
      </c>
      <c r="C38" s="5" t="n"/>
      <c r="D38" s="6" t="inlineStr">
        <is>
          <t>analyzeSpot() — market-radar.js (heatLayer options)</t>
        </is>
      </c>
      <c r="E38" s="6" t="inlineStr"/>
    </row>
    <row r="39">
      <c r="A39" s="6" t="inlineStr">
        <is>
          <t>Heat map 'fully red' overlap count</t>
        </is>
      </c>
      <c r="B39" s="6" t="n">
        <v>3</v>
      </c>
      <c r="C39" s="5" t="n"/>
      <c r="D39" s="6" t="inlineStr">
        <is>
          <t>analyzeSpot() — market-radar.js (heatLayer max)</t>
        </is>
      </c>
      <c r="E39" s="6" t="inlineStr">
        <is>
          <t>Calibrated for this tool's scale (single digits to a few dozen points), not the thousands Leaflet.heat assumes.</t>
        </is>
      </c>
    </row>
    <row r="40">
      <c r="A40" s="6" t="inlineStr">
        <is>
          <t>Daily analysis limit per browser</t>
        </is>
      </c>
      <c r="B40" s="6" t="n">
        <v>15</v>
      </c>
      <c r="C40" s="5" t="n"/>
      <c r="D40" s="6" t="inlineStr">
        <is>
          <t>MAX_ANALYSES_PER_DAY — market-radar.js</t>
        </is>
      </c>
      <c r="E40" s="6" t="inlineStr">
        <is>
          <t>Per browser (localStorage) — trivially bypassed. Protects OpenRouteService's shared 500-isochrone allowance and data.gov.my's per-minute limit. Shared by both modes.</t>
        </is>
      </c>
    </row>
    <row r="41">
      <c r="A41" s="6" t="inlineStr">
        <is>
          <t>'Still working…' message interval (milliseconds)</t>
        </is>
      </c>
      <c r="B41" s="20" t="n">
        <v>7000</v>
      </c>
      <c r="C41" s="5" t="n"/>
      <c r="D41" s="6" t="inlineStr">
        <is>
          <t>startProgressMessages() — market-radar.js (inline)</t>
        </is>
      </c>
      <c r="E41" s="6" t="inlineStr"/>
    </row>
    <row r="42">
      <c r="A42" s="16" t="inlineStr">
        <is>
          <t>WORKER LIMITS (Cloudflare)</t>
        </is>
      </c>
      <c r="B42" s="16" t="n"/>
      <c r="C42" s="16" t="n"/>
      <c r="D42" s="16" t="n"/>
      <c r="E42" s="16" t="n"/>
    </row>
    <row r="43">
      <c r="A43" s="6" t="inlineStr">
        <is>
          <t>Timeout per external call (milliseconds)</t>
        </is>
      </c>
      <c r="B43" s="20" t="n">
        <v>10000</v>
      </c>
      <c r="C43" s="5" t="n"/>
      <c r="D43" s="6" t="inlineStr">
        <is>
          <t>EXTERNAL_CALL_TIMEOUT_MS — market-radar-proxy-worker.js</t>
        </is>
      </c>
      <c r="E43" s="6" t="inlineStr">
        <is>
          <t>Each Overpass mirror, Geoapify, ORS and Gemini. Worst-case POI leg ≈ 3 mirrors + Geoapify ≈ 40 s.</t>
        </is>
      </c>
    </row>
    <row r="44">
      <c r="A44" s="6" t="inlineStr">
        <is>
          <t>Timeout per DOSM API call (milliseconds)</t>
        </is>
      </c>
      <c r="B44" s="20" t="n">
        <v>8000</v>
      </c>
      <c r="C44" s="5" t="n"/>
      <c r="D44" s="6" t="inlineStr">
        <is>
          <t>fetchDosmRows() — market-radar-proxy-worker.js (inline)</t>
        </is>
      </c>
      <c r="E44" s="6" t="inlineStr"/>
    </row>
    <row r="45">
      <c r="A45" s="6" t="inlineStr">
        <is>
          <t>Timeout for the DOSM retail-trade CSV download (milliseconds)</t>
        </is>
      </c>
      <c r="B45" s="20" t="n">
        <v>15000</v>
      </c>
      <c r="C45" s="5" t="n"/>
      <c r="D45" s="6" t="inlineStr">
        <is>
          <t>fetchWholesaleRetailTrends() — market-radar-proxy-worker.js (inline)</t>
        </is>
      </c>
      <c r="E45" s="6" t="inlineStr"/>
    </row>
    <row r="46">
      <c r="A46" s="6" t="inlineStr">
        <is>
          <t>Most OSM tag pairs across ALL categories in one request</t>
        </is>
      </c>
      <c r="B46" s="6" t="n">
        <v>40</v>
      </c>
      <c r="C46" s="5" t="n"/>
      <c r="D46" s="6" t="inlineStr">
        <is>
          <t>MAX_CATEGORY_TAG_PAIRS — market-radar-proxy-worker.js</t>
        </is>
      </c>
      <c r="E46" s="6" t="inlineStr">
        <is>
          <t>One counter shared across every category — it does NOT reset per category. Categories processed last silently lose their tags when it runs out. See the budget check on the Categories sheet.</t>
        </is>
      </c>
    </row>
    <row r="47">
      <c r="A47" s="6" t="inlineStr">
        <is>
          <t>Most OSM tag pairs across all anchors in one request</t>
        </is>
      </c>
      <c r="B47" s="6" t="n">
        <v>30</v>
      </c>
      <c r="C47" s="5" t="n"/>
      <c r="D47" s="6" t="inlineStr">
        <is>
          <t>MAX_ANCHOR_TAG_PAIRS — market-radar-proxy-worker.js</t>
        </is>
      </c>
      <c r="E47" s="6" t="inlineStr">
        <is>
          <t>Separate counter from the one above. Current usage is calculated on the Anchors sheet.</t>
        </is>
      </c>
    </row>
    <row r="48">
      <c r="A48" s="6" t="inlineStr">
        <is>
          <t>Google rating match distance (metres)</t>
        </is>
      </c>
      <c r="B48" s="6" t="n">
        <v>75</v>
      </c>
      <c r="C48" s="5" t="n"/>
      <c r="D48" s="6" t="inlineStr">
        <is>
          <t>attachGooglePopularity() — market-radar-proxy-worker.js (MAX_MATCH_DISTANCE_M)</t>
        </is>
      </c>
      <c r="E48" s="6" t="inlineStr">
        <is>
          <t>Only used when GOOGLE_PLACES_API_KEY is set (paid).</t>
        </is>
      </c>
    </row>
    <row r="49">
      <c r="A49" s="6" t="inlineStr">
        <is>
          <t>Geoapify places returned per request</t>
        </is>
      </c>
      <c r="B49" s="6" t="n">
        <v>500</v>
      </c>
      <c r="C49" s="5" t="n"/>
      <c r="D49" s="6" t="inlineStr">
        <is>
          <t>fetchGeoapifyPOIs() — market-radar-proxy-worker.js (inline limit=500)</t>
        </is>
      </c>
      <c r="E49" s="6" t="inlineStr">
        <is>
          <t>Backstop only; free tier is 3,000 credits/day.</t>
        </is>
      </c>
    </row>
    <row r="50">
      <c r="A50" s="16" t="inlineStr">
        <is>
          <t>CACHE LIFETIMES (Cloudflare Cache API — not guaranteed on *.workers.dev; nothing depends on it)</t>
        </is>
      </c>
      <c r="B50" s="16" t="n"/>
      <c r="C50" s="16" t="n"/>
      <c r="D50" s="16" t="n"/>
      <c r="E50" s="16" t="n"/>
    </row>
    <row r="51">
      <c r="A51" s="6" t="inlineStr">
        <is>
          <t>Overpass POI results (hours)</t>
        </is>
      </c>
      <c r="B51" s="6" t="n">
        <v>24</v>
      </c>
      <c r="C51" s="5" t="n"/>
      <c r="D51" s="6" t="inlineStr">
        <is>
          <t>fetchOverpassPOIs() — max-age=86400</t>
        </is>
      </c>
      <c r="E51" s="6" t="inlineStr">
        <is>
          <t>Failures are never cached.</t>
        </is>
      </c>
    </row>
    <row r="52">
      <c r="A52" s="6" t="inlineStr">
        <is>
          <t>Geoapify results (hours)</t>
        </is>
      </c>
      <c r="B52" s="6" t="n">
        <v>24</v>
      </c>
      <c r="C52" s="5" t="n"/>
      <c r="D52" s="6" t="inlineStr">
        <is>
          <t>fetchGeoapifyPOIs() — max-age=86400</t>
        </is>
      </c>
      <c r="E52" s="6" t="inlineStr"/>
    </row>
    <row r="53">
      <c r="A53" s="6" t="inlineStr">
        <is>
          <t>Google ratings (hours)</t>
        </is>
      </c>
      <c r="B53" s="6" t="n">
        <v>24</v>
      </c>
      <c r="C53" s="5" t="n"/>
      <c r="D53" s="6" t="inlineStr">
        <is>
          <t>fetchGooglePopularity() — max-age=86400</t>
        </is>
      </c>
      <c r="E53" s="6" t="inlineStr"/>
    </row>
    <row r="54">
      <c r="A54" s="6" t="inlineStr">
        <is>
          <t>Isochrone shapes (days)</t>
        </is>
      </c>
      <c r="B54" s="6" t="n">
        <v>30</v>
      </c>
      <c r="C54" s="5" t="n"/>
      <c r="D54" s="6" t="inlineStr">
        <is>
          <t>fetchIsochrone() — max-age=2592000</t>
        </is>
      </c>
      <c r="E54" s="6" t="inlineStr"/>
    </row>
    <row r="55">
      <c r="A55" s="6" t="inlineStr">
        <is>
          <t>District population/income (days)</t>
        </is>
      </c>
      <c r="B55" s="6" t="n">
        <v>7</v>
      </c>
      <c r="C55" s="5" t="n"/>
      <c r="D55" s="6" t="inlineStr">
        <is>
          <t>fetchDemographics() — 604800 s</t>
        </is>
      </c>
      <c r="E55" s="6" t="inlineStr">
        <is>
          <t>Successes only, each figure cached independently. The pinned population fallback is a plain constant, not cached data.</t>
        </is>
      </c>
    </row>
    <row r="56">
      <c r="A56" s="6" t="inlineStr">
        <is>
          <t>DOSM retail-trade figures (days)</t>
        </is>
      </c>
      <c r="B56" s="6" t="n">
        <v>30</v>
      </c>
      <c r="C56" s="5" t="n"/>
      <c r="D56" s="6" t="inlineStr">
        <is>
          <t>fetchWholesaleRetailTrends() — 2592000 s</t>
        </is>
      </c>
      <c r="E56" s="6" t="inlineStr">
        <is>
          <t>The index updates monthly.</t>
        </is>
      </c>
    </row>
    <row r="57">
      <c r="A57" s="16" t="inlineStr">
        <is>
          <t>VERSIONS</t>
        </is>
      </c>
      <c r="B57" s="16" t="n"/>
      <c r="C57" s="16" t="n"/>
      <c r="D57" s="16" t="n"/>
      <c r="E57" s="16" t="n"/>
    </row>
    <row r="58">
      <c r="A58" s="6" t="inlineStr">
        <is>
          <t>Client version (browser console)</t>
        </is>
      </c>
      <c r="B58" s="6" t="inlineStr">
        <is>
          <t>1.6.2</t>
        </is>
      </c>
      <c r="C58" s="5" t="n"/>
      <c r="D58" s="6" t="inlineStr">
        <is>
          <t>MR_CLIENT_VERSION — market-radar.js (first lines)</t>
        </is>
      </c>
      <c r="E58" s="6" t="inlineStr">
        <is>
          <t>Console should log 'client v1.6.2' after a hard refresh.</t>
        </is>
      </c>
    </row>
    <row r="59">
      <c r="A59" s="6" t="inlineStr">
        <is>
          <t>Worker version (shown under 'Competitors in catchment' in Market Analysis mode)</t>
        </is>
      </c>
      <c r="B59" s="6" t="inlineStr">
        <is>
          <t>1.6.0</t>
        </is>
      </c>
      <c r="C59" s="5" t="n"/>
      <c r="D59" s="6" t="inlineStr">
        <is>
          <t>WORKER_VERSION — market-radar-proxy-worker.js</t>
        </is>
      </c>
      <c r="E59" s="6" t="inlineStr">
        <is>
          <t>Unchanged this release — no Cloudflare redeploy needed.</t>
        </is>
      </c>
    </row>
    <row r="60">
      <c r="A60" s="6" t="inlineStr">
        <is>
          <t>Script cache-buster in the page</t>
        </is>
      </c>
      <c r="B60" s="6" t="inlineStr">
        <is>
          <t>20260927a</t>
        </is>
      </c>
      <c r="C60" s="5" t="n"/>
      <c r="D60" s="6" t="inlineStr">
        <is>
          <t>market-radar.html — &lt;script src="market-radar.js?v=…"&gt;</t>
        </is>
      </c>
      <c r="E60" s="6" t="inlineStr">
        <is>
          <t>Change on EVERY JS release or visitors keep the old file.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5"/>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12" customWidth="1" min="1" max="1"/>
    <col width="18" customWidth="1" min="2" max="2"/>
    <col width="15" customWidth="1" min="3" max="3"/>
    <col width="13" customWidth="1" min="4" max="4"/>
    <col width="16" customWidth="1" min="5" max="5"/>
    <col width="16" customWidth="1" min="6" max="6"/>
    <col width="18" customWidth="1" min="7" max="7"/>
    <col width="20" customWidth="1" min="8" max="8"/>
    <col width="20" customWidth="1" min="9" max="9"/>
    <col width="20" customWidth="1" min="10" max="10"/>
    <col width="60" customWidth="1" min="11" max="11"/>
  </cols>
  <sheetData>
    <row r="1">
      <c r="A1" s="1" t="inlineStr">
        <is>
          <t>Catchments — v1.6.2 (2026-09-27)</t>
        </is>
      </c>
    </row>
    <row r="2">
      <c r="A2" s="2" t="inlineStr">
        <is>
          <t>The six walk/drive modes. Green columns are LIVE formulas driven by the Settings sheet (multiplier, Worker cap/floor).</t>
        </is>
      </c>
    </row>
    <row r="4" ht="32" customHeight="1">
      <c r="A4" s="12" t="inlineStr">
        <is>
          <t>Mode key</t>
        </is>
      </c>
      <c r="B4" s="12" t="inlineStr">
        <is>
          <t>Label</t>
        </is>
      </c>
      <c r="C4" s="12" t="inlineStr">
        <is>
          <t>OpenRouteService profile</t>
        </is>
      </c>
      <c r="D4" s="12" t="inlineStr">
        <is>
          <t>Isochrone (seconds)</t>
        </is>
      </c>
      <c r="E4" s="12" t="inlineStr">
        <is>
          <t>Fallback circle radius NOW (m)</t>
        </is>
      </c>
      <c r="F4" s="12" t="inlineStr">
        <is>
          <t>YOUR fallback radius (m)</t>
        </is>
      </c>
      <c r="G4" s="12" t="inlineStr">
        <is>
          <t>Overpass searches out to NOW (m)</t>
        </is>
      </c>
      <c r="H4" s="12" t="inlineStr">
        <is>
          <t>Buffer beyond fallback radius NOW (m)</t>
        </is>
      </c>
      <c r="I4" s="12" t="inlineStr">
        <is>
          <t>Overpass would search out to with YOUR values (m)</t>
        </is>
      </c>
      <c r="J4" s="12" t="inlineStr">
        <is>
          <t>Worker cap check with YOUR values</t>
        </is>
      </c>
      <c r="K4" s="12" t="inlineStr">
        <is>
          <t>Notes</t>
        </is>
      </c>
    </row>
    <row r="5">
      <c r="A5" s="6" t="inlineStr">
        <is>
          <t>walk5</t>
        </is>
      </c>
      <c r="B5" s="6" t="inlineStr">
        <is>
          <t>5-minute walk</t>
        </is>
      </c>
      <c r="C5" s="6" t="inlineStr">
        <is>
          <t>foot-walking</t>
        </is>
      </c>
      <c r="D5" s="20" t="n">
        <v>300</v>
      </c>
      <c r="E5" s="20" t="n">
        <v>400</v>
      </c>
      <c r="F5" s="22" t="n"/>
      <c r="G5" s="23">
        <f>MIN(MAX(ROUND(E5*Settings!$B$32,0),Settings!$B$34),Settings!$B$33)</f>
        <v/>
      </c>
      <c r="H5" s="24">
        <f>G5-E5</f>
        <v/>
      </c>
      <c r="I5" s="23">
        <f>MIN(MAX(ROUND(IF(F5="",E5,F5)*IF(Settings!$C$32="",Settings!$B$32,Settings!$C$32),0),Settings!$B$34),Settings!$B$33)</f>
        <v/>
      </c>
      <c r="J5" s="9">
        <f>IF(ROUND(IF(F5="",E5,F5)*IF(Settings!$C$32="",Settings!$B$32,Settings!$C$32),0)&gt;Settings!$B$33,"CAPPED at "&amp;Settings!$B$33&amp;" m","OK")</f>
        <v/>
      </c>
      <c r="K5" s="6" t="inlineStr"/>
    </row>
    <row r="6">
      <c r="A6" s="6" t="inlineStr">
        <is>
          <t>walk10</t>
        </is>
      </c>
      <c r="B6" s="6" t="inlineStr">
        <is>
          <t>10-minute walk</t>
        </is>
      </c>
      <c r="C6" s="6" t="inlineStr">
        <is>
          <t>foot-walking</t>
        </is>
      </c>
      <c r="D6" s="20" t="n">
        <v>600</v>
      </c>
      <c r="E6" s="20" t="n">
        <v>800</v>
      </c>
      <c r="F6" s="22" t="n"/>
      <c r="G6" s="23">
        <f>MIN(MAX(ROUND(E6*Settings!$B$32,0),Settings!$B$34),Settings!$B$33)</f>
        <v/>
      </c>
      <c r="H6" s="24">
        <f>G6-E6</f>
        <v/>
      </c>
      <c r="I6" s="23">
        <f>MIN(MAX(ROUND(IF(F6="",E6,F6)*IF(Settings!$C$32="",Settings!$B$32,Settings!$C$32),0),Settings!$B$34),Settings!$B$33)</f>
        <v/>
      </c>
      <c r="J6" s="9">
        <f>IF(ROUND(IF(F6="",E6,F6)*IF(Settings!$C$32="",Settings!$B$32,Settings!$C$32),0)&gt;Settings!$B$33,"CAPPED at "&amp;Settings!$B$33&amp;" m","OK")</f>
        <v/>
      </c>
      <c r="K6" s="6" t="inlineStr"/>
    </row>
    <row r="7">
      <c r="A7" s="6" t="inlineStr">
        <is>
          <t>walk15</t>
        </is>
      </c>
      <c r="B7" s="6" t="inlineStr">
        <is>
          <t>15-minute walk</t>
        </is>
      </c>
      <c r="C7" s="6" t="inlineStr">
        <is>
          <t>foot-walking</t>
        </is>
      </c>
      <c r="D7" s="20" t="n">
        <v>900</v>
      </c>
      <c r="E7" s="20" t="n">
        <v>1200</v>
      </c>
      <c r="F7" s="22" t="n"/>
      <c r="G7" s="23">
        <f>MIN(MAX(ROUND(E7*Settings!$B$32,0),Settings!$B$34),Settings!$B$33)</f>
        <v/>
      </c>
      <c r="H7" s="24">
        <f>G7-E7</f>
        <v/>
      </c>
      <c r="I7" s="23">
        <f>MIN(MAX(ROUND(IF(F7="",E7,F7)*IF(Settings!$C$32="",Settings!$B$32,Settings!$C$32),0),Settings!$B$34),Settings!$B$33)</f>
        <v/>
      </c>
      <c r="J7" s="9">
        <f>IF(ROUND(IF(F7="",E7,F7)*IF(Settings!$C$32="",Settings!$B$32,Settings!$C$32),0)&gt;Settings!$B$33,"CAPPED at "&amp;Settings!$B$33&amp;" m","OK")</f>
        <v/>
      </c>
      <c r="K7" s="6" t="inlineStr"/>
    </row>
    <row r="8">
      <c r="A8" s="6" t="inlineStr">
        <is>
          <t>drive5</t>
        </is>
      </c>
      <c r="B8" s="6" t="inlineStr">
        <is>
          <t>5-minute drive</t>
        </is>
      </c>
      <c r="C8" s="6" t="inlineStr">
        <is>
          <t>driving-car</t>
        </is>
      </c>
      <c r="D8" s="20" t="n">
        <v>300</v>
      </c>
      <c r="E8" s="20" t="n">
        <v>2500</v>
      </c>
      <c r="F8" s="22" t="n"/>
      <c r="G8" s="23">
        <f>MIN(MAX(ROUND(E8*Settings!$B$32,0),Settings!$B$34),Settings!$B$33)</f>
        <v/>
      </c>
      <c r="H8" s="24">
        <f>G8-E8</f>
        <v/>
      </c>
      <c r="I8" s="23">
        <f>MIN(MAX(ROUND(IF(F8="",E8,F8)*IF(Settings!$C$32="",Settings!$B$32,Settings!$C$32),0),Settings!$B$34),Settings!$B$33)</f>
        <v/>
      </c>
      <c r="J8" s="9">
        <f>IF(ROUND(IF(F8="",E8,F8)*IF(Settings!$C$32="",Settings!$B$32,Settings!$C$32),0)&gt;Settings!$B$33,"CAPPED at "&amp;Settings!$B$33&amp;" m","OK")</f>
        <v/>
      </c>
      <c r="K8" s="6" t="inlineStr">
        <is>
          <t>Fallback radius is a rough eyeball of street-grid coverage, not a precise conversion.</t>
        </is>
      </c>
    </row>
    <row r="9">
      <c r="A9" s="6" t="inlineStr">
        <is>
          <t>drive10</t>
        </is>
      </c>
      <c r="B9" s="6" t="inlineStr">
        <is>
          <t>10-minute drive</t>
        </is>
      </c>
      <c r="C9" s="6" t="inlineStr">
        <is>
          <t>driving-car</t>
        </is>
      </c>
      <c r="D9" s="20" t="n">
        <v>600</v>
      </c>
      <c r="E9" s="20" t="n">
        <v>5000</v>
      </c>
      <c r="F9" s="22" t="n"/>
      <c r="G9" s="23">
        <f>MIN(MAX(ROUND(E9*Settings!$B$32,0),Settings!$B$34),Settings!$B$33)</f>
        <v/>
      </c>
      <c r="H9" s="24">
        <f>G9-E9</f>
        <v/>
      </c>
      <c r="I9" s="23">
        <f>MIN(MAX(ROUND(IF(F9="",E9,F9)*IF(Settings!$C$32="",Settings!$B$32,Settings!$C$32),0),Settings!$B$34),Settings!$B$33)</f>
        <v/>
      </c>
      <c r="J9" s="9">
        <f>IF(ROUND(IF(F9="",E9,F9)*IF(Settings!$C$32="",Settings!$B$32,Settings!$C$32),0)&gt;Settings!$B$33,"CAPPED at "&amp;Settings!$B$33&amp;" m","OK")</f>
        <v/>
      </c>
      <c r="K9" s="6" t="inlineStr"/>
    </row>
    <row r="10">
      <c r="A10" s="6" t="inlineStr">
        <is>
          <t>drive15</t>
        </is>
      </c>
      <c r="B10" s="6" t="inlineStr">
        <is>
          <t>15-minute drive</t>
        </is>
      </c>
      <c r="C10" s="6" t="inlineStr">
        <is>
          <t>driving-car</t>
        </is>
      </c>
      <c r="D10" s="20" t="n">
        <v>900</v>
      </c>
      <c r="E10" s="20" t="n">
        <v>8000</v>
      </c>
      <c r="F10" s="22" t="n"/>
      <c r="G10" s="23">
        <f>MIN(MAX(ROUND(E10*Settings!$B$32,0),Settings!$B$34),Settings!$B$33)</f>
        <v/>
      </c>
      <c r="H10" s="24">
        <f>G10-E10</f>
        <v/>
      </c>
      <c r="I10" s="23">
        <f>MIN(MAX(ROUND(IF(F10="",E10,F10)*IF(Settings!$C$32="",Settings!$B$32,Settings!$C$32),0),Settings!$B$34),Settings!$B$33)</f>
        <v/>
      </c>
      <c r="J10" s="9">
        <f>IF(ROUND(IF(F10="",E10,F10)*IF(Settings!$C$32="",Settings!$B$32,Settings!$C$32),0)&gt;Settings!$B$33,"CAPPED at "&amp;Settings!$B$33&amp;" m","OK")</f>
        <v/>
      </c>
      <c r="K10" s="6" t="inlineStr">
        <is>
          <t>Drive catchments are where the 1.3× buffer matters most: a real isochrone can stretch along a highway well past this.</t>
        </is>
      </c>
    </row>
    <row r="13" ht="32" customHeight="1">
      <c r="A13" s="4" t="inlineStr">
        <is>
          <t>How to read this: the page asks Overpass for everything within 'Overpass searches out to' of your pin, then trims to the real catchment shape (or the fallback circle). Anything the real shape reaches that is FARTHER than that search radius is never fetched at all — it can't even show as a grey 'outside catchment' marker.</t>
        </is>
      </c>
    </row>
    <row r="14" ht="32" customHeight="1">
      <c r="A14" s="4" t="inlineStr">
        <is>
          <t>What-if: put a multiplier (e.g. 1.5) in the yellow cell on the Settings sheet's over-fetch row, and/or a radius in column F here, and the 'YOUR values' columns respond. Wider searches cost more Overpass/Geoapify load, and are limited by the Worker cap.</t>
        </is>
      </c>
    </row>
    <row r="15" ht="32" customHeight="1">
      <c r="A15" s="4" t="inlineStr">
        <is>
          <t>The Worker also clamps any request to its floor and cap (Settings sheet) — 'Overpass searches out to NOW' already reflects that.</t>
        </is>
      </c>
    </row>
  </sheetData>
  <mergeCells count="3">
    <mergeCell ref="A14:K14"/>
    <mergeCell ref="A15:K15"/>
    <mergeCell ref="A13:K13"/>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6"/>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11" customWidth="1" min="1" max="1"/>
    <col width="26" customWidth="1" min="2" max="2"/>
    <col width="44" customWidth="1" min="3" max="3"/>
    <col width="9" customWidth="1" min="4" max="4"/>
    <col width="10" customWidth="1" min="5" max="5"/>
    <col width="44" customWidth="1" min="6" max="6"/>
    <col width="34" customWidth="1" min="7" max="7"/>
    <col width="16" customWidth="1" min="8" max="8"/>
    <col width="42" customWidth="1" min="9" max="9"/>
    <col width="28" customWidth="1" min="10" max="10"/>
    <col width="18" customWidth="1" min="11" max="11"/>
    <col width="46" customWidth="1" min="12" max="12"/>
  </cols>
  <sheetData>
    <row r="1">
      <c r="A1" s="1" t="inlineStr">
        <is>
          <t>Categories — v1.6.2 (2026-09-27)</t>
        </is>
      </c>
    </row>
    <row r="2">
      <c r="A2" s="2" t="inlineStr">
        <is>
          <t>The 13 standard business types (plus the custom slot). Transcribed from CATEGORY_TAGS, IOWRT_GROUPS, GEOAPIFY_CATEGORY_MAP and GOOGLE_PLACE_TYPES.</t>
        </is>
      </c>
    </row>
    <row r="4" ht="32" customHeight="1">
      <c r="A4" s="12" t="inlineStr">
        <is>
          <t>Key</t>
        </is>
      </c>
      <c r="B4" s="12" t="inlineStr">
        <is>
          <t>Label shown on the page</t>
        </is>
      </c>
      <c r="C4" s="12" t="inlineStr">
        <is>
          <t>OSM tags queried (separated by ;)</t>
        </is>
      </c>
      <c r="D4" s="12" t="inlineStr">
        <is>
          <t>Tag pairs</t>
        </is>
      </c>
      <c r="E4" s="12" t="inlineStr">
        <is>
          <t>MSIC 2008 code</t>
        </is>
      </c>
      <c r="F4" s="12" t="inlineStr">
        <is>
          <t>MSIC name</t>
        </is>
      </c>
      <c r="G4" s="12" t="inlineStr">
        <is>
          <t>MSIC verification status</t>
        </is>
      </c>
      <c r="H4" s="12" t="inlineStr">
        <is>
          <t>DOSM retail-trend group</t>
        </is>
      </c>
      <c r="I4" s="12" t="inlineStr">
        <is>
          <t>Geoapify fallback categories</t>
        </is>
      </c>
      <c r="J4" s="12" t="inlineStr">
        <is>
          <t>Google place types (optional ratings)</t>
        </is>
      </c>
      <c r="K4" s="12" t="inlineStr">
        <is>
          <t>YOUR change</t>
        </is>
      </c>
      <c r="L4" s="12" t="inlineStr">
        <is>
          <t>Notes</t>
        </is>
      </c>
    </row>
    <row r="5">
      <c r="A5" s="6" t="inlineStr">
        <is>
          <t>cafe</t>
        </is>
      </c>
      <c r="B5" s="6" t="inlineStr">
        <is>
          <t>Cafe / kopitiam</t>
        </is>
      </c>
      <c r="C5" s="6" t="inlineStr">
        <is>
          <t>amenity=cafe</t>
        </is>
      </c>
      <c r="D5" s="25">
        <f>IF(TRIM(C5)="",0,LEN(C5)-LEN(SUBSTITUTE(C5,";",""))+1)</f>
        <v/>
      </c>
      <c r="E5" s="26" t="inlineStr">
        <is>
          <t>56302</t>
        </is>
      </c>
      <c r="F5" s="6" t="inlineStr">
        <is>
          <t>Coffee shops</t>
        </is>
      </c>
      <c r="G5" s="6" t="inlineStr">
        <is>
          <t>Per project notes (2026-09-18): cross-checked against 2+ Malaysia-specific sources</t>
        </is>
      </c>
      <c r="H5" s="26" t="inlineStr">
        <is>
          <t>not tracked</t>
        </is>
      </c>
      <c r="I5" s="6" t="inlineStr">
        <is>
          <t>catering.cafe</t>
        </is>
      </c>
      <c r="J5" s="6" t="inlineStr">
        <is>
          <t>cafe</t>
        </is>
      </c>
      <c r="K5" s="5" t="n"/>
      <c r="L5" s="6" t="inlineStr"/>
    </row>
    <row r="6">
      <c r="A6" s="6" t="inlineStr">
        <is>
          <t>restaurant</t>
        </is>
      </c>
      <c r="B6" s="6" t="inlineStr">
        <is>
          <t>Restaurant</t>
        </is>
      </c>
      <c r="C6" s="6" t="inlineStr">
        <is>
          <t>amenity=restaurant</t>
        </is>
      </c>
      <c r="D6" s="25">
        <f>IF(TRIM(C6)="",0,LEN(C6)-LEN(SUBSTITUTE(C6,";",""))+1)</f>
        <v/>
      </c>
      <c r="E6" s="26" t="inlineStr">
        <is>
          <t>56101</t>
        </is>
      </c>
      <c r="F6" s="6" t="inlineStr">
        <is>
          <t>Restaurants and restaurant cum night clubs</t>
        </is>
      </c>
      <c r="G6" s="6" t="inlineStr">
        <is>
          <t>Per project notes (2026-09-18): cross-checked against 2+ Malaysia-specific sources</t>
        </is>
      </c>
      <c r="H6" s="26" t="inlineStr">
        <is>
          <t>not tracked</t>
        </is>
      </c>
      <c r="I6" s="6" t="inlineStr">
        <is>
          <t>catering.restaurant</t>
        </is>
      </c>
      <c r="J6" s="6" t="inlineStr">
        <is>
          <t>restaurant</t>
        </is>
      </c>
      <c r="K6" s="5" t="n"/>
      <c r="L6" s="6" t="inlineStr"/>
    </row>
    <row r="7">
      <c r="A7" s="6" t="inlineStr">
        <is>
          <t>fastfood</t>
        </is>
      </c>
      <c r="B7" s="6" t="inlineStr">
        <is>
          <t>Fast food / food stall</t>
        </is>
      </c>
      <c r="C7" s="6" t="inlineStr">
        <is>
          <t>amenity=fast_food</t>
        </is>
      </c>
      <c r="D7" s="25">
        <f>IF(TRIM(C7)="",0,LEN(C7)-LEN(SUBSTITUTE(C7,";",""))+1)</f>
        <v/>
      </c>
      <c r="E7" s="26" t="inlineStr">
        <is>
          <t>56103</t>
        </is>
      </c>
      <c r="F7" s="6" t="inlineStr">
        <is>
          <t>Fast-food restaurants</t>
        </is>
      </c>
      <c r="G7" s="6" t="inlineStr">
        <is>
          <t>Per project notes (2026-09-18): cross-checked against 2+ Malaysia-specific sources</t>
        </is>
      </c>
      <c r="H7" s="26" t="inlineStr">
        <is>
          <t>not tracked</t>
        </is>
      </c>
      <c r="I7" s="6" t="inlineStr">
        <is>
          <t>catering.fast_food</t>
        </is>
      </c>
      <c r="J7" s="6" t="inlineStr">
        <is>
          <t>fast_food_restaurant</t>
        </is>
      </c>
      <c r="K7" s="5" t="n"/>
      <c r="L7" s="6" t="inlineStr"/>
    </row>
    <row r="8">
      <c r="A8" s="6" t="inlineStr">
        <is>
          <t>bakery</t>
        </is>
      </c>
      <c r="B8" s="6" t="inlineStr">
        <is>
          <t>Bakery / dessert</t>
        </is>
      </c>
      <c r="C8" s="6" t="inlineStr">
        <is>
          <t>shop=bakery; shop=pastry; shop=confectionery</t>
        </is>
      </c>
      <c r="D8" s="25">
        <f>IF(TRIM(C8)="",0,LEN(C8)-LEN(SUBSTITUTE(C8,";",""))+1)</f>
        <v/>
      </c>
      <c r="E8" s="26" t="inlineStr">
        <is>
          <t>47216</t>
        </is>
      </c>
      <c r="F8" s="6" t="inlineStr">
        <is>
          <t>Retail sale of bakery products and sugar confectionery</t>
        </is>
      </c>
      <c r="G8" s="6" t="inlineStr">
        <is>
          <t>Per project notes (2026-09-18): cross-checked against 2+ Malaysia-specific sources</t>
        </is>
      </c>
      <c r="H8" s="26" t="inlineStr">
        <is>
          <t>472</t>
        </is>
      </c>
      <c r="I8" s="6" t="inlineStr">
        <is>
          <t>commercial.food_and_drink.bakery; commercial.food_and_drink.confectionery</t>
        </is>
      </c>
      <c r="J8" s="6" t="inlineStr">
        <is>
          <t>bakery; pastry_shop; dessert_shop; confectionery</t>
        </is>
      </c>
      <c r="K8" s="5" t="n"/>
      <c r="L8" s="6" t="inlineStr"/>
    </row>
    <row r="9">
      <c r="A9" s="6" t="inlineStr">
        <is>
          <t>drinks</t>
        </is>
      </c>
      <c r="B9" s="6" t="inlineStr">
        <is>
          <t>Drink stall / bubble tea</t>
        </is>
      </c>
      <c r="C9" s="6" t="inlineStr">
        <is>
          <t>cuisine=bubble_tea; shop=beverages; shop=tea; shop=coffee</t>
        </is>
      </c>
      <c r="D9" s="25">
        <f>IF(TRIM(C9)="",0,LEN(C9)-LEN(SUBSTITUTE(C9,";",""))+1)</f>
        <v/>
      </c>
      <c r="E9" s="26" t="inlineStr">
        <is>
          <t>56303</t>
        </is>
      </c>
      <c r="F9" s="6" t="inlineStr">
        <is>
          <t>Drink stalls/hawkers</t>
        </is>
      </c>
      <c r="G9" s="6" t="inlineStr">
        <is>
          <t>Per project notes (2026-09-18): cross-checked against 2+ Malaysia-specific sources</t>
        </is>
      </c>
      <c r="H9" s="26" t="inlineStr">
        <is>
          <t>not tracked</t>
        </is>
      </c>
      <c r="I9" s="6" t="inlineStr">
        <is>
          <t>catering.cafe.bubble_tea; catering.cafe.tea; commercial.food_and_drink.coffee_and_tea; commercial.food_and_drink.drinks</t>
        </is>
      </c>
      <c r="J9" s="6" t="inlineStr">
        <is>
          <t>cafe; tea_house; juice_shop</t>
        </is>
      </c>
      <c r="K9" s="5" t="n"/>
      <c r="L9" s="6" t="inlineStr">
        <is>
          <t>OSM tags a bubble-tea stall as amenity=cafe + cuisine=bubble_tea, so cuisine tags are checked FIRST in the Worker, plus the NameHints sheet as a backup.</t>
        </is>
      </c>
    </row>
    <row r="10">
      <c r="A10" s="6" t="inlineStr">
        <is>
          <t>minimart</t>
        </is>
      </c>
      <c r="B10" s="6" t="inlineStr">
        <is>
          <t>Convenience / minimart</t>
        </is>
      </c>
      <c r="C10" s="6" t="inlineStr">
        <is>
          <t>shop=convenience; shop=supermarket</t>
        </is>
      </c>
      <c r="D10" s="25">
        <f>IF(TRIM(C10)="",0,LEN(C10)-LEN(SUBSTITUTE(C10,";",""))+1)</f>
        <v/>
      </c>
      <c r="E10" s="26" t="inlineStr">
        <is>
          <t>47113</t>
        </is>
      </c>
      <c r="F10" s="6" t="inlineStr">
        <is>
          <t>Mini market</t>
        </is>
      </c>
      <c r="G10" s="6" t="inlineStr">
        <is>
          <t>Per project notes (2026-09-18): cross-checked against 2+ Malaysia-specific sources</t>
        </is>
      </c>
      <c r="H10" s="26" t="inlineStr">
        <is>
          <t>471</t>
        </is>
      </c>
      <c r="I10" s="6" t="inlineStr">
        <is>
          <t>commercial.convenience; commercial.supermarket</t>
        </is>
      </c>
      <c r="J10" s="6" t="inlineStr">
        <is>
          <t>convenience_store</t>
        </is>
      </c>
      <c r="K10" s="5" t="n"/>
      <c r="L10" s="6" t="inlineStr"/>
    </row>
    <row r="11">
      <c r="A11" s="6" t="inlineStr">
        <is>
          <t>fashion</t>
        </is>
      </c>
      <c r="B11" s="6" t="inlineStr">
        <is>
          <t>Fashion / apparel</t>
        </is>
      </c>
      <c r="C11" s="6" t="inlineStr">
        <is>
          <t>shop=clothes; shop=shoes</t>
        </is>
      </c>
      <c r="D11" s="25">
        <f>IF(TRIM(C11)="",0,LEN(C11)-LEN(SUBSTITUTE(C11,";",""))+1)</f>
        <v/>
      </c>
      <c r="E11" s="26" t="inlineStr">
        <is>
          <t>47711</t>
        </is>
      </c>
      <c r="F11" s="6" t="inlineStr">
        <is>
          <t>Retail sale of articles of clothing, articles of fur, and clothing accessories</t>
        </is>
      </c>
      <c r="G11" s="6" t="inlineStr">
        <is>
          <t>Per project notes (2026-09-18): cross-checked against 2+ Malaysia-specific sources</t>
        </is>
      </c>
      <c r="H11" s="26" t="inlineStr">
        <is>
          <t>477</t>
        </is>
      </c>
      <c r="I11" s="6" t="inlineStr">
        <is>
          <t>commercial.clothing</t>
        </is>
      </c>
      <c r="J11" s="6" t="inlineStr">
        <is>
          <t>clothing_store; shoe_store</t>
        </is>
      </c>
      <c r="K11" s="5" t="n"/>
      <c r="L11" s="6" t="inlineStr"/>
    </row>
    <row r="12">
      <c r="A12" s="6" t="inlineStr">
        <is>
          <t>hardware</t>
        </is>
      </c>
      <c r="B12" s="6" t="inlineStr">
        <is>
          <t>Hardware</t>
        </is>
      </c>
      <c r="C12" s="6" t="inlineStr">
        <is>
          <t>shop=hardware; shop=doityourself</t>
        </is>
      </c>
      <c r="D12" s="25">
        <f>IF(TRIM(C12)="",0,LEN(C12)-LEN(SUBSTITUTE(C12,";",""))+1)</f>
        <v/>
      </c>
      <c r="E12" s="26" t="inlineStr">
        <is>
          <t>47520</t>
        </is>
      </c>
      <c r="F12" s="6" t="inlineStr">
        <is>
          <t>Retail sale of construction materials, hardware, paints, and glass</t>
        </is>
      </c>
      <c r="G12" s="6" t="inlineStr">
        <is>
          <t>Per project notes (2026-09-18): cross-checked against 2+ Malaysia-specific sources</t>
        </is>
      </c>
      <c r="H12" s="26" t="inlineStr">
        <is>
          <t>475</t>
        </is>
      </c>
      <c r="I12" s="6" t="inlineStr">
        <is>
          <t>commercial.houseware_and_hardware.hardware_and_tools; commercial.houseware_and_hardware.doityourself</t>
        </is>
      </c>
      <c r="J12" s="6" t="inlineStr">
        <is>
          <t>hardware_store; home_improvement_store</t>
        </is>
      </c>
      <c r="K12" s="5" t="n"/>
      <c r="L12" s="6" t="inlineStr"/>
    </row>
    <row r="13">
      <c r="A13" s="6" t="inlineStr">
        <is>
          <t>laundry</t>
        </is>
      </c>
      <c r="B13" s="6" t="inlineStr">
        <is>
          <t>Laundry</t>
        </is>
      </c>
      <c r="C13" s="6" t="inlineStr">
        <is>
          <t>shop=laundry</t>
        </is>
      </c>
      <c r="D13" s="25">
        <f>IF(TRIM(C13)="",0,LEN(C13)-LEN(SUBSTITUTE(C13,";",""))+1)</f>
        <v/>
      </c>
      <c r="E13" s="26" t="inlineStr">
        <is>
          <t>96011</t>
        </is>
      </c>
      <c r="F13" s="6" t="inlineStr">
        <is>
          <t>Laundering and dry-cleaning of textile and fur products</t>
        </is>
      </c>
      <c r="G13" s="6" t="inlineStr">
        <is>
          <t>Per project notes (2026-09-18): cross-checked against 2+ Malaysia-specific sources</t>
        </is>
      </c>
      <c r="H13" s="26" t="inlineStr">
        <is>
          <t>not tracked</t>
        </is>
      </c>
      <c r="I13" s="6" t="inlineStr">
        <is>
          <t>service.cleaning.laundry</t>
        </is>
      </c>
      <c r="J13" s="6" t="inlineStr">
        <is>
          <t>laundry</t>
        </is>
      </c>
      <c r="K13" s="5" t="n"/>
      <c r="L13" s="6" t="inlineStr"/>
    </row>
    <row r="14">
      <c r="A14" s="6" t="inlineStr">
        <is>
          <t>salon</t>
        </is>
      </c>
      <c r="B14" s="6" t="inlineStr">
        <is>
          <t>Salon / barber</t>
        </is>
      </c>
      <c r="C14" s="6" t="inlineStr">
        <is>
          <t>shop=hairdresser; shop=beauty</t>
        </is>
      </c>
      <c r="D14" s="25">
        <f>IF(TRIM(C14)="",0,LEN(C14)-LEN(SUBSTITUTE(C14,";",""))+1)</f>
        <v/>
      </c>
      <c r="E14" s="26" t="inlineStr">
        <is>
          <t>96020</t>
        </is>
      </c>
      <c r="F14" s="6" t="inlineStr">
        <is>
          <t>Hairdressing and other beauty treatment</t>
        </is>
      </c>
      <c r="G14" s="6" t="inlineStr">
        <is>
          <t>Per project notes (2026-09-18): cross-checked against 2+ Malaysia-specific sources</t>
        </is>
      </c>
      <c r="H14" s="26" t="inlineStr">
        <is>
          <t>not tracked</t>
        </is>
      </c>
      <c r="I14" s="6" t="inlineStr">
        <is>
          <t>service.beauty.hairdresser; service.beauty</t>
        </is>
      </c>
      <c r="J14" s="6" t="inlineStr">
        <is>
          <t>hair_salon; beauty_salon; barber_shop</t>
        </is>
      </c>
      <c r="K14" s="5" t="n"/>
      <c r="L14" s="6" t="inlineStr"/>
    </row>
    <row r="15">
      <c r="A15" s="6" t="inlineStr">
        <is>
          <t>printing</t>
        </is>
      </c>
      <c r="B15" s="6" t="inlineStr">
        <is>
          <t>Printing / copy shop</t>
        </is>
      </c>
      <c r="C15" s="6" t="inlineStr">
        <is>
          <t>shop=copyshop; shop=printing</t>
        </is>
      </c>
      <c r="D15" s="25">
        <f>IF(TRIM(C15)="",0,LEN(C15)-LEN(SUBSTITUTE(C15,";",""))+1)</f>
        <v/>
      </c>
      <c r="E15" s="26" t="inlineStr">
        <is>
          <t>82190</t>
        </is>
      </c>
      <c r="F15" s="6" t="inlineStr">
        <is>
          <t>Photocopying, document preparation and other specialised office support activities</t>
        </is>
      </c>
      <c r="G15" s="6" t="inlineStr">
        <is>
          <t>Per project notes (2026-09-18): cross-checked against 2+ Malaysia-specific sources</t>
        </is>
      </c>
      <c r="H15" s="26" t="inlineStr">
        <is>
          <t>not tracked</t>
        </is>
      </c>
      <c r="I15" s="6" t="inlineStr">
        <is>
          <t>(none — no Geoapify equivalent)</t>
        </is>
      </c>
      <c r="J15" s="6" t="inlineStr">
        <is>
          <t>(none)</t>
        </is>
      </c>
      <c r="K15" s="5" t="n"/>
      <c r="L15" s="6" t="inlineStr"/>
    </row>
    <row r="16">
      <c r="A16" s="6" t="inlineStr">
        <is>
          <t>pharmacy</t>
        </is>
      </c>
      <c r="B16" s="6" t="inlineStr">
        <is>
          <t>Pharmacy</t>
        </is>
      </c>
      <c r="C16" s="6" t="inlineStr">
        <is>
          <t>amenity=pharmacy</t>
        </is>
      </c>
      <c r="D16" s="25">
        <f>IF(TRIM(C16)="",0,LEN(C16)-LEN(SUBSTITUTE(C16,";",""))+1)</f>
        <v/>
      </c>
      <c r="E16" s="26" t="inlineStr">
        <is>
          <t>47721</t>
        </is>
      </c>
      <c r="F16" s="6" t="inlineStr">
        <is>
          <t>Retail sale of pharmaceuticals, medical and orthopaedic goods and toilet articles</t>
        </is>
      </c>
      <c r="G16" s="6" t="inlineStr">
        <is>
          <t>NOT verified against a Malaysia source — cross-checked against another country's ISIC-derived code only</t>
        </is>
      </c>
      <c r="H16" s="26" t="inlineStr">
        <is>
          <t>not checked — deliberately not added</t>
        </is>
      </c>
      <c r="I16" s="6" t="inlineStr">
        <is>
          <t>(not mapped — never checked against Geoapify's docs)</t>
        </is>
      </c>
      <c r="J16" s="6" t="inlineStr">
        <is>
          <t>(not mapped — never checked against Google's docs)</t>
        </is>
      </c>
      <c r="K16" s="5" t="n"/>
      <c r="L16" s="6" t="inlineStr">
        <is>
          <t>Added 2026-09-24. Subject of the open 2026-09-27 'visible on map but counted as 0' report — see the Settings sheet's over-fetch row and the setup doc.</t>
        </is>
      </c>
    </row>
    <row r="17">
      <c r="A17" s="6" t="inlineStr">
        <is>
          <t>petrol</t>
        </is>
      </c>
      <c r="B17" s="6" t="inlineStr">
        <is>
          <t>Petrol / fuel station</t>
        </is>
      </c>
      <c r="C17" s="6" t="inlineStr">
        <is>
          <t>amenity=fuel</t>
        </is>
      </c>
      <c r="D17" s="25">
        <f>IF(TRIM(C17)="",0,LEN(C17)-LEN(SUBSTITUTE(C17,";",""))+1)</f>
        <v/>
      </c>
      <c r="E17" s="26" t="inlineStr">
        <is>
          <t>47300</t>
        </is>
      </c>
      <c r="F17" s="6" t="inlineStr">
        <is>
          <t>Retail sale of automotive fuel in specialised stores</t>
        </is>
      </c>
      <c r="G17" s="6" t="inlineStr">
        <is>
          <t>NOT verified against a Malaysia source — cross-checked against another country's ISIC-derived code only</t>
        </is>
      </c>
      <c r="H17" s="26" t="inlineStr">
        <is>
          <t>not checked — deliberately not added</t>
        </is>
      </c>
      <c r="I17" s="6" t="inlineStr">
        <is>
          <t>(not mapped — never checked against Geoapify's docs)</t>
        </is>
      </c>
      <c r="J17" s="6" t="inlineStr">
        <is>
          <t>(not mapped — never checked against Google's docs)</t>
        </is>
      </c>
      <c r="K17" s="5" t="n"/>
      <c r="L17" s="6" t="inlineStr">
        <is>
          <t>Added 2026-09-24. Same open report as pharmacy. Petrol stations sit on main roads, so they are the most likely to fall at the edge of (or beyond) a drive catchment.</t>
        </is>
      </c>
    </row>
    <row r="18">
      <c r="A18" s="6" t="inlineStr">
        <is>
          <t>custom</t>
        </is>
      </c>
      <c r="B18" s="6" t="inlineStr">
        <is>
          <t>Custom — type your own OSM tag</t>
        </is>
      </c>
      <c r="C18" s="6" t="inlineStr">
        <is>
          <t>(none of its own — you type key=value on the page)</t>
        </is>
      </c>
      <c r="D18" s="25" t="inlineStr">
        <is>
          <t>—</t>
        </is>
      </c>
      <c r="E18" s="26" t="inlineStr">
        <is>
          <t>—</t>
        </is>
      </c>
      <c r="F18" s="6" t="inlineStr">
        <is>
          <t>—</t>
        </is>
      </c>
      <c r="G18" s="6" t="inlineStr">
        <is>
          <t>—</t>
        </is>
      </c>
      <c r="H18" s="26" t="inlineStr">
        <is>
          <t>not tracked</t>
        </is>
      </c>
      <c r="I18" s="6" t="inlineStr">
        <is>
          <t>(none)</t>
        </is>
      </c>
      <c r="J18" s="6" t="inlineStr">
        <is>
          <t>(none)</t>
        </is>
      </c>
      <c r="K18" s="5" t="n"/>
      <c r="L18" s="6" t="inlineStr">
        <is>
          <t>Market Analysis mode: one custom slot (counts as 1 of the max ticked types). Market Gap mode: a running list instead — see Settings.</t>
        </is>
      </c>
    </row>
    <row r="20">
      <c r="A20" s="3" t="inlineStr">
        <is>
          <t>TAG-PAIR BUDGET CHECK (the Worker shares ONE counter across every category in a request)</t>
        </is>
      </c>
    </row>
    <row r="21">
      <c r="A21" s="6" t="inlineStr">
        <is>
          <t>Tag pairs used by the 13 standard categories</t>
        </is>
      </c>
      <c r="B21" s="7" t="n"/>
      <c r="C21" s="8" t="n"/>
      <c r="D21" s="27">
        <f>SUM(D5:D17)</f>
        <v/>
      </c>
    </row>
    <row r="22">
      <c r="A22" s="6" t="inlineStr">
        <is>
          <t>Worker cap per request</t>
        </is>
      </c>
      <c r="B22" s="7" t="n"/>
      <c r="C22" s="8" t="n"/>
      <c r="D22" s="28">
        <f>Settings!$B$46</f>
        <v/>
      </c>
    </row>
    <row r="23">
      <c r="A23" s="6" t="inlineStr">
        <is>
          <t>Headroom in Market Analysis mode (standard + the 1 custom slot)</t>
        </is>
      </c>
      <c r="B23" s="7" t="n"/>
      <c r="C23" s="8" t="n"/>
      <c r="D23" s="27">
        <f>D22-D21-1</f>
        <v/>
      </c>
    </row>
    <row r="24">
      <c r="A24" s="6" t="inlineStr">
        <is>
          <t>Headroom in Market Gap mode with the maximum custom items</t>
        </is>
      </c>
      <c r="B24" s="7" t="n"/>
      <c r="C24" s="8" t="n"/>
      <c r="D24" s="28">
        <f>D22-D21-Settings!$B$28</f>
        <v/>
      </c>
    </row>
    <row r="26" ht="44" customHeight="1">
      <c r="A26" s="4" t="inlineStr">
        <is>
          <t>If a headroom figure ever goes NEGATIVE, the Worker does not error — the categories processed LAST (Market Gap custom items first) silently lose their tags and are never queried. This was checked and ruled out as the cause of the 2026-09-27 pharmacy/petrol report: 23 of 40 pairs used, nowhere near the cap. Re-check this box whenever a category or tag is added.</t>
        </is>
      </c>
    </row>
  </sheetData>
  <mergeCells count="5">
    <mergeCell ref="A26:L26"/>
    <mergeCell ref="A23:C23"/>
    <mergeCell ref="A22:C22"/>
    <mergeCell ref="A21:C21"/>
    <mergeCell ref="A24:C24"/>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6"/>
  <sheetViews>
    <sheetView workbookViewId="0">
      <pane ySplit="4" topLeftCell="A5" activePane="bottomLeft" state="frozen"/>
      <selection pane="bottomLeft" activeCell="A1" sqref="A1"/>
    </sheetView>
  </sheetViews>
  <sheetFormatPr baseColWidth="8" defaultRowHeight="15"/>
  <cols>
    <col width="6" customWidth="1" min="1" max="1"/>
    <col width="30" customWidth="1" min="2" max="2"/>
    <col width="22" customWidth="1" min="3" max="3"/>
    <col width="70" customWidth="1" min="4" max="4"/>
  </cols>
  <sheetData>
    <row r="1">
      <c r="A1" s="1" t="inlineStr">
        <is>
          <t>NameHints — v1.6.2 (2026-09-27)</t>
        </is>
      </c>
    </row>
    <row r="2">
      <c r="A2" s="2" t="inlineStr">
        <is>
          <t>Brand/keyword list that re-classifies a place as 'Drink stall / bubble tea' when its NAME contains the keyword.</t>
        </is>
      </c>
    </row>
    <row r="4" ht="32" customHeight="1">
      <c r="A4" s="12" t="inlineStr">
        <is>
          <t>#</t>
        </is>
      </c>
      <c r="B4" s="12" t="inlineStr">
        <is>
          <t>Keyword (lowercase; matched anywhere in the place name)</t>
        </is>
      </c>
      <c r="C4" s="12" t="inlineStr">
        <is>
          <t>YOUR change / addition</t>
        </is>
      </c>
      <c r="D4" s="12" t="inlineStr">
        <is>
          <t>Notes</t>
        </is>
      </c>
    </row>
    <row r="5">
      <c r="A5" s="26" t="n">
        <v>1</v>
      </c>
      <c r="B5" s="6" t="inlineStr">
        <is>
          <t>bubble tea</t>
        </is>
      </c>
      <c r="C5" s="5" t="n"/>
      <c r="D5" s="6" t="inlineStr">
        <is>
          <t>Applies to the 'drinks' category ONLY (NAME_HINTS in market-radar.js). A name match beats the tag-based category the Worker assigned — the fix for stalls tagged plain amenity=cafe with no cuisine sub-tag.</t>
        </is>
      </c>
    </row>
    <row r="6">
      <c r="A6" s="26" t="n">
        <v>2</v>
      </c>
      <c r="B6" s="6" t="inlineStr">
        <is>
          <t>boba</t>
        </is>
      </c>
      <c r="C6" s="5" t="n"/>
      <c r="D6" s="6" t="inlineStr">
        <is>
          <t>Use a curated list only — false positives are essentially impossible for specific brand names, likely for generic words.</t>
        </is>
      </c>
    </row>
    <row r="7">
      <c r="A7" s="26" t="n">
        <v>3</v>
      </c>
      <c r="B7" s="6" t="inlineStr">
        <is>
          <t>pearl milk tea</t>
        </is>
      </c>
      <c r="C7" s="5" t="n"/>
      <c r="D7" s="6" t="inlineStr"/>
    </row>
    <row r="8">
      <c r="A8" s="26" t="n">
        <v>4</v>
      </c>
      <c r="B8" s="6" t="inlineStr">
        <is>
          <t>chatime</t>
        </is>
      </c>
      <c r="C8" s="5" t="n"/>
      <c r="D8" s="6" t="inlineStr"/>
    </row>
    <row r="9">
      <c r="A9" s="26" t="n">
        <v>5</v>
      </c>
      <c r="B9" s="6" t="inlineStr">
        <is>
          <t>tealive</t>
        </is>
      </c>
      <c r="C9" s="5" t="n"/>
      <c r="D9" s="6" t="inlineStr"/>
    </row>
    <row r="10">
      <c r="A10" s="26" t="n">
        <v>6</v>
      </c>
      <c r="B10" s="6" t="inlineStr">
        <is>
          <t>gong cha</t>
        </is>
      </c>
      <c r="C10" s="5" t="n"/>
      <c r="D10" s="6" t="inlineStr"/>
    </row>
    <row r="11">
      <c r="A11" s="26" t="n">
        <v>7</v>
      </c>
      <c r="B11" s="6" t="inlineStr">
        <is>
          <t>koi thé</t>
        </is>
      </c>
      <c r="C11" s="5" t="n"/>
      <c r="D11" s="6" t="inlineStr"/>
    </row>
    <row r="12">
      <c r="A12" s="26" t="n">
        <v>8</v>
      </c>
      <c r="B12" s="6" t="inlineStr">
        <is>
          <t>koi the</t>
        </is>
      </c>
      <c r="C12" s="5" t="n"/>
      <c r="D12" s="6" t="inlineStr"/>
    </row>
    <row r="13">
      <c r="A13" s="26" t="n">
        <v>9</v>
      </c>
      <c r="B13" s="6" t="inlineStr">
        <is>
          <t>xing fu tang</t>
        </is>
      </c>
      <c r="C13" s="5" t="n"/>
      <c r="D13" s="6" t="inlineStr"/>
    </row>
    <row r="14">
      <c r="A14" s="26" t="n">
        <v>10</v>
      </c>
      <c r="B14" s="6" t="inlineStr">
        <is>
          <t>tiger sugar</t>
        </is>
      </c>
      <c r="C14" s="5" t="n"/>
      <c r="D14" s="6" t="inlineStr"/>
    </row>
    <row r="15">
      <c r="A15" s="26" t="n">
        <v>11</v>
      </c>
      <c r="B15" s="6" t="inlineStr">
        <is>
          <t>sharetea</t>
        </is>
      </c>
      <c r="C15" s="5" t="n"/>
      <c r="D15" s="6" t="inlineStr"/>
    </row>
    <row r="16">
      <c r="A16" s="26" t="n">
        <v>12</v>
      </c>
      <c r="B16" s="6" t="inlineStr">
        <is>
          <t>share tea</t>
        </is>
      </c>
      <c r="C16" s="5" t="n"/>
      <c r="D16" s="6" t="inlineStr"/>
    </row>
    <row r="17">
      <c r="A17" s="26" t="n">
        <v>13</v>
      </c>
      <c r="B17" s="6" t="inlineStr">
        <is>
          <t>comebuy</t>
        </is>
      </c>
      <c r="C17" s="5" t="n"/>
      <c r="D17" s="6" t="inlineStr"/>
    </row>
    <row r="18">
      <c r="A18" s="26" t="n">
        <v>14</v>
      </c>
      <c r="B18" s="6" t="inlineStr">
        <is>
          <t>come buy</t>
        </is>
      </c>
      <c r="C18" s="5" t="n"/>
      <c r="D18" s="6" t="inlineStr"/>
    </row>
    <row r="19">
      <c r="A19" s="26" t="n">
        <v>15</v>
      </c>
      <c r="B19" s="6" t="inlineStr">
        <is>
          <t>daboba</t>
        </is>
      </c>
      <c r="C19" s="5" t="n"/>
      <c r="D19" s="6" t="inlineStr"/>
    </row>
    <row r="20">
      <c r="A20" s="26" t="n">
        <v>16</v>
      </c>
      <c r="B20" s="6" t="inlineStr">
        <is>
          <t>the alley</t>
        </is>
      </c>
      <c r="C20" s="5" t="n"/>
      <c r="D20" s="6" t="inlineStr"/>
    </row>
    <row r="21">
      <c r="A21" s="26" t="n">
        <v>17</v>
      </c>
      <c r="B21" s="6" t="inlineStr">
        <is>
          <t>liho</t>
        </is>
      </c>
      <c r="C21" s="5" t="n"/>
      <c r="D21" s="6" t="inlineStr"/>
    </row>
    <row r="22">
      <c r="A22" s="26" t="n">
        <v>18</v>
      </c>
      <c r="B22" s="6" t="inlineStr">
        <is>
          <t>yifang</t>
        </is>
      </c>
      <c r="C22" s="5" t="n"/>
      <c r="D22" s="6" t="inlineStr"/>
    </row>
    <row r="23">
      <c r="A23" s="26" t="n">
        <v>19</v>
      </c>
      <c r="B23" s="6" t="inlineStr">
        <is>
          <t>each a cup</t>
        </is>
      </c>
      <c r="C23" s="5" t="n"/>
      <c r="D23" s="6" t="inlineStr"/>
    </row>
    <row r="24">
      <c r="A24" s="26" t="n">
        <v>20</v>
      </c>
      <c r="B24" s="11" t="inlineStr">
        <is>
          <t>(add a keyword here)</t>
        </is>
      </c>
      <c r="C24" s="5" t="n"/>
      <c r="D24" s="6" t="inlineStr"/>
    </row>
    <row r="25">
      <c r="A25" s="26" t="n">
        <v>21</v>
      </c>
      <c r="B25" s="11" t="inlineStr">
        <is>
          <t>(add a keyword here)</t>
        </is>
      </c>
      <c r="C25" s="5" t="n"/>
      <c r="D25" s="6" t="inlineStr"/>
    </row>
    <row r="26">
      <c r="A26" s="26" t="n">
        <v>22</v>
      </c>
      <c r="B26" s="11" t="inlineStr">
        <is>
          <t>(add a keyword here)</t>
        </is>
      </c>
      <c r="C26" s="5" t="n"/>
      <c r="D26" s="6" t="inlineStr"/>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12"/>
  <sheetViews>
    <sheetView workbookViewId="0">
      <pane ySplit="4" topLeftCell="A5" activePane="bottomLeft" state="frozen"/>
      <selection pane="bottomLeft" activeCell="A1" sqref="A1"/>
    </sheetView>
  </sheetViews>
  <sheetFormatPr baseColWidth="8" defaultRowHeight="15"/>
  <cols>
    <col width="12" customWidth="1" min="1" max="1"/>
    <col width="14" customWidth="1" min="2" max="2"/>
    <col width="12" customWidth="1" min="3" max="3"/>
    <col width="12" customWidth="1" min="4" max="4"/>
    <col width="22" customWidth="1" min="5" max="5"/>
    <col width="24" customWidth="1" min="6" max="6"/>
    <col width="22" customWidth="1" min="7" max="7"/>
    <col width="60" customWidth="1" min="8" max="8"/>
  </cols>
  <sheetData>
    <row r="1">
      <c r="A1" s="1" t="inlineStr">
        <is>
          <t>Towns — v1.6.2 (2026-09-27)</t>
        </is>
      </c>
    </row>
    <row r="2">
      <c r="A2" s="2" t="inlineStr">
        <is>
          <t>The four towns offered in the wizard, and the pinned population fallback (DISTRICT_POPULATION_FALLBACK_2023).</t>
        </is>
      </c>
    </row>
    <row r="4" ht="32" customHeight="1">
      <c r="A4" s="12" t="inlineStr">
        <is>
          <t>Key</t>
        </is>
      </c>
      <c r="B4" s="12" t="inlineStr">
        <is>
          <t>Town label</t>
        </is>
      </c>
      <c r="C4" s="12" t="inlineStr">
        <is>
          <t>Latitude</t>
        </is>
      </c>
      <c r="D4" s="12" t="inlineStr">
        <is>
          <t>Longitude</t>
        </is>
      </c>
      <c r="E4" s="12" t="inlineStr">
        <is>
          <t>DOSM district (exact spelling)</t>
        </is>
      </c>
      <c r="F4" s="12" t="inlineStr">
        <is>
          <t>Pinned population fallback (DOSM 2023 estimate)</t>
        </is>
      </c>
      <c r="G4" s="12" t="inlineStr">
        <is>
          <t>YOUR change</t>
        </is>
      </c>
      <c r="H4" s="12" t="inlineStr">
        <is>
          <t>Notes</t>
        </is>
      </c>
    </row>
    <row r="5">
      <c r="A5" s="6" t="inlineStr">
        <is>
          <t>miri</t>
        </is>
      </c>
      <c r="B5" s="6" t="inlineStr">
        <is>
          <t>Miri</t>
        </is>
      </c>
      <c r="C5" s="29" t="n">
        <v>4.4148</v>
      </c>
      <c r="D5" s="29" t="n">
        <v>113.9917</v>
      </c>
      <c r="E5" s="6" t="inlineStr">
        <is>
          <t>Miri</t>
        </is>
      </c>
      <c r="F5" s="20" t="n">
        <v>255100</v>
      </c>
      <c r="G5" s="5" t="n"/>
      <c r="H5" s="6" t="inlineStr">
        <is>
          <t>2020-census figure (248,877) matched exactly between DOSM's Kawasanku dashboard and citypopulation.de; the 2023 estimate comes from the same sources.</t>
        </is>
      </c>
    </row>
    <row r="6">
      <c r="A6" s="6" t="inlineStr">
        <is>
          <t>kuching</t>
        </is>
      </c>
      <c r="B6" s="6" t="inlineStr">
        <is>
          <t>Kuching</t>
        </is>
      </c>
      <c r="C6" s="29" t="n">
        <v>1.5535</v>
      </c>
      <c r="D6" s="29" t="n">
        <v>110.3593</v>
      </c>
      <c r="E6" s="6" t="inlineStr">
        <is>
          <t>Kuching</t>
        </is>
      </c>
      <c r="F6" s="20" t="n">
        <v>621700</v>
      </c>
      <c r="G6" s="5" t="n"/>
      <c r="H6" s="6" t="inlineStr">
        <is>
          <t>2020-census figure (609,205) matched exactly between two sources.</t>
        </is>
      </c>
    </row>
    <row r="7">
      <c r="A7" s="6" t="inlineStr">
        <is>
          <t>sibu</t>
        </is>
      </c>
      <c r="B7" s="6" t="inlineStr">
        <is>
          <t>Sibu</t>
        </is>
      </c>
      <c r="C7" s="29" t="n">
        <v>2.287</v>
      </c>
      <c r="D7" s="29" t="n">
        <v>111.8305</v>
      </c>
      <c r="E7" s="6" t="inlineStr">
        <is>
          <t>Sibu</t>
        </is>
      </c>
      <c r="F7" s="20" t="n">
        <v>254000</v>
      </c>
      <c r="G7" s="5" t="n"/>
      <c r="H7" s="6" t="inlineStr">
        <is>
          <t>Single-sourced (citypopulation.de citing DOSM) — not cross-checked against a second source.</t>
        </is>
      </c>
    </row>
    <row r="8">
      <c r="A8" s="6" t="inlineStr">
        <is>
          <t>bintulu</t>
        </is>
      </c>
      <c r="B8" s="6" t="inlineStr">
        <is>
          <t>Bintulu</t>
        </is>
      </c>
      <c r="C8" s="29" t="n">
        <v>3.1668</v>
      </c>
      <c r="D8" s="29" t="n">
        <v>113.0413</v>
      </c>
      <c r="E8" s="6" t="inlineStr">
        <is>
          <t>Bintulu</t>
        </is>
      </c>
      <c r="F8" s="20" t="n">
        <v>186600</v>
      </c>
      <c r="G8" s="5" t="n"/>
      <c r="H8" s="6" t="inlineStr">
        <is>
          <t>Single-sourced (citypopulation.de citing DOSM) — not cross-checked against a second source.</t>
        </is>
      </c>
    </row>
    <row r="9" ht="70" customHeight="1">
      <c r="A9" s="11" t="inlineStr">
        <is>
          <t>(5th town)</t>
        </is>
      </c>
      <c r="B9" s="5" t="n"/>
      <c r="C9" s="5" t="n"/>
      <c r="D9" s="5" t="n"/>
      <c r="E9" s="5" t="n"/>
      <c r="F9" s="5" t="n"/>
      <c r="G9" s="5" t="n"/>
      <c r="H9" s="6" t="inlineStr">
        <is>
          <t>Adding a town needs TWO edits: an entry in TOWNS (market-radar.js) AND a pinned-population entry keyed by the lowercased district in market-radar-proxy-worker.js. Miss the second and population shows 'Not available' for that town. Confirm the district spelling against open.dosm.gov.my/data-catalogue/population_district first.</t>
        </is>
      </c>
    </row>
    <row r="11" ht="32" customHeight="1">
      <c r="A11" s="4" t="inlineStr">
        <is>
          <t>Why population is pinned: both DOSM OpenAPI endpoints were confirmed (2026-09-22) to fail for this dataset, and parsing DOSM's ~300,000-row CSV risks Cloudflare's free-plan 10 ms CPU limit. Both endpoints are still tried first, so live data returns automatically if DOSM fixes them.</t>
        </is>
      </c>
    </row>
    <row r="12" ht="32" customHeight="1">
      <c r="A12" s="4" t="inlineStr">
        <is>
          <t>Refresh these four numbers about once a year (when DOSM publishes new district estimates), or immediately if a live figure starts coming through and disagrees.</t>
        </is>
      </c>
    </row>
  </sheetData>
  <mergeCells count="2">
    <mergeCell ref="A12:H12"/>
    <mergeCell ref="A11:H1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6"/>
  <sheetViews>
    <sheetView workbookViewId="0">
      <pane ySplit="4" topLeftCell="A5" activePane="bottomLeft" state="frozen"/>
      <selection pane="bottomLeft" activeCell="A1" sqref="A1"/>
    </sheetView>
  </sheetViews>
  <sheetFormatPr baseColWidth="8" defaultRowHeight="15"/>
  <cols>
    <col width="12" customWidth="1" min="1" max="1"/>
    <col width="40" customWidth="1" min="2" max="2"/>
    <col width="48" customWidth="1" min="3" max="3"/>
    <col width="10" customWidth="1" min="4" max="4"/>
    <col width="24" customWidth="1" min="5" max="5"/>
    <col width="60" customWidth="1" min="6" max="6"/>
  </cols>
  <sheetData>
    <row r="1">
      <c r="A1" s="1" t="inlineStr">
        <is>
          <t>Anchors — v1.6.2 (2026-09-27)</t>
        </is>
      </c>
    </row>
    <row r="2">
      <c r="A2" s="2" t="inlineStr">
        <is>
          <t>Foot-traffic institutions — shown as blue squares, NEVER counted as competitors and never part of the score.</t>
        </is>
      </c>
    </row>
    <row r="4" ht="32" customHeight="1">
      <c r="A4" s="12" t="inlineStr">
        <is>
          <t>Key</t>
        </is>
      </c>
      <c r="B4" s="12" t="inlineStr">
        <is>
          <t>Label</t>
        </is>
      </c>
      <c r="C4" s="12" t="inlineStr">
        <is>
          <t>OSM tags queried (separated by ;)</t>
        </is>
      </c>
      <c r="D4" s="12" t="inlineStr">
        <is>
          <t>Tag pairs</t>
        </is>
      </c>
      <c r="E4" s="12" t="inlineStr">
        <is>
          <t>YOUR change</t>
        </is>
      </c>
      <c r="F4" s="12" t="inlineStr">
        <is>
          <t>Notes</t>
        </is>
      </c>
    </row>
    <row r="5">
      <c r="A5" s="6" t="inlineStr">
        <is>
          <t>school</t>
        </is>
      </c>
      <c r="B5" s="6" t="inlineStr">
        <is>
          <t>School</t>
        </is>
      </c>
      <c r="C5" s="6" t="inlineStr">
        <is>
          <t>amenity=school</t>
        </is>
      </c>
      <c r="D5" s="25">
        <f>IF(TRIM(C5)="",0,LEN(C5)-LEN(SUBSTITUTE(C5,";",""))+1)</f>
        <v/>
      </c>
      <c r="E5" s="5" t="n"/>
      <c r="F5" s="6" t="inlineStr">
        <is>
          <t>Left out on purpose: large private employers/offices — OSM has no reliable tag for 'this company has 200 staff'.</t>
        </is>
      </c>
    </row>
    <row r="6">
      <c r="A6" s="6" t="inlineStr">
        <is>
          <t>college</t>
        </is>
      </c>
      <c r="B6" s="6" t="inlineStr">
        <is>
          <t>University / college</t>
        </is>
      </c>
      <c r="C6" s="6" t="inlineStr">
        <is>
          <t>amenity=university; amenity=college</t>
        </is>
      </c>
      <c r="D6" s="25">
        <f>IF(TRIM(C6)="",0,LEN(C6)-LEN(SUBSTITUTE(C6,";",""))+1)</f>
        <v/>
      </c>
      <c r="E6" s="5" t="n"/>
      <c r="F6" s="6" t="inlineStr">
        <is>
          <t>Not yet shown in Market Gap mode (data is fetched, display not built).</t>
        </is>
      </c>
    </row>
    <row r="7">
      <c r="A7" s="6" t="inlineStr">
        <is>
          <t>health</t>
        </is>
      </c>
      <c r="B7" s="6" t="inlineStr">
        <is>
          <t>Hospital / clinic</t>
        </is>
      </c>
      <c r="C7" s="6" t="inlineStr">
        <is>
          <t>amenity=hospital; amenity=clinic</t>
        </is>
      </c>
      <c r="D7" s="25">
        <f>IF(TRIM(C7)="",0,LEN(C7)-LEN(SUBSTITUTE(C7,";",""))+1)</f>
        <v/>
      </c>
      <c r="E7" s="5" t="n"/>
      <c r="F7" s="6" t="inlineStr">
        <is>
          <t>Fetched with the same single Overpass call as the competitors. Not covered by the Geoapify backstop — anchors go quiet during a total Overpass outage.</t>
        </is>
      </c>
    </row>
    <row r="8">
      <c r="A8" s="6" t="inlineStr">
        <is>
          <t>mall</t>
        </is>
      </c>
      <c r="B8" s="6" t="inlineStr">
        <is>
          <t>Mall / hypermarket / department store</t>
        </is>
      </c>
      <c r="C8" s="6" t="inlineStr">
        <is>
          <t>shop=mall; shop=department_store</t>
        </is>
      </c>
      <c r="D8" s="25">
        <f>IF(TRIM(C8)="",0,LEN(C8)-LEN(SUBSTITUTE(C8,";",""))+1)</f>
        <v/>
      </c>
      <c r="E8" s="5" t="n"/>
      <c r="F8" s="6" t="inlineStr"/>
    </row>
    <row r="9">
      <c r="A9" s="6" t="inlineStr">
        <is>
          <t>govt</t>
        </is>
      </c>
      <c r="B9" s="6" t="inlineStr">
        <is>
          <t>Government office</t>
        </is>
      </c>
      <c r="C9" s="6" t="inlineStr">
        <is>
          <t>office=government; amenity=townhall</t>
        </is>
      </c>
      <c r="D9" s="25">
        <f>IF(TRIM(C9)="",0,LEN(C9)-LEN(SUBSTITUTE(C9,";",""))+1)</f>
        <v/>
      </c>
      <c r="E9" s="5" t="n"/>
      <c r="F9" s="6" t="inlineStr"/>
    </row>
    <row r="10">
      <c r="A10" s="6" t="inlineStr">
        <is>
          <t>worship</t>
        </is>
      </c>
      <c r="B10" s="6" t="inlineStr">
        <is>
          <t>Place of worship</t>
        </is>
      </c>
      <c r="C10" s="6" t="inlineStr">
        <is>
          <t>amenity=place_of_worship</t>
        </is>
      </c>
      <c r="D10" s="25">
        <f>IF(TRIM(C10)="",0,LEN(C10)-LEN(SUBSTITUTE(C10,";",""))+1)</f>
        <v/>
      </c>
      <c r="E10" s="5" t="n"/>
      <c r="F10" s="6" t="inlineStr"/>
    </row>
    <row r="11">
      <c r="A11" s="6" t="inlineStr">
        <is>
          <t>transport</t>
        </is>
      </c>
      <c r="B11" s="6" t="inlineStr">
        <is>
          <t>Bus / transport terminal</t>
        </is>
      </c>
      <c r="C11" s="6" t="inlineStr">
        <is>
          <t>amenity=bus_station; aeroway=terminal</t>
        </is>
      </c>
      <c r="D11" s="25">
        <f>IF(TRIM(C11)="",0,LEN(C11)-LEN(SUBSTITUTE(C11,";",""))+1)</f>
        <v/>
      </c>
      <c r="E11" s="5" t="n"/>
      <c r="F11" s="6" t="inlineStr"/>
    </row>
    <row r="13">
      <c r="A13" s="3" t="inlineStr">
        <is>
          <t>TAG-PAIR BUDGET CHECK (separate counter from the business categories)</t>
        </is>
      </c>
    </row>
    <row r="14">
      <c r="A14" s="6" t="inlineStr">
        <is>
          <t>Tag pairs used by anchors</t>
        </is>
      </c>
      <c r="B14" s="7" t="n"/>
      <c r="C14" s="8" t="n"/>
      <c r="D14" s="27">
        <f>SUM(D5:D11)</f>
        <v/>
      </c>
    </row>
    <row r="15">
      <c r="A15" s="6" t="inlineStr">
        <is>
          <t>Worker cap per request for anchors</t>
        </is>
      </c>
      <c r="B15" s="7" t="n"/>
      <c r="C15" s="8" t="n"/>
      <c r="D15" s="28">
        <f>Settings!$B$47</f>
        <v/>
      </c>
    </row>
    <row r="16">
      <c r="A16" s="6" t="inlineStr">
        <is>
          <t>Headroom</t>
        </is>
      </c>
      <c r="B16" s="7" t="n"/>
      <c r="C16" s="8" t="n"/>
      <c r="D16" s="27">
        <f>D15-D14</f>
        <v/>
      </c>
    </row>
  </sheetData>
  <mergeCells count="3">
    <mergeCell ref="A15:C15"/>
    <mergeCell ref="A14:C14"/>
    <mergeCell ref="A16:C1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24"/>
  <sheetViews>
    <sheetView workbookViewId="0">
      <pane ySplit="4" topLeftCell="A5" activePane="bottomLeft" state="frozen"/>
      <selection pane="bottomLeft" activeCell="A1" sqref="A1"/>
    </sheetView>
  </sheetViews>
  <sheetFormatPr baseColWidth="8" defaultRowHeight="15"/>
  <cols>
    <col width="28" customWidth="1" min="1" max="1"/>
    <col width="22" customWidth="1" min="2" max="2"/>
    <col width="40" customWidth="1" min="3" max="3"/>
    <col width="44" customWidth="1" min="4" max="4"/>
    <col width="46" customWidth="1" min="5" max="5"/>
    <col width="16" customWidth="1" min="6" max="6"/>
  </cols>
  <sheetData>
    <row r="1">
      <c r="A1" s="1" t="inlineStr">
        <is>
          <t>Cloudflare — v1.6.2 (2026-09-27)</t>
        </is>
      </c>
    </row>
    <row r="2">
      <c r="A2" s="2" t="inlineStr">
        <is>
          <t>Secret / binding NAMES only — never values. Names must match EXACTLY (capitals and underscores).</t>
        </is>
      </c>
    </row>
    <row r="4" ht="32" customHeight="1">
      <c r="A4" s="12" t="inlineStr">
        <is>
          <t>Name (type exactly)</t>
        </is>
      </c>
      <c r="B4" s="12" t="inlineStr">
        <is>
          <t>Kind</t>
        </is>
      </c>
      <c r="C4" s="12" t="inlineStr">
        <is>
          <t>Needed for</t>
        </is>
      </c>
      <c r="D4" s="12" t="inlineStr">
        <is>
          <t>If absent</t>
        </is>
      </c>
      <c r="E4" s="12" t="inlineStr">
        <is>
          <t>Where to get it</t>
        </is>
      </c>
      <c r="F4" s="12" t="inlineStr">
        <is>
          <t>Configured? (Y/N — you fill)</t>
        </is>
      </c>
    </row>
    <row r="5">
      <c r="A5" s="14" t="inlineStr">
        <is>
          <t>GEMINI_API_KEY</t>
        </is>
      </c>
      <c r="B5" s="6" t="inlineStr">
        <is>
          <t>Secret</t>
        </is>
      </c>
      <c r="C5" s="6" t="inlineStr">
        <is>
          <t>Plain-English read (primary narrator)</t>
        </is>
      </c>
      <c r="D5" s="6" t="inlineStr">
        <is>
          <t>Falls back to Workers AI if the AI binding exists; otherwise the read shows an error. Every number on the page is unaffected.</t>
        </is>
      </c>
      <c r="E5" s="6" t="inlineStr">
        <is>
          <t>The same key your other Reysourcez tools already use.</t>
        </is>
      </c>
      <c r="F5" s="30" t="n"/>
    </row>
    <row r="6">
      <c r="A6" s="14" t="inlineStr">
        <is>
          <t>ORS_API_KEY</t>
        </is>
      </c>
      <c r="B6" s="6" t="inlineStr">
        <is>
          <t>Secret</t>
        </is>
      </c>
      <c r="C6" s="6" t="inlineStr">
        <is>
          <t>Real walk/drive-time catchment shape (OpenRouteService)</t>
        </is>
      </c>
      <c r="D6" s="6" t="inlineStr">
        <is>
          <t>The page draws a dashed fallback circle instead. Everything else works.</t>
        </is>
      </c>
      <c r="E6" s="6" t="inlineStr">
        <is>
          <t>account.heigit.org — the key shown as 'Basic Key'. Free, ~500 isochrones total, 20/minute.</t>
        </is>
      </c>
      <c r="F6" s="30" t="n"/>
    </row>
    <row r="7">
      <c r="A7" s="14" t="inlineStr">
        <is>
          <t>GEOAPIFY_API_KEY</t>
        </is>
      </c>
      <c r="B7" s="6" t="inlineStr">
        <is>
          <t>Secret</t>
        </is>
      </c>
      <c r="C7" s="6" t="inlineStr">
        <is>
          <t>Competitor-data backstop when every Overpass mirror fails</t>
        </is>
      </c>
      <c r="D7" s="6" t="inlineStr">
        <is>
          <t>A total Overpass outage shows as 'competitor data unavailable' with an explicit message.</t>
        </is>
      </c>
      <c r="E7" s="6" t="inlineStr">
        <is>
          <t>myprojects.geoapify.com — free, no card, 3,000 credits/day.</t>
        </is>
      </c>
      <c r="F7" s="30" t="n"/>
    </row>
    <row r="8">
      <c r="A8" s="14" t="inlineStr">
        <is>
          <t>GOOGLE_PLACES_API_KEY</t>
        </is>
      </c>
      <c r="B8" s="6" t="inlineStr">
        <is>
          <t>Secret (OPTIONAL — PAID past 1,000 calls/month)</t>
        </is>
      </c>
      <c r="C8" s="6" t="inlineStr">
        <is>
          <t>Competitor rating/review signal</t>
        </is>
      </c>
      <c r="D8" s="6" t="inlineStr">
        <is>
          <t>Feature silently off. The free on-site busyness read does the same job.</t>
        </is>
      </c>
      <c r="E8" s="6" t="inlineStr">
        <is>
          <t>Google Cloud project with billing enabled, key restricted to 'Places API (New)'.</t>
        </is>
      </c>
      <c r="F8" s="30" t="n"/>
    </row>
    <row r="9">
      <c r="A9" s="14" t="inlineStr">
        <is>
          <t>AI</t>
        </is>
      </c>
      <c r="B9" s="6" t="inlineStr">
        <is>
          <t>Binding (Workers AI) — NOT a secret</t>
        </is>
      </c>
      <c r="C9" s="6" t="inlineStr">
        <is>
          <t>Plain-English read backstop when Gemini is region-blocked</t>
        </is>
      </c>
      <c r="D9" s="6" t="inlineStr">
        <is>
          <t>No backstop: if Gemini refuses, the read fails with an explanation.</t>
        </is>
      </c>
      <c r="E9" s="6" t="inlineStr">
        <is>
          <t>Worker → Settings → Bindings → Add → Workers AI → variable name exactly AI. Free: 10,000 neurons/day.</t>
        </is>
      </c>
      <c r="F9" s="30" t="n"/>
    </row>
    <row r="11" ht="30" customHeight="1">
      <c r="A11" s="15" t="inlineStr">
        <is>
          <t>A misspelt name is silently ignored — this project lost a debugging round to 'geo_api_key' saved instead of 'GEOAPIFY_API_KEY'. NEVER type an actual key into this workbook.</t>
        </is>
      </c>
    </row>
    <row r="13">
      <c r="A13" s="3" t="inlineStr">
        <is>
          <t>Endpoints, models and allowed origins (all inside the Worker's own code unless stated)</t>
        </is>
      </c>
    </row>
    <row r="14" ht="32" customHeight="1">
      <c r="A14" s="12" t="inlineStr">
        <is>
          <t>Setting</t>
        </is>
      </c>
      <c r="B14" s="12" t="inlineStr">
        <is>
          <t>Current value</t>
        </is>
      </c>
      <c r="C14" s="12" t="inlineStr"/>
      <c r="D14" s="12" t="inlineStr"/>
      <c r="E14" s="12" t="inlineStr">
        <is>
          <t>Where to change it / notes</t>
        </is>
      </c>
      <c r="F14" s="12" t="inlineStr">
        <is>
          <t>YOUR change</t>
        </is>
      </c>
    </row>
    <row r="15" ht="34" customHeight="1">
      <c r="A15" s="6" t="inlineStr">
        <is>
          <t>WORKER_ENDPOINT (in the PAGE)</t>
        </is>
      </c>
      <c r="B15" s="6" t="inlineStr">
        <is>
          <t>https://market-radar-proxy.reysourcez-ent.workers.dev/</t>
        </is>
      </c>
      <c r="C15" s="7" t="n"/>
      <c r="D15" s="8" t="n"/>
      <c r="E15" s="6" t="inlineStr">
        <is>
          <t>market-radar.js — the Worker's public URL. Change only if the Worker is renamed or moved to a custom domain.</t>
        </is>
      </c>
      <c r="F15" s="5" t="n"/>
    </row>
    <row r="16" ht="34" customHeight="1">
      <c r="A16" s="6" t="inlineStr">
        <is>
          <t>ALLOWED_ORIGINS</t>
        </is>
      </c>
      <c r="B16" s="6" t="inlineStr">
        <is>
          <t>https://reysourcez.com, https://www.reysourcez.com</t>
        </is>
      </c>
      <c r="C16" s="7" t="n"/>
      <c r="D16" s="8" t="n"/>
      <c r="E16" s="6" t="inlineStr">
        <is>
          <t>market-radar-proxy-worker.js — the only websites allowed to call the Worker from a browser (CORS). Does NOT stop curl.</t>
        </is>
      </c>
      <c r="F16" s="5" t="n"/>
    </row>
    <row r="17" ht="48" customHeight="1">
      <c r="A17" s="6" t="inlineStr">
        <is>
          <t>OVERPASS_MIRRORS (tried in order)</t>
        </is>
      </c>
      <c r="B17" s="6" t="inlineStr">
        <is>
          <t>1) https://overpass-api.de/api/interpreter
2) https://overpass.kumi.systems/api/interpreter
3) https://overpass.private.coffee/api/interpreter</t>
        </is>
      </c>
      <c r="C17" s="7" t="n"/>
      <c r="D17" s="8" t="n"/>
      <c r="E17" s="6" t="inlineStr">
        <is>
          <t>market-radar-proxy-worker.js — first one that answers wins.</t>
        </is>
      </c>
      <c r="F17" s="5" t="n"/>
    </row>
    <row r="18" ht="34" customHeight="1">
      <c r="A18" s="6" t="inlineStr">
        <is>
          <t>ORS_ISOCHRONE_ENDPOINT</t>
        </is>
      </c>
      <c r="B18" s="6" t="inlineStr">
        <is>
          <t>https://api.heigit.org/openrouteservice/v2/isochrones/</t>
        </is>
      </c>
      <c r="C18" s="7" t="n"/>
      <c r="D18" s="8" t="n"/>
      <c r="E18" s="6" t="inlineStr">
        <is>
          <t>market-radar-proxy-worker.js — moved from api.openrouteservice.org (throttled since 28 April 2026).</t>
        </is>
      </c>
      <c r="F18" s="5" t="n"/>
    </row>
    <row r="19" ht="34" customHeight="1">
      <c r="A19" s="6" t="inlineStr">
        <is>
          <t>DATA_GOV_MY_ENDPOINT</t>
        </is>
      </c>
      <c r="B19" s="6" t="inlineStr">
        <is>
          <t>https://api.data.gov.my/data-catalogue</t>
        </is>
      </c>
      <c r="C19" s="7" t="n"/>
      <c r="D19" s="8" t="n"/>
      <c r="E19" s="6" t="inlineStr">
        <is>
          <t>market-radar-proxy-worker.js — household income works here; population_district returns [] (confirmed 2026-09-22).</t>
        </is>
      </c>
      <c r="F19" s="5" t="n"/>
    </row>
    <row r="20" ht="34" customHeight="1">
      <c r="A20" s="6" t="inlineStr">
        <is>
          <t>OPENDOSM_ENDPOINT</t>
        </is>
      </c>
      <c r="B20" s="6" t="inlineStr">
        <is>
          <t>https://api.data.gov.my/opendosm</t>
        </is>
      </c>
      <c r="C20" s="7" t="n"/>
      <c r="D20" s="8" t="n"/>
      <c r="E20" s="6" t="inlineStr">
        <is>
          <t>market-radar-proxy-worker.js — population_district returns HTTP 400 here (confirmed 2026-09-22).</t>
        </is>
      </c>
      <c r="F20" s="5" t="n"/>
    </row>
    <row r="21" ht="34" customHeight="1">
      <c r="A21" s="6" t="inlineStr">
        <is>
          <t>DOSM retail-trade CSV</t>
        </is>
      </c>
      <c r="B21" s="6" t="inlineStr">
        <is>
          <t>https://storage.dosm.gov.my/iowrt/iowrt_3d.csv</t>
        </is>
      </c>
      <c r="C21" s="7" t="n"/>
      <c r="D21" s="8" t="n"/>
      <c r="E21" s="6" t="inlineStr">
        <is>
          <t>market-radar-proxy-worker.js (fetchWholesaleRetailTrends) — CC BY 4.0.</t>
        </is>
      </c>
      <c r="F21" s="5" t="n"/>
    </row>
    <row r="22" ht="34" customHeight="1">
      <c r="A22" s="6" t="inlineStr">
        <is>
          <t>GEMINI_MODEL</t>
        </is>
      </c>
      <c r="B22" s="6" t="inlineStr">
        <is>
          <t>gemini-flash-lite-latest</t>
        </is>
      </c>
      <c r="C22" s="7" t="n"/>
      <c r="D22" s="8" t="n"/>
      <c r="E22" s="6" t="inlineStr">
        <is>
          <t>market-radar-proxy-worker.js — the narration model.</t>
        </is>
      </c>
      <c r="F22" s="5" t="n"/>
    </row>
    <row r="23" ht="34" customHeight="1">
      <c r="A23" s="6" t="inlineStr">
        <is>
          <t>WORKERS_AI_MODEL</t>
        </is>
      </c>
      <c r="B23" s="6" t="inlineStr">
        <is>
          <t>@cf/meta/llama-3.1-8b-instruct-fp8-fast</t>
        </is>
      </c>
      <c r="C23" s="7" t="n"/>
      <c r="D23" s="8" t="n"/>
      <c r="E23" s="6" t="inlineStr">
        <is>
          <t>market-radar-proxy-worker.js — Cloudflare retires models periodically; check developers.cloudflare.com/workers-ai/platform/pricing if it stops answering.</t>
        </is>
      </c>
      <c r="F23" s="5" t="n"/>
    </row>
    <row r="24" ht="34" customHeight="1">
      <c r="A24" s="6" t="inlineStr">
        <is>
          <t>APP_USER_AGENT</t>
        </is>
      </c>
      <c r="B24" s="6" t="inlineStr">
        <is>
          <t>ReysourcezMarketRadar/1.0 (+https://reysourcez.com/market-radar.html)</t>
        </is>
      </c>
      <c r="C24" s="7" t="n"/>
      <c r="D24" s="8" t="n"/>
      <c r="E24" s="6" t="inlineStr">
        <is>
          <t>market-radar-proxy-worker.js — sent to Overpass and DOSM; update the URL if the page ever moves.</t>
        </is>
      </c>
      <c r="F24" s="5" t="n"/>
    </row>
  </sheetData>
  <mergeCells count="11">
    <mergeCell ref="A11:F11"/>
    <mergeCell ref="B19:D19"/>
    <mergeCell ref="B23:D23"/>
    <mergeCell ref="B22:D22"/>
    <mergeCell ref="B17:D17"/>
    <mergeCell ref="B18:D18"/>
    <mergeCell ref="B21:D21"/>
    <mergeCell ref="B15:D15"/>
    <mergeCell ref="B24:D24"/>
    <mergeCell ref="B16:D16"/>
    <mergeCell ref="B20:D20"/>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Reysourcez Enterprise — Market Radar project</dc:creator>
  <dc:title xmlns:dc="http://purl.org/dc/elements/1.1/">Market Radar — Settings Reference v1.6.2 (2026-09-27)</dc:title>
  <dcterms:created xmlns:dcterms="http://purl.org/dc/terms/" xmlns:xsi="http://www.w3.org/2001/XMLSchema-instance" xsi:type="dcterms:W3CDTF">2026-09-28T14:15:27Z</dcterms:created>
  <dcterms:modified xmlns:dcterms="http://purl.org/dc/terms/" xmlns:xsi="http://www.w3.org/2001/XMLSchema-instance" xsi:type="dcterms:W3CDTF">2026-09-28T14:15:27Z</dcterms:modified>
</cp:coreProperties>
</file>