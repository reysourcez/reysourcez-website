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ettings" sheetId="2" state="visible" r:id="rId4"/>
    <sheet name="Categories" sheetId="3" state="visible" r:id="rId5"/>
    <sheet name="Anchors" sheetId="4" state="visible" r:id="rId6"/>
    <sheet name="AnchorPull" sheetId="5" state="visible" r:id="rId7"/>
    <sheet name="GoesWith" sheetId="6" state="visible" r:id="rId8"/>
    <sheet name="Niches" sheetId="7" state="visible" r:id="rId9"/>
    <sheet name="Catchments" sheetId="8" state="visible" r:id="rId10"/>
    <sheet name="Towns" sheetId="9" state="visible" r:id="rId11"/>
    <sheet name="Cloudflare"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<sst xmlns="http://schemas.openxmlformats.org/spreadsheetml/2006/main" count="1293" uniqueCount="615">
  <si>
    <t xml:space="preserve">Market Radar - Settings Reference - v1.7.0</t>
  </si>
  <si>
    <t xml:space="preserve">Generated 2026-10-20 from the shipped files by tools/market-radar-build-settings.py. If this sheet and the code ever disagree, the code is right.</t>
  </si>
  <si>
    <t xml:space="preserve">What this is</t>
  </si>
  <si>
    <t xml:space="preserve">A human-readable list of every number and name you might want to change, with where it lives. Grey cells are read out of the code. Yellow cells are yours: type what you would like instead.</t>
  </si>
  <si>
    <t xml:space="preserve">How to use it</t>
  </si>
  <si>
    <t xml:space="preserve">1) Find the setting. 2) Type your wished value in the yellow cell. 3) Give the sheet to the AI assistant (or edit the file at the "Where" location yourself). 4) Redeploy using MARKET_RADAR_SETUP_AND_GLOSSARY.md. Never put real API keys in this file.</t>
  </si>
  <si>
    <t xml:space="preserve">Judgement vs fact</t>
  </si>
  <si>
    <t xml:space="preserve">Anything labelled assumption is the author's judgement, not a measurement: crowding densities, need tiers, capital levels, anchor and affinity weights, the thresholds in Settings. Change them if your local knowledge says so.</t>
  </si>
  <si>
    <t xml:space="preserve">Files and versions</t>
  </si>
  <si>
    <t xml:space="preserve">All project files use the same version number so a mismatch is obvious. Stable file names are deliberate: other pages link to market-radar.html.</t>
  </si>
  <si>
    <t xml:space="preserve">File</t>
  </si>
  <si>
    <t xml:space="preserve">Version</t>
  </si>
  <si>
    <t xml:space="preserve">Lives at</t>
  </si>
  <si>
    <t xml:space="preserve">Deployed by</t>
  </si>
  <si>
    <t xml:space="preserve">Notes</t>
  </si>
  <si>
    <t xml:space="preserve">market-radar.html</t>
  </si>
  <si>
    <t xml:space="preserve">1.7.0</t>
  </si>
  <si>
    <t xml:space="preserve">GitHub Pages, site root</t>
  </si>
  <si>
    <t xml:space="preserve">Upload to GitHub</t>
  </si>
  <si>
    <t xml:space="preserve">Cache-buster on the script tags: change ?v=... on every release.</t>
  </si>
  <si>
    <t xml:space="preserve">market-radar.js</t>
  </si>
  <si>
    <t xml:space="preserve">State, network, rendering. No scoring logic.</t>
  </si>
  <si>
    <t xml:space="preserve">market-radar-engine.js</t>
  </si>
  <si>
    <t xml:space="preserve">All scoring and classification (pure logic, fully unit-tested). Must be uploaded together with market-radar.js.</t>
  </si>
  <si>
    <t xml:space="preserve">market-radar-proxy-worker.js</t>
  </si>
  <si>
    <t xml:space="preserve">Cloudflare Worker "market-radar-proxy"</t>
  </si>
  <si>
    <t xml:space="preserve">Paste into Edit code, Deploy</t>
  </si>
  <si>
    <t xml:space="preserve">Shown in the Area snapshot tab after an analysis.</t>
  </si>
  <si>
    <t xml:space="preserve">market-radar-data/overture-&lt;town&gt;.json</t>
  </si>
  <si>
    <t xml:space="preserve">(built)</t>
  </si>
  <si>
    <t xml:space="preserve">GitHub Pages, folder market-radar-data/</t>
  </si>
  <si>
    <t xml:space="preserve">Optional second data source. Built by tools/market-radar-build-overture.py on your PC. Without it the page uses OpenStreetMap only and says so.</t>
  </si>
  <si>
    <t xml:space="preserve">tools/market-radar-build-overture.py</t>
  </si>
  <si>
    <t xml:space="preserve">Your PC</t>
  </si>
  <si>
    <t xml:space="preserve">Run it</t>
  </si>
  <si>
    <t xml:space="preserve">python -m pip install overturemaps, then python market-radar-build-overture.py --town all</t>
  </si>
  <si>
    <t xml:space="preserve">tools/market-radar-build-settings.py</t>
  </si>
  <si>
    <t xml:space="preserve">Your PC / AI session</t>
  </si>
  <si>
    <t xml:space="preserve">Regenerates THIS workbook from the code.</t>
  </si>
  <si>
    <t xml:space="preserve">tools/market-radar-build-handoff.py / market-radar-build-package.py</t>
  </si>
  <si>
    <t xml:space="preserve">AI session</t>
  </si>
  <si>
    <t xml:space="preserve">Regenerate the handoff dossier / the _MANIFEST.md and the ALL-FILES zip.</t>
  </si>
  <si>
    <t xml:space="preserve">market-radar-v1.7.0-ALL-FILES.zip</t>
  </si>
  <si>
    <t xml:space="preserve">Download</t>
  </si>
  <si>
    <t xml:space="preserve">Unzip</t>
  </si>
  <si>
    <t xml:space="preserve">Every file below with folders kept; START_HERE.md is the first thing to read.</t>
  </si>
  <si>
    <t xml:space="preserve">START_HERE.md</t>
  </si>
  <si>
    <t xml:space="preserve">Project folder</t>
  </si>
  <si>
    <t xml:space="preserve">n/a</t>
  </si>
  <si>
    <t xml:space="preserve">One page: which file goes where.</t>
  </si>
  <si>
    <t xml:space="preserve">archive-v1.6.2/</t>
  </si>
  <si>
    <t xml:space="preserve">v1.6.2 (old)</t>
  </si>
  <si>
    <t xml:space="preserve">Old page, script, docs and workbook; file names carry -v1.6.2. Only for rolling back (needs the old Worker too).</t>
  </si>
  <si>
    <t xml:space="preserve">MARKET_RADAR_HANDOFF.md</t>
  </si>
  <si>
    <t xml:space="preserve">AI continuity dossier: give this to a new AI session first.</t>
  </si>
  <si>
    <t xml:space="preserve">MARKET_RADAR_SETUP_AND_GLOSSARY.md</t>
  </si>
  <si>
    <t xml:space="preserve">Deploy steps, what was verified, jargon.</t>
  </si>
  <si>
    <t xml:space="preserve">MARKET_RADAR_HISTORY.md</t>
  </si>
  <si>
    <t xml:space="preserve">archive (ends at v1.6.2)</t>
  </si>
  <si>
    <t xml:space="preserve">The old story up to v1.6.2, kept verbatim. Not out of date: it is an archive.</t>
  </si>
  <si>
    <t xml:space="preserve">tests/</t>
  </si>
  <si>
    <t xml:space="preserve">engine.test.cjs, worker.test.mjs, overture-builder.test.py, e2e.mjs (+ run-all.sh).</t>
  </si>
  <si>
    <t xml:space="preserve">styles.css?v=16 / site-config.js / nav-config.js / nav-dropdown.js / costing-sync.js</t>
  </si>
  <si>
    <t xml:space="preserve">not ours</t>
  </si>
  <si>
    <t xml:space="preserve">Other sessions own these</t>
  </si>
  <si>
    <t xml:space="preserve">Loaded by the page: styles.css?v=16; https://cdnjs.cloudflare.com/ajax/libs/leaflet/1.9.4/leaflet.min.css; site-config.js?v=1; nav-config.js?v=1; https://cdnjs.cloudflare.com/ajax/libs/leaflet/1.9.4/leaflet.min.js; https://cdn.jsdelivr.net/npm/leaflet.heat@0.2.0/dist/leaflet-heat.js; nav-dropdown.js?v=1; market-radar-engine.js?v=20261015a; market-radar.js?v=20261015a</t>
  </si>
  <si>
    <t xml:space="preserve">Settings - v1.7.0 (2026-10-20)</t>
  </si>
  <si>
    <t xml:space="preserve">Edit only the yellow cells. "Where" names the file and constant. Weights are auto-normalised (divided by their total), so they need not add to exactly 1.</t>
  </si>
  <si>
    <t xml:space="preserve">Setting</t>
  </si>
  <si>
    <t xml:space="preserve">Current value</t>
  </si>
  <si>
    <t xml:space="preserve">Your value</t>
  </si>
  <si>
    <t xml:space="preserve">Where to change it</t>
  </si>
  <si>
    <t xml:space="preserve">PAGE</t>
  </si>
  <si>
    <t xml:space="preserve">Analyses per browser per day</t>
  </si>
  <si>
    <t xml:space="preserve">15</t>
  </si>
  <si>
    <t xml:space="preserve">market-radar.js -&gt; MAX_PER_DAY</t>
  </si>
  <si>
    <t xml:space="preserve">Soft cap kept in the browser (localStorage key "mr-usage"); easy to bypass. It protects shared free quotas.</t>
  </si>
  <si>
    <t xml:space="preserve">Business types tickable in Idea check</t>
  </si>
  <si>
    <t xml:space="preserve">4</t>
  </si>
  <si>
    <t xml:space="preserve">market-radar.js -&gt; MAX_TICKED</t>
  </si>
  <si>
    <t xml:space="preserve">Custom OSM types you can add</t>
  </si>
  <si>
    <t xml:space="preserve">8</t>
  </si>
  <si>
    <t xml:space="preserve">market-radar.js -&gt; MAX_CUSTOM</t>
  </si>
  <si>
    <t xml:space="preserve">Letters, numbers, _ : - only (up to 40 characters).</t>
  </si>
  <si>
    <t xml:space="preserve">Browser-direct Overpass servers, in order</t>
  </si>
  <si>
    <t xml:space="preserve">https://overpass-api.de/api/interpreter | https://overpass.kumi.systems/api/interpreter</t>
  </si>
  <si>
    <t xml:space="preserve">market-radar.js -&gt; DIRECT_MIRRORS</t>
  </si>
  <si>
    <t xml:space="preserve">Tried first, from the visitor's own connection; the Worker is the fallback.</t>
  </si>
  <si>
    <t xml:space="preserve">Overpass query time limit, walk areas (s)</t>
  </si>
  <si>
    <t xml:space="preserve">30</t>
  </si>
  <si>
    <t xml:space="preserve">market-radar.js -&gt; analyze() (inline)</t>
  </si>
  <si>
    <t xml:space="preserve">Drive areas use 45 s.</t>
  </si>
  <si>
    <t xml:space="preserve">Overture files folder/prefix</t>
  </si>
  <si>
    <t xml:space="preserve">market-radar-data/overture-</t>
  </si>
  <si>
    <t xml:space="preserve">market-radar.js -&gt; OVT_PATH</t>
  </si>
  <si>
    <t xml:space="preserve">File names are &lt;prefix&gt;&lt;town&gt;.json.</t>
  </si>
  <si>
    <t xml:space="preserve">Place search: minimum gap between searches (ms)</t>
  </si>
  <si>
    <t xml:space="preserve">1200</t>
  </si>
  <si>
    <t xml:space="preserve">market-radar.js -&gt; findPlace() (inline)</t>
  </si>
  <si>
    <t xml:space="preserve">Nominatim policy: at most 1 request per second per site, submit-only (no autocomplete).</t>
  </si>
  <si>
    <t xml:space="preserve">Worker address</t>
  </si>
  <si>
    <t xml:space="preserve">https://market-radar-proxy.reysourcez-ent.workers.dev/</t>
  </si>
  <si>
    <t xml:space="preserve">market-radar.js -&gt; WORKER</t>
  </si>
  <si>
    <t xml:space="preserve">ENGINE - thresholds (all assumptions)</t>
  </si>
  <si>
    <t xml:space="preserve">Engine: ANCHOR_N</t>
  </si>
  <si>
    <t xml:space="preserve">market-radar-engine.js -&gt; T.ANCHOR_N</t>
  </si>
  <si>
    <t xml:space="preserve">A demand driver reaches ~63% of its pull at this many size-weighted institutions.</t>
  </si>
  <si>
    <t xml:space="preserve">Engine: CLUSTER_N</t>
  </si>
  <si>
    <t xml:space="preserve">market-radar-engine.js -&gt; T.CLUSTER_N</t>
  </si>
  <si>
    <t xml:space="preserve">A related business type reaches ~63% of its pull at this many places.</t>
  </si>
  <si>
    <t xml:space="preserve">Engine: PIONEER_MIN_CONF</t>
  </si>
  <si>
    <t xml:space="preserve">market-radar-engine.js -&gt; T.PIONEER_MIN_CONF</t>
  </si>
  <si>
    <t xml:space="preserve">Data confidence (0-1) needed to call a missing type "First-mover" instead of "Possible gap - verify".</t>
  </si>
  <si>
    <t xml:space="preserve">Engine: SPARSE_N</t>
  </si>
  <si>
    <t xml:space="preserve">market-radar-engine.js -&gt; T.SPARSE_N</t>
  </si>
  <si>
    <t xml:space="preserve">With no Overture cross-check, confidence = mapped businesses / this number (max 100%).</t>
  </si>
  <si>
    <t xml:space="preserve">Engine: OVT_MIN_CONF</t>
  </si>
  <si>
    <t xml:space="preserve">market-radar-engine.js -&gt; T.OVT_MIN_CONF</t>
  </si>
  <si>
    <t xml:space="preserve">Overture places below this confidence are ignored.</t>
  </si>
  <si>
    <t xml:space="preserve">Engine: MERGE_NAMED_M</t>
  </si>
  <si>
    <t xml:space="preserve">market-radar-engine.js -&gt; T.MERGE_NAMED_M</t>
  </si>
  <si>
    <t xml:space="preserve">OSM and Overture entries with similar names within this distance are treated as the same place.</t>
  </si>
  <si>
    <t xml:space="preserve">Engine: MERGE_UNNAMED_M</t>
  </si>
  <si>
    <t xml:space="preserve">market-radar-engine.js -&gt; T.MERGE_UNNAMED_M</t>
  </si>
  <si>
    <t xml:space="preserve">Unnamed entries must be this close to be merged.</t>
  </si>
  <si>
    <t xml:space="preserve">Engine: MERGE_NAME_SIM</t>
  </si>
  <si>
    <t xml:space="preserve">market-radar-engine.js -&gt; T.MERGE_NAME_SIM</t>
  </si>
  <si>
    <t xml:space="preserve">Share of name words that must match (0-1).</t>
  </si>
  <si>
    <t xml:space="preserve">Engine: COLOC_R_M</t>
  </si>
  <si>
    <t xml:space="preserve">market-radar-engine.js -&gt; T.COLOC_R_M</t>
  </si>
  <si>
    <t xml:space="preserve">Radius used to test whether two business types appear together more often than chance.</t>
  </si>
  <si>
    <t xml:space="preserve">Engine: COLOC_MIN_N</t>
  </si>
  <si>
    <t xml:space="preserve">market-radar-engine.js -&gt; T.COLOC_MIN_N</t>
  </si>
  <si>
    <t xml:space="preserve">Minimum count of EACH type before a co-location ratio is shown.</t>
  </si>
  <si>
    <t xml:space="preserve">Engine: NICHE_MIN_FOOD</t>
  </si>
  <si>
    <t xml:space="preserve">market-radar-engine.js -&gt; T.NICHE_MIN_FOOD</t>
  </si>
  <si>
    <t xml:space="preserve">Minimum food places before cuisine gaps are reported.</t>
  </si>
  <si>
    <t xml:space="preserve">Engine: NICHE_MIN_TAGGED</t>
  </si>
  <si>
    <t xml:space="preserve">market-radar-engine.js -&gt; T.NICHE_MIN_TAGGED</t>
  </si>
  <si>
    <t xml:space="preserve">Minimum share of food places with a known cuisine before cuisine gaps are reported.</t>
  </si>
  <si>
    <t xml:space="preserve">Engine: THIN_SAT</t>
  </si>
  <si>
    <t xml:space="preserve">market-radar-engine.js -&gt; T.THIN_SAT</t>
  </si>
  <si>
    <t xml:space="preserve">Saturation (density / "crowded at" density) below this = under-supplied.</t>
  </si>
  <si>
    <t xml:space="preserve">Engine: CROWDED_SAT</t>
  </si>
  <si>
    <t xml:space="preserve">market-radar-engine.js -&gt; T.CROWDED_SAT</t>
  </si>
  <si>
    <t xml:space="preserve">Saturation at or above this = crowded.</t>
  </si>
  <si>
    <t xml:space="preserve">Engine: EMERGING_SCORE</t>
  </si>
  <si>
    <t xml:space="preserve">market-radar-engine.js -&gt; T.EMERGING_SCORE</t>
  </si>
  <si>
    <t xml:space="preserve">National trend score (0-1) needed for the Emerging tag.</t>
  </si>
  <si>
    <t xml:space="preserve">Engine: CR_MIN_MATCHES</t>
  </si>
  <si>
    <t xml:space="preserve">market-radar-engine.js -&gt; T.CR_MIN_MATCHES</t>
  </si>
  <si>
    <t xml:space="preserve">Minimum places found in BOTH sources before a completeness estimate is attempted.</t>
  </si>
  <si>
    <t xml:space="preserve">Engine: WHITE_FLOOR</t>
  </si>
  <si>
    <t xml:space="preserve">market-radar-engine.js -&gt; T.WHITE_FLOOR</t>
  </si>
  <si>
    <t xml:space="preserve">Even a fully saturated category keeps this share of its potential (so a strong need is not zeroed out).</t>
  </si>
  <si>
    <t xml:space="preserve">ENGINE - ranking weights (assumptions)</t>
  </si>
  <si>
    <t xml:space="preserve">Best opportunities: demand</t>
  </si>
  <si>
    <t xml:space="preserve">market-radar-engine.js -&gt; OPP_WEIGHTS.demand</t>
  </si>
  <si>
    <t xml:space="preserve">Best opportunities: cluster</t>
  </si>
  <si>
    <t xml:space="preserve">market-radar-engine.js -&gt; OPP_WEIGHTS.cluster</t>
  </si>
  <si>
    <t xml:space="preserve">Best opportunities: need</t>
  </si>
  <si>
    <t xml:space="preserve">market-radar-engine.js -&gt; OPP_WEIGHTS.need</t>
  </si>
  <si>
    <t xml:space="preserve">Best opportunities: trend</t>
  </si>
  <si>
    <t xml:space="preserve">market-radar-engine.js -&gt; OPP_WEIGHTS.trend</t>
  </si>
  <si>
    <t xml:space="preserve">Best opportunities: TOTAL (check)</t>
  </si>
  <si>
    <t xml:space="preserve">formula</t>
  </si>
  <si>
    <t xml:space="preserve">Weights are divided by their total, so this need not be exactly 1.00.</t>
  </si>
  <si>
    <t xml:space="preserve">Best complements: need</t>
  </si>
  <si>
    <t xml:space="preserve">market-radar-engine.js -&gt; COMP_WEIGHTS.need</t>
  </si>
  <si>
    <t xml:space="preserve">Best complements: cluster</t>
  </si>
  <si>
    <t xml:space="preserve">market-radar-engine.js -&gt; COMP_WEIGHTS.cluster</t>
  </si>
  <si>
    <t xml:space="preserve">Best complements: demand</t>
  </si>
  <si>
    <t xml:space="preserve">market-radar-engine.js -&gt; COMP_WEIGHTS.demand</t>
  </si>
  <si>
    <t xml:space="preserve">Best complements: TOTAL (check)</t>
  </si>
  <si>
    <t xml:space="preserve">Idea check: lowCompetition</t>
  </si>
  <si>
    <t xml:space="preserve">market-radar-engine.js -&gt; IDEA_WEIGHTS.lowCompetition</t>
  </si>
  <si>
    <t xml:space="preserve">Idea check: population</t>
  </si>
  <si>
    <t xml:space="preserve">market-radar-engine.js -&gt; IDEA_WEIGHTS.population</t>
  </si>
  <si>
    <t xml:space="preserve">Idea check: income</t>
  </si>
  <si>
    <t xml:space="preserve">market-radar-engine.js -&gt; IDEA_WEIGHTS.income</t>
  </si>
  <si>
    <t xml:space="preserve">Idea check: diversity</t>
  </si>
  <si>
    <t xml:space="preserve">market-radar-engine.js -&gt; IDEA_WEIGHTS.diversity</t>
  </si>
  <si>
    <t xml:space="preserve">Idea check: momentum</t>
  </si>
  <si>
    <t xml:space="preserve">market-radar-engine.js -&gt; IDEA_WEIGHTS.momentum</t>
  </si>
  <si>
    <t xml:space="preserve">Idea check: competitorStrength</t>
  </si>
  <si>
    <t xml:space="preserve">market-radar-engine.js -&gt; IDEA_WEIGHTS.competitorStrength</t>
  </si>
  <si>
    <t xml:space="preserve">Idea check: TOTAL (check)</t>
  </si>
  <si>
    <t xml:space="preserve">ENGINE - reference points</t>
  </si>
  <si>
    <t xml:space="preserve">District population that maxes the Idea-check population score</t>
  </si>
  <si>
    <t xml:space="preserve">market-radar-engine.js -&gt; POP_NORM</t>
  </si>
  <si>
    <t xml:space="preserve">Median household income that maxes the Idea-check income score (RM/month)</t>
  </si>
  <si>
    <t xml:space="preserve">market-radar-engine.js -&gt; INCOME_NORM</t>
  </si>
  <si>
    <t xml:space="preserve">Capital factor: low</t>
  </si>
  <si>
    <t xml:space="preserve">market-radar-engine.js -&gt; CAPITAL_FACTOR.low</t>
  </si>
  <si>
    <t xml:space="preserve">Multiplies the Best-opportunities score; judgement.</t>
  </si>
  <si>
    <t xml:space="preserve">Capital factor: medium</t>
  </si>
  <si>
    <t xml:space="preserve">market-radar-engine.js -&gt; CAPITAL_FACTOR.medium</t>
  </si>
  <si>
    <t xml:space="preserve">Capital factor: high</t>
  </si>
  <si>
    <t xml:space="preserve">market-radar-engine.js -&gt; CAPITAL_FACTOR.high</t>
  </si>
  <si>
    <t xml:space="preserve">Need tier value: core</t>
  </si>
  <si>
    <t xml:space="preserve">market-radar-engine.js -&gt; NEED_TIER.core</t>
  </si>
  <si>
    <t xml:space="preserve">How essential a category is to daily life; judgement.</t>
  </si>
  <si>
    <t xml:space="preserve">Need tier value: important</t>
  </si>
  <si>
    <t xml:space="preserve">market-radar-engine.js -&gt; NEED_TIER.important</t>
  </si>
  <si>
    <t xml:space="preserve">Need tier value: supporting</t>
  </si>
  <si>
    <t xml:space="preserve">market-radar-engine.js -&gt; NEED_TIER.supporting</t>
  </si>
  <si>
    <t xml:space="preserve">Need tier value: discretionary</t>
  </si>
  <si>
    <t xml:space="preserve">market-radar-engine.js -&gt; NEED_TIER.discretionary</t>
  </si>
  <si>
    <t xml:space="preserve">WORKER (Cloudflare)</t>
  </si>
  <si>
    <t xml:space="preserve">Worker version</t>
  </si>
  <si>
    <t xml:space="preserve">market-radar-proxy-worker.js -&gt; WORKER_VERSION</t>
  </si>
  <si>
    <t xml:space="preserve">Bump on every deploy.</t>
  </si>
  <si>
    <t xml:space="preserve">Websites allowed to call the Worker</t>
  </si>
  <si>
    <t xml:space="preserve">https://reysourcez.com | https://www.reysourcez.com</t>
  </si>
  <si>
    <t xml:space="preserve">market-radar-proxy-worker.js -&gt; ALLOWED_ORIGINS</t>
  </si>
  <si>
    <t xml:space="preserve">CORS stops other websites, not curl. Origin enforcement/Turnstile is on the to-do list.</t>
  </si>
  <si>
    <t xml:space="preserve">Overpass servers tried by the Worker, in order</t>
  </si>
  <si>
    <t xml:space="preserve">https://overpass-api.de/api/interpreter | https://overpass.kumi.systems/api/interpreter | https://overpass.private.coffee/api/interpreter</t>
  </si>
  <si>
    <t xml:space="preserve">market-radar-proxy-worker.js -&gt; OVERPASS_MIRRORS</t>
  </si>
  <si>
    <t xml:space="preserve">Public servers are shared and rate-limited; Cloudflare addresses are sometimes blocked, which is why the browser tries first.</t>
  </si>
  <si>
    <t xml:space="preserve">Timeout per outside call (ms)</t>
  </si>
  <si>
    <t xml:space="preserve">10000</t>
  </si>
  <si>
    <t xml:space="preserve">market-radar-proxy-worker.js -&gt; EXTERNAL_CALL_TIMEOUT_MS</t>
  </si>
  <si>
    <t xml:space="preserve">Most OSM tag pairs accepted per request</t>
  </si>
  <si>
    <t xml:space="preserve">220</t>
  </si>
  <si>
    <t xml:space="preserve">market-radar-proxy-worker.js -&gt; MAX_TAG_PAIRS</t>
  </si>
  <si>
    <t xml:space="preserve">Everything the page sends is validated: the endpoint is public.</t>
  </si>
  <si>
    <t xml:space="preserve">Largest search box (degrees, each way)</t>
  </si>
  <si>
    <t xml:space="preserve">0.6</t>
  </si>
  <si>
    <t xml:space="preserve">market-radar-proxy-worker.js -&gt; MAX_SPAN_DEG</t>
  </si>
  <si>
    <t xml:space="preserve">Overpass answer cache (seconds)</t>
  </si>
  <si>
    <t xml:space="preserve">86400</t>
  </si>
  <si>
    <t xml:space="preserve">market-radar-proxy-worker.js (inline)</t>
  </si>
  <si>
    <t xml:space="preserve">Only SUCCESSFUL answers are cached. Cloudflare guarantees the cache on custom domains only.</t>
  </si>
  <si>
    <t xml:space="preserve">Walk/drive-shape cache (seconds)</t>
  </si>
  <si>
    <t xml:space="preserve">2592000</t>
  </si>
  <si>
    <t xml:space="preserve">District population/income cache (seconds)</t>
  </si>
  <si>
    <t xml:space="preserve">604800</t>
  </si>
  <si>
    <t xml:space="preserve">Successes only.</t>
  </si>
  <si>
    <t xml:space="preserve">Gemini model for the plain-English read</t>
  </si>
  <si>
    <t xml:space="preserve">gemini-flash-lite-latest</t>
  </si>
  <si>
    <t xml:space="preserve">market-radar-proxy-worker.js -&gt; GEMINI_MODEL</t>
  </si>
  <si>
    <t xml:space="preserve">Google refuses some Cloudflare regions; the Workers AI backstop covers that.</t>
  </si>
  <si>
    <t xml:space="preserve">Workers AI backstop model</t>
  </si>
  <si>
    <t xml:space="preserve">@cf/meta/llama-3.1-8b-instruct-fp8-fast</t>
  </si>
  <si>
    <t xml:space="preserve">market-radar-proxy-worker.js -&gt; WORKERS_AI_MODEL</t>
  </si>
  <si>
    <t xml:space="preserve">Cloudflare retires models now and then; check its pricing/models page if it stops answering.</t>
  </si>
  <si>
    <t xml:space="preserve">Categories - v1.7.0 (2026-10-20)</t>
  </si>
  <si>
    <t xml:space="preserve">31 business types in 6 groups. Crowded-at density, need tier and capital are judgements (assumptions). MSIC codes are reference only; where flagged they were cross-checked against other countries' ISIC-derived lists, not Malaysia SSM/DOSM directly.</t>
  </si>
  <si>
    <t xml:space="preserve">Key</t>
  </si>
  <si>
    <t xml:space="preserve">Label shown on the page</t>
  </si>
  <si>
    <t xml:space="preserve">Group</t>
  </si>
  <si>
    <t xml:space="preserve">Need tier</t>
  </si>
  <si>
    <t xml:space="preserve">Need value</t>
  </si>
  <si>
    <t xml:space="preserve">Crowded at (places per km2)</t>
  </si>
  <si>
    <t xml:space="preserve">Capital needed</t>
  </si>
  <si>
    <t xml:space="preserve">Counts as a founder idea?</t>
  </si>
  <si>
    <t xml:space="preserve">OSM tags queried</t>
  </si>
  <si>
    <t xml:space="preserve">Overture category words matched</t>
  </si>
  <si>
    <t xml:space="preserve">MSIC 2008 code</t>
  </si>
  <si>
    <t xml:space="preserve">MSIC name</t>
  </si>
  <si>
    <t xml:space="preserve">DOSM trend group</t>
  </si>
  <si>
    <t xml:space="preserve">Geoapify categories (backstop)</t>
  </si>
  <si>
    <t xml:space="preserve">YOUR change</t>
  </si>
  <si>
    <t xml:space="preserve">cafe</t>
  </si>
  <si>
    <t xml:space="preserve">Cafe / kopitiam</t>
  </si>
  <si>
    <t xml:space="preserve">Food &amp; drink</t>
  </si>
  <si>
    <t xml:space="preserve">supporting</t>
  </si>
  <si>
    <t xml:space="preserve">medium</t>
  </si>
  <si>
    <t xml:space="preserve">yes</t>
  </si>
  <si>
    <t xml:space="preserve">amenity=cafe</t>
  </si>
  <si>
    <t xml:space="preserve">cafe|coffee_shop|tea_room</t>
  </si>
  <si>
    <t xml:space="preserve">56302</t>
  </si>
  <si>
    <t xml:space="preserve">Coffee shops</t>
  </si>
  <si>
    <t xml:space="preserve">restaurant</t>
  </si>
  <si>
    <t xml:space="preserve">Restaurant</t>
  </si>
  <si>
    <t xml:space="preserve">important</t>
  </si>
  <si>
    <t xml:space="preserve">amenity=restaurant</t>
  </si>
  <si>
    <t xml:space="preserve">restaurant|eatery|diner|bistro|noodle_house|steakhouse</t>
  </si>
  <si>
    <t xml:space="preserve">56101</t>
  </si>
  <si>
    <t xml:space="preserve">Restaurants and restaurant cum night clubs</t>
  </si>
  <si>
    <t xml:space="preserve">catering.restaurant</t>
  </si>
  <si>
    <t xml:space="preserve">fastfood</t>
  </si>
  <si>
    <t xml:space="preserve">Fast food / food stall</t>
  </si>
  <si>
    <t xml:space="preserve">low</t>
  </si>
  <si>
    <t xml:space="preserve">amenity=fast_food</t>
  </si>
  <si>
    <t xml:space="preserve">fast_food|food_stand|food_truck|street_vendor|hawker</t>
  </si>
  <si>
    <t xml:space="preserve">56103</t>
  </si>
  <si>
    <t xml:space="preserve">Fast-food restaurants</t>
  </si>
  <si>
    <t xml:space="preserve">catering.fast_food</t>
  </si>
  <si>
    <t xml:space="preserve">foodcourt</t>
  </si>
  <si>
    <t xml:space="preserve">Food court / hawker centre</t>
  </si>
  <si>
    <t xml:space="preserve">high</t>
  </si>
  <si>
    <t xml:space="preserve">no (left out of Best opportunities)</t>
  </si>
  <si>
    <t xml:space="preserve">amenity=food_court</t>
  </si>
  <si>
    <t xml:space="preserve">food_court|hawker_center|hawker_centre</t>
  </si>
  <si>
    <t xml:space="preserve">bakery</t>
  </si>
  <si>
    <t xml:space="preserve">Bakery / dessert</t>
  </si>
  <si>
    <t xml:space="preserve">shop=bakery; shop=pastry; shop=confectionery; amenity=ice_cream</t>
  </si>
  <si>
    <t xml:space="preserve">bakery|patisserie|dessert|ice_cream|candy|confectionery|pastry</t>
  </si>
  <si>
    <t xml:space="preserve">47216</t>
  </si>
  <si>
    <t xml:space="preserve">Retail sale of bakery products and sugar confectionery</t>
  </si>
  <si>
    <t xml:space="preserve">472</t>
  </si>
  <si>
    <t xml:space="preserve">commercial.food_and_drink.bakery; commercial.food_and_drink.confectionery</t>
  </si>
  <si>
    <t xml:space="preserve">drinks</t>
  </si>
  <si>
    <t xml:space="preserve">Drink stall / bubble tea</t>
  </si>
  <si>
    <t xml:space="preserve">discretionary</t>
  </si>
  <si>
    <t xml:space="preserve">cuisine=bubble_tea; shop=beverages; shop=tea; shop=coffee</t>
  </si>
  <si>
    <t xml:space="preserve">bubble_tea|juice|smoothie|beverage|tea_house</t>
  </si>
  <si>
    <t xml:space="preserve">56303</t>
  </si>
  <si>
    <t xml:space="preserve">Drink stalls/hawkers</t>
  </si>
  <si>
    <t xml:space="preserve">catering.cafe.bubble_tea; catering.cafe.tea; commercial.food_and_drink.coffee_and_tea; commercial.food_and_drink.drinks</t>
  </si>
  <si>
    <t xml:space="preserve">minimart</t>
  </si>
  <si>
    <t xml:space="preserve">Convenience / minimart</t>
  </si>
  <si>
    <t xml:space="preserve">Daily needs</t>
  </si>
  <si>
    <t xml:space="preserve">core</t>
  </si>
  <si>
    <t xml:space="preserve">shop=convenience; shop=supermarket; shop=general; shop=variety_store</t>
  </si>
  <si>
    <t xml:space="preserve">convenience_store|supermarket|grocery|general_store|variety_store|mini_?mart</t>
  </si>
  <si>
    <t xml:space="preserve">47113</t>
  </si>
  <si>
    <t xml:space="preserve">Mini market</t>
  </si>
  <si>
    <t xml:space="preserve">471</t>
  </si>
  <si>
    <t xml:space="preserve">commercial.convenience; commercial.supermarket</t>
  </si>
  <si>
    <t xml:space="preserve">freshfood</t>
  </si>
  <si>
    <t xml:space="preserve">Fresh food / wet market</t>
  </si>
  <si>
    <t xml:space="preserve">amenity=marketplace; shop=greengrocer; shop=butcher; shop=seafood; shop=farm</t>
  </si>
  <si>
    <t xml:space="preserve">farmers_market|fruit_and_vegetable|butcher|seafood_market|fish_market|wet_market|meat_shop|produce</t>
  </si>
  <si>
    <t xml:space="preserve">pharmacy</t>
  </si>
  <si>
    <t xml:space="preserve">Pharmacy / drugstore</t>
  </si>
  <si>
    <t xml:space="preserve">Health &amp; wellbeing</t>
  </si>
  <si>
    <t xml:space="preserve">amenity=pharmacy; healthcare=pharmacy; shop=chemist</t>
  </si>
  <si>
    <t xml:space="preserve">pharmacy|drugstore|chemist</t>
  </si>
  <si>
    <t xml:space="preserve">clinic</t>
  </si>
  <si>
    <t xml:space="preserve">Clinic / GP</t>
  </si>
  <si>
    <t xml:space="preserve">amenity=clinic; amenity=doctors; healthcare=clinic; healthcare=doctor</t>
  </si>
  <si>
    <t xml:space="preserve">clinic|doctors?|medical_cent(?:er|re)|general_practitioner|family_practice|urgent_care</t>
  </si>
  <si>
    <t xml:space="preserve">dentist</t>
  </si>
  <si>
    <t xml:space="preserve">Dentist</t>
  </si>
  <si>
    <t xml:space="preserve">amenity=dentist; healthcare=dentist</t>
  </si>
  <si>
    <t xml:space="preserve">dentist[a-z]*|dental|orthodont[a-z]*</t>
  </si>
  <si>
    <t xml:space="preserve">optician</t>
  </si>
  <si>
    <t xml:space="preserve">Optician</t>
  </si>
  <si>
    <t xml:space="preserve">shop=optician</t>
  </si>
  <si>
    <t xml:space="preserve">optician[a-z]*|optometrist[a-z]*|eyewear|eye_care|eyeglass[a-z]*</t>
  </si>
  <si>
    <t xml:space="preserve">gym</t>
  </si>
  <si>
    <t xml:space="preserve">Gym / fitness</t>
  </si>
  <si>
    <t xml:space="preserve">leisure=fitness_centre</t>
  </si>
  <si>
    <t xml:space="preserve">gym|fitness|yoga|pilates</t>
  </si>
  <si>
    <t xml:space="preserve">fashion</t>
  </si>
  <si>
    <t xml:space="preserve">Fashion / apparel</t>
  </si>
  <si>
    <t xml:space="preserve">Shopping</t>
  </si>
  <si>
    <t xml:space="preserve">shop=clothes; shop=shoes; shop=boutique; shop=fashion_accessories; shop=bag</t>
  </si>
  <si>
    <t xml:space="preserve">clothing|shoe_store|fashion|boutique|apparel|handbag|bag_store</t>
  </si>
  <si>
    <t xml:space="preserve">47711</t>
  </si>
  <si>
    <t xml:space="preserve">Retail sale of articles of clothing, articles of fur, and clothing accessories</t>
  </si>
  <si>
    <t xml:space="preserve">477</t>
  </si>
  <si>
    <t xml:space="preserve">commercial.clothing</t>
  </si>
  <si>
    <t xml:space="preserve">electronics</t>
  </si>
  <si>
    <t xml:space="preserve">Electronics / phones</t>
  </si>
  <si>
    <t xml:space="preserve">shop=electronics; shop=mobile_phone; shop=computer</t>
  </si>
  <si>
    <t xml:space="preserve">electronics|mobile_phone|cell_phone|computer_store|phone_store|appliance</t>
  </si>
  <si>
    <t xml:space="preserve">hardware</t>
  </si>
  <si>
    <t xml:space="preserve">Hardware</t>
  </si>
  <si>
    <t xml:space="preserve">shop=hardware; shop=doityourself; shop=paint</t>
  </si>
  <si>
    <t xml:space="preserve">hardware|home_improvement|building_supply|paint_store|lumber</t>
  </si>
  <si>
    <t xml:space="preserve">47520</t>
  </si>
  <si>
    <t xml:space="preserve">Retail sale of construction materials, hardware, paints, and glass</t>
  </si>
  <si>
    <t xml:space="preserve">475</t>
  </si>
  <si>
    <t xml:space="preserve">commercial.houseware_and_hardware.hardware_and_tools; commercial.houseware_and_hardware.doityourself</t>
  </si>
  <si>
    <t xml:space="preserve">homegoods</t>
  </si>
  <si>
    <t xml:space="preserve">Furniture / home goods</t>
  </si>
  <si>
    <t xml:space="preserve">shop=furniture; shop=houseware; shop=interior_decoration; shop=bed; shop=kitchen; shop=curtain</t>
  </si>
  <si>
    <t xml:space="preserve">furniture|home_goods|houseware|home_decor|mattress|kitchen_supply|curtain</t>
  </si>
  <si>
    <t xml:space="preserve">stationery</t>
  </si>
  <si>
    <t xml:space="preserve">Stationery / books</t>
  </si>
  <si>
    <t xml:space="preserve">shop=stationery; shop=books</t>
  </si>
  <si>
    <t xml:space="preserve">stationery|bookstore|book_store|office_suppl[a-z]*</t>
  </si>
  <si>
    <t xml:space="preserve">pet</t>
  </si>
  <si>
    <t xml:space="preserve">Pets / vet</t>
  </si>
  <si>
    <t xml:space="preserve">shop=pet; shop=pet_grooming; amenity=veterinary</t>
  </si>
  <si>
    <t xml:space="preserve">pet_store|pet_shop|veterinar[a-z]*|pet_groom[a-z]*</t>
  </si>
  <si>
    <t xml:space="preserve">kids</t>
  </si>
  <si>
    <t xml:space="preserve">Baby / toys</t>
  </si>
  <si>
    <t xml:space="preserve">shop=baby_goods; shop=toys</t>
  </si>
  <si>
    <t xml:space="preserve">baby|toy_store|toys|children_store</t>
  </si>
  <si>
    <t xml:space="preserve">gifts</t>
  </si>
  <si>
    <t xml:space="preserve">Florist / gifts</t>
  </si>
  <si>
    <t xml:space="preserve">shop=florist; shop=gift</t>
  </si>
  <si>
    <t xml:space="preserve">florist|gift_shop|flower</t>
  </si>
  <si>
    <t xml:space="preserve">petrol</t>
  </si>
  <si>
    <t xml:space="preserve">Petrol / fuel station</t>
  </si>
  <si>
    <t xml:space="preserve">Auto &amp; fuel</t>
  </si>
  <si>
    <t xml:space="preserve">amenity=fuel</t>
  </si>
  <si>
    <t xml:space="preserve">gas_station|fuel|petrol</t>
  </si>
  <si>
    <t xml:space="preserve">47300</t>
  </si>
  <si>
    <t xml:space="preserve">Retail sale of automotive fuel in specialised stores</t>
  </si>
  <si>
    <t xml:space="preserve">autoservice</t>
  </si>
  <si>
    <t xml:space="preserve">Auto service / car wash</t>
  </si>
  <si>
    <t xml:space="preserve">shop=car_repair; shop=tyres; shop=car_parts; amenity=car_wash; shop=motorcycle; shop=motorcycle_repair</t>
  </si>
  <si>
    <t xml:space="preserve">auto_repair|automotive_repair|car_repair|auto_parts|tires?|tyres?|car_wash|motorcycle|mechanic|auto_body|auto_service|car_service</t>
  </si>
  <si>
    <t xml:space="preserve">salon</t>
  </si>
  <si>
    <t xml:space="preserve">Salon / barber / spa</t>
  </si>
  <si>
    <t xml:space="preserve">Services &amp; education</t>
  </si>
  <si>
    <t xml:space="preserve">shop=hairdresser; shop=beauty; shop=massage</t>
  </si>
  <si>
    <t xml:space="preserve">salon|hair[a-z]*|barber[a-z]*|beauty|nail|spa|massage|waxing|eyelash</t>
  </si>
  <si>
    <t xml:space="preserve">96020</t>
  </si>
  <si>
    <t xml:space="preserve">Hairdressing and other beauty treatment</t>
  </si>
  <si>
    <t xml:space="preserve">service.beauty.hairdresser; service.beauty</t>
  </si>
  <si>
    <t xml:space="preserve">laundry</t>
  </si>
  <si>
    <t xml:space="preserve">Laundry / dry-clean</t>
  </si>
  <si>
    <t xml:space="preserve">shop=laundry; shop=dry_cleaning</t>
  </si>
  <si>
    <t xml:space="preserve">laundry|laundromat|dry_clean[a-z_]*</t>
  </si>
  <si>
    <t xml:space="preserve">96011</t>
  </si>
  <si>
    <t xml:space="preserve">Laundering and dry-cleaning of textile and fur products</t>
  </si>
  <si>
    <t xml:space="preserve">service.cleaning.laundry</t>
  </si>
  <si>
    <t xml:space="preserve">printing</t>
  </si>
  <si>
    <t xml:space="preserve">Printing / copy shop</t>
  </si>
  <si>
    <t xml:space="preserve">shop=copyshop; shop=printing</t>
  </si>
  <si>
    <t xml:space="preserve">printing|print_shop|copy_shop|photocopy|print_services</t>
  </si>
  <si>
    <t xml:space="preserve">82190</t>
  </si>
  <si>
    <t xml:space="preserve">Photocopying, document preparation and other specialised office support activities</t>
  </si>
  <si>
    <t xml:space="preserve">tailor</t>
  </si>
  <si>
    <t xml:space="preserve">Tailor / alterations</t>
  </si>
  <si>
    <t xml:space="preserve">shop=tailor; craft=tailor</t>
  </si>
  <si>
    <t xml:space="preserve">tailor[a-z]*|alteration[a-z]*|dressmak[a-z]*|seamstress</t>
  </si>
  <si>
    <t xml:space="preserve">childcare</t>
  </si>
  <si>
    <t xml:space="preserve">Childcare / kindergarten</t>
  </si>
  <si>
    <t xml:space="preserve">amenity=kindergarten; amenity=childcare</t>
  </si>
  <si>
    <t xml:space="preserve">child_care|childcare|day_care|daycare|kindergarten|nursery_school|preschool|pre_school</t>
  </si>
  <si>
    <t xml:space="preserve">tuition</t>
  </si>
  <si>
    <t xml:space="preserve">Tuition / training</t>
  </si>
  <si>
    <t xml:space="preserve">amenity=prep_school; amenity=language_school; amenity=music_school; amenity=driving_school</t>
  </si>
  <si>
    <t xml:space="preserve">tutoring|tuition|test_prep|language_school|music_school|driving_school|educational_service[a-z]*|learning_cent[a-z]*</t>
  </si>
  <si>
    <t xml:space="preserve">lodging</t>
  </si>
  <si>
    <t xml:space="preserve">Hotel / homestay</t>
  </si>
  <si>
    <t xml:space="preserve">tourism=hotel; tourism=guest_house; tourism=hostel; tourism=motel; tourism=apartment</t>
  </si>
  <si>
    <t xml:space="preserve">hotel|hostel|guest_house|motel|resort|bed_and_breakfast|homestay|inn|accommodation|lodging</t>
  </si>
  <si>
    <t xml:space="preserve">bank</t>
  </si>
  <si>
    <t xml:space="preserve">Bank branch</t>
  </si>
  <si>
    <t xml:space="preserve">amenity=bank</t>
  </si>
  <si>
    <t xml:space="preserve">bank|credit_union</t>
  </si>
  <si>
    <t xml:space="preserve">Anchors - v1.7.0 (2026-10-20)</t>
  </si>
  <si>
    <t xml:space="preserve">Foot-traffic institutions. They are never counted as competitors; they feed the demand-driver signal. Size weight = how much one counts (assumption).</t>
  </si>
  <si>
    <t xml:space="preserve">Label</t>
  </si>
  <si>
    <t xml:space="preserve">Size weight</t>
  </si>
  <si>
    <t xml:space="preserve">school</t>
  </si>
  <si>
    <t xml:space="preserve">School</t>
  </si>
  <si>
    <t xml:space="preserve">amenity=school</t>
  </si>
  <si>
    <t xml:space="preserve">school|elementary|primary_school|secondary_school|high_school|middle_school</t>
  </si>
  <si>
    <t xml:space="preserve">college</t>
  </si>
  <si>
    <t xml:space="preserve">University / college</t>
  </si>
  <si>
    <t xml:space="preserve">amenity=university; amenity=college</t>
  </si>
  <si>
    <t xml:space="preserve">college|university</t>
  </si>
  <si>
    <t xml:space="preserve">hospital</t>
  </si>
  <si>
    <t xml:space="preserve">Hospital</t>
  </si>
  <si>
    <t xml:space="preserve">amenity=hospital</t>
  </si>
  <si>
    <t xml:space="preserve">mall</t>
  </si>
  <si>
    <t xml:space="preserve">Mall / department store</t>
  </si>
  <si>
    <t xml:space="preserve">shop=mall; shop=department_store</t>
  </si>
  <si>
    <t xml:space="preserve">shopping_mall|shopping_center|mall|department_store|hypermarket</t>
  </si>
  <si>
    <t xml:space="preserve">govt</t>
  </si>
  <si>
    <t xml:space="preserve">Government office</t>
  </si>
  <si>
    <t xml:space="preserve">office=government; amenity=townhall</t>
  </si>
  <si>
    <t xml:space="preserve">government|city_hall|town_hall|courthouse|public_service</t>
  </si>
  <si>
    <t xml:space="preserve">worship</t>
  </si>
  <si>
    <t xml:space="preserve">Place of worship</t>
  </si>
  <si>
    <t xml:space="preserve">amenity=place_of_worship</t>
  </si>
  <si>
    <t xml:space="preserve">mosque|church|temple|shrine|place_of_worship|synagogue|religious|buddhist|hindu</t>
  </si>
  <si>
    <t xml:space="preserve">transport</t>
  </si>
  <si>
    <t xml:space="preserve">Bus / transport terminal</t>
  </si>
  <si>
    <t xml:space="preserve">amenity=bus_station; aeroway=terminal</t>
  </si>
  <si>
    <t xml:space="preserve">bus_station|airport|ferry_terminal|train_station|railway_station|transit_station|transport_hub|bus_terminal</t>
  </si>
  <si>
    <t xml:space="preserve">attraction</t>
  </si>
  <si>
    <t xml:space="preserve">Attraction / museum</t>
  </si>
  <si>
    <t xml:space="preserve">tourism=attraction; tourism=museum</t>
  </si>
  <si>
    <t xml:space="preserve">tourist_attraction|museum|landmark|attractions|monument|zoo|aquarium|national_park</t>
  </si>
  <si>
    <t xml:space="preserve">AnchorPull - v1.7.0 (2026-10-20)</t>
  </si>
  <si>
    <t xml:space="preserve">How strongly each anchor type draws each business type (0-1). Judgement priors, not measurements.</t>
  </si>
  <si>
    <t xml:space="preserve">Anchor key</t>
  </si>
  <si>
    <t xml:space="preserve">Anchor</t>
  </si>
  <si>
    <t xml:space="preserve">Business key</t>
  </si>
  <si>
    <t xml:space="preserve">Business type</t>
  </si>
  <si>
    <t xml:space="preserve">Pull (0-1)</t>
  </si>
  <si>
    <t xml:space="preserve">GoesWith - v1.7.0 (2026-10-20)</t>
  </si>
  <si>
    <t xml:space="preserve">Business types that tend to cluster (symmetric, 0-1). Judgement priors; the page also shows how often the pair is ACTUALLY seen together in the analysed area.</t>
  </si>
  <si>
    <t xml:space="preserve">Type A</t>
  </si>
  <si>
    <t xml:space="preserve">Label A</t>
  </si>
  <si>
    <t xml:space="preserve">Type B</t>
  </si>
  <si>
    <t xml:space="preserve">Label B</t>
  </si>
  <si>
    <t xml:space="preserve">Weight (0-1)</t>
  </si>
  <si>
    <t xml:space="preserve">Niches and name hints - v1.7.0 (2026-10-20)</t>
  </si>
  <si>
    <t xml:space="preserve">Cuisine sub-segments used to spot a missing niche inside a crowded food category (only reported when enough food places have a known cuisine).</t>
  </si>
  <si>
    <t xml:space="preserve">OSM cuisine values</t>
  </si>
  <si>
    <t xml:space="preserve">chinese</t>
  </si>
  <si>
    <t xml:space="preserve">Chinese</t>
  </si>
  <si>
    <t xml:space="preserve">chinese; cantonese; hokkien; teochew; hakka; dim_sum</t>
  </si>
  <si>
    <t xml:space="preserve">malay</t>
  </si>
  <si>
    <t xml:space="preserve">Malay / local</t>
  </si>
  <si>
    <t xml:space="preserve">malay; malaysian; indonesian; sarawak; local; nasi_lemak</t>
  </si>
  <si>
    <t xml:space="preserve">indian</t>
  </si>
  <si>
    <t xml:space="preserve">Indian / mamak</t>
  </si>
  <si>
    <t xml:space="preserve">indian; mamak; south_indian; north_indian</t>
  </si>
  <si>
    <t xml:space="preserve">western</t>
  </si>
  <si>
    <t xml:space="preserve">Western</t>
  </si>
  <si>
    <t xml:space="preserve">western; american; italian; pizza; burger; steak_house; steak; french; european; mediterranean</t>
  </si>
  <si>
    <t xml:space="preserve">japanese</t>
  </si>
  <si>
    <t xml:space="preserve">Japanese</t>
  </si>
  <si>
    <t xml:space="preserve">japanese; sushi; ramen; udon</t>
  </si>
  <si>
    <t xml:space="preserve">korean</t>
  </si>
  <si>
    <t xml:space="preserve">Korean</t>
  </si>
  <si>
    <t xml:space="preserve">thai</t>
  </si>
  <si>
    <t xml:space="preserve">Thai</t>
  </si>
  <si>
    <t xml:space="preserve">seafood</t>
  </si>
  <si>
    <t xml:space="preserve">Seafood</t>
  </si>
  <si>
    <t xml:space="preserve">vegetarian</t>
  </si>
  <si>
    <t xml:space="preserve">Vegetarian / vegan</t>
  </si>
  <si>
    <t xml:space="preserve">vegetarian; vegan</t>
  </si>
  <si>
    <t xml:space="preserve">middleeast</t>
  </si>
  <si>
    <t xml:space="preserve">Middle Eastern</t>
  </si>
  <si>
    <t xml:space="preserve">arab; lebanese; turkish; middle_eastern; kebab</t>
  </si>
  <si>
    <t xml:space="preserve">Brand/keyword list that re-classifies a place as Drink stall / bubble tea (matched anywhere in the name, lowercase)</t>
  </si>
  <si>
    <t xml:space="preserve">#</t>
  </si>
  <si>
    <t xml:space="preserve">Keyword</t>
  </si>
  <si>
    <t xml:space="preserve">YOUR change / addition</t>
  </si>
  <si>
    <t xml:space="preserve">bubble tea</t>
  </si>
  <si>
    <t xml:space="preserve">boba</t>
  </si>
  <si>
    <t xml:space="preserve">pearl milk tea</t>
  </si>
  <si>
    <t xml:space="preserve">chatime</t>
  </si>
  <si>
    <t xml:space="preserve">tealive</t>
  </si>
  <si>
    <t xml:space="preserve">gong cha</t>
  </si>
  <si>
    <t xml:space="preserve">koi thé</t>
  </si>
  <si>
    <t xml:space="preserve">koi the</t>
  </si>
  <si>
    <t xml:space="preserve">xing fu tang</t>
  </si>
  <si>
    <t xml:space="preserve">tiger sugar</t>
  </si>
  <si>
    <t xml:space="preserve">sharetea</t>
  </si>
  <si>
    <t xml:space="preserve">share tea</t>
  </si>
  <si>
    <t xml:space="preserve">comebuy</t>
  </si>
  <si>
    <t xml:space="preserve">come buy</t>
  </si>
  <si>
    <t xml:space="preserve">daboba</t>
  </si>
  <si>
    <t xml:space="preserve">the alley</t>
  </si>
  <si>
    <t xml:space="preserve">liho</t>
  </si>
  <si>
    <t xml:space="preserve">yifang</t>
  </si>
  <si>
    <t xml:space="preserve">each a cup</t>
  </si>
  <si>
    <t xml:space="preserve">Catchments - v1.7.0 (2026-10-20)</t>
  </si>
  <si>
    <t xml:space="preserve">The six walk/drive modes. The fallback circle is used only when the real travel-time shape is unavailable (no ORS key or ORS down); the page says which it used.</t>
  </si>
  <si>
    <t xml:space="preserve">Mode key</t>
  </si>
  <si>
    <t xml:space="preserve">OpenRouteService profile</t>
  </si>
  <si>
    <t xml:space="preserve">Travel time (seconds)</t>
  </si>
  <si>
    <t xml:space="preserve">Fallback circle radius NOW (m)</t>
  </si>
  <si>
    <t xml:space="preserve">YOUR fallback radius (m)</t>
  </si>
  <si>
    <t xml:space="preserve">walk5</t>
  </si>
  <si>
    <t xml:space="preserve">5-minute walk</t>
  </si>
  <si>
    <t xml:space="preserve">foot-walking</t>
  </si>
  <si>
    <t xml:space="preserve">walk10</t>
  </si>
  <si>
    <t xml:space="preserve">10-minute walk</t>
  </si>
  <si>
    <t xml:space="preserve">walk15</t>
  </si>
  <si>
    <t xml:space="preserve">15-minute walk</t>
  </si>
  <si>
    <t xml:space="preserve">drive5</t>
  </si>
  <si>
    <t xml:space="preserve">5-minute drive</t>
  </si>
  <si>
    <t xml:space="preserve">driving-car</t>
  </si>
  <si>
    <t xml:space="preserve">drive10</t>
  </si>
  <si>
    <t xml:space="preserve">10-minute drive</t>
  </si>
  <si>
    <t xml:space="preserve">drive15</t>
  </si>
  <si>
    <t xml:space="preserve">15-minute drive</t>
  </si>
  <si>
    <t xml:space="preserve">Towns - v1.7.0 (2026-10-20)</t>
  </si>
  <si>
    <t xml:space="preserve">Adding a 5th town needs: a row in market-radar.js TOWNS, a pinned population in the Worker (DISTRICT_POPULATION_FALLBACK_2023), an entry in tools/market-radar-build-overture.py TOWNS, and a new Overture file.</t>
  </si>
  <si>
    <t xml:space="preserve">Town label</t>
  </si>
  <si>
    <t xml:space="preserve">Latitude</t>
  </si>
  <si>
    <t xml:space="preserve">Longitude</t>
  </si>
  <si>
    <t xml:space="preserve">DOSM district (exact spelling)</t>
  </si>
  <si>
    <t xml:space="preserve">Pinned population (DOSM 2023 estimate)</t>
  </si>
  <si>
    <t xml:space="preserve">Overture file covers</t>
  </si>
  <si>
    <t xml:space="preserve">miri</t>
  </si>
  <si>
    <t xml:space="preserve">Miri</t>
  </si>
  <si>
    <t xml:space="preserve">W 113.7917, S 4.2148, E 114.1917, N 4.6148</t>
  </si>
  <si>
    <t xml:space="preserve">kuching</t>
  </si>
  <si>
    <t xml:space="preserve">Kuching</t>
  </si>
  <si>
    <t xml:space="preserve">W 110.1593, S 1.3535, E 110.5593, N 1.7535</t>
  </si>
  <si>
    <t xml:space="preserve">sibu</t>
  </si>
  <si>
    <t xml:space="preserve">Sibu</t>
  </si>
  <si>
    <t xml:space="preserve">W 111.6305, S 2.0870, E 112.0305, N 2.4870</t>
  </si>
  <si>
    <t xml:space="preserve">bintulu</t>
  </si>
  <si>
    <t xml:space="preserve">Bintulu</t>
  </si>
  <si>
    <t xml:space="preserve">W 112.8413, S 2.9668, E 113.2413, N 3.3668</t>
  </si>
  <si>
    <t xml:space="preserve">Pinned populations are used only when both DOSM live endpoints fail (confirmed broken on 2026-09-22). Refresh them about once a year.</t>
  </si>
  <si>
    <t xml:space="preserve">Overture file area: centre +/- 0.2 degrees (about 22 km); the builder keeps places with confidence &gt;= 0.4 and refuses to write fewer than 50 rows.</t>
  </si>
  <si>
    <t xml:space="preserve">Cloudflare - v1.7.0 (2026-10-20)</t>
  </si>
  <si>
    <t xml:space="preserve">Secret / binding NAMES only - never values. Names must match exactly (a misspelt name is silently ignored). Names below are read from the Worker code.</t>
  </si>
  <si>
    <t xml:space="preserve">Name (type exactly)</t>
  </si>
  <si>
    <t xml:space="preserve">Kind</t>
  </si>
  <si>
    <t xml:space="preserve">Needed for</t>
  </si>
  <si>
    <t xml:space="preserve">If absent</t>
  </si>
  <si>
    <t xml:space="preserve">Where to get it</t>
  </si>
  <si>
    <t xml:space="preserve">Configured? (Y/N - you fill)</t>
  </si>
  <si>
    <t xml:space="preserve">AI</t>
  </si>
  <si>
    <t xml:space="preserve">Binding (Workers AI)</t>
  </si>
  <si>
    <t xml:space="preserve">Plain-English read backstop</t>
  </si>
  <si>
    <t xml:space="preserve">No backstop if Gemini refuses a region</t>
  </si>
  <si>
    <t xml:space="preserve">Worker &gt; Settings &gt; Bindings &gt; Add &gt; Workers AI, variable name exactly AI</t>
  </si>
  <si>
    <t xml:space="preserve">GEMINI_API_KEY</t>
  </si>
  <si>
    <t xml:space="preserve">Secret</t>
  </si>
  <si>
    <t xml:space="preserve">Plain-English read (first choice)</t>
  </si>
  <si>
    <t xml:space="preserve">Falls back to Workers AI if bound, else an error message</t>
  </si>
  <si>
    <t xml:space="preserve">The same key your other tools use</t>
  </si>
  <si>
    <t xml:space="preserve">GEOAPIFY_API_KEY</t>
  </si>
  <si>
    <t xml:space="preserve">Backstop when the browser AND every Overpass server fail</t>
  </si>
  <si>
    <t xml:space="preserve">Total outage shows an honest error</t>
  </si>
  <si>
    <t xml:space="preserve">myprojects.geoapify.com (free, no card)</t>
  </si>
  <si>
    <t xml:space="preserve">ORS_API_KEY</t>
  </si>
  <si>
    <t xml:space="preserve">Real walk/drive-time shape</t>
  </si>
  <si>
    <t xml:space="preserve">The page draws a dashed circle instead</t>
  </si>
  <si>
    <t xml:space="preserve">account.heigit.org -&gt; "Basic Key"</t>
  </si>
  <si>
    <t xml:space="preserve">GOOGLE_PLACES_API_KEY</t>
  </si>
  <si>
    <t xml:space="preserve">Secret (no longer used)</t>
  </si>
  <si>
    <t xml:space="preserve">Removed in v1.7.0 (it was off and paid). You may delete it from Cloudflare.</t>
  </si>
  <si>
    <t xml:space="preserve">-</t>
  </si>
</sst>
</file>

<file path=xl/styles.xml><?xml version="1.0" encoding="utf-8"?>
<styleSheet xmlns="http://schemas.openxmlformats.org/spreadsheetml/2006/main">
  <numFmts count="2">
    <numFmt numFmtId="164" formatCode="General"/>
    <numFmt numFmtId="165" formatCode="0.00"/>
  </numFmts>
  <fonts count="9">
    <font>
      <sz val="11"/>
      <color theme="1"/>
      <name val="Calibri"/>
      <family val="2"/>
      <charset val="1"/>
    </font>
    <font>
      <sz val="10"/>
      <name val="Arial"/>
      <family val="0"/>
    </font>
    <font>
      <sz val="10"/>
      <name val="Arial"/>
      <family val="0"/>
    </font>
    <font>
      <sz val="10"/>
      <name val="Arial"/>
      <family val="0"/>
    </font>
    <font>
      <b val="true"/>
      <sz val="14"/>
      <color rgb="FF1F6F5C"/>
      <name val="Arial"/>
      <family val="0"/>
      <charset val="1"/>
    </font>
    <font>
      <i val="true"/>
      <sz val="9"/>
      <color rgb="FF5C6D64"/>
      <name val="Arial"/>
      <family val="0"/>
      <charset val="1"/>
    </font>
    <font>
      <b val="true"/>
      <sz val="10"/>
      <name val="Arial"/>
      <family val="0"/>
      <charset val="1"/>
    </font>
    <font>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1F6F5C"/>
        <bgColor rgb="FF008080"/>
      </patternFill>
    </fill>
    <fill>
      <patternFill patternType="solid">
        <fgColor rgb="FFDDE8E2"/>
        <bgColor rgb="FFEEF3F0"/>
      </patternFill>
    </fill>
    <fill>
      <patternFill patternType="solid">
        <fgColor rgb="FFEEF3F0"/>
        <bgColor rgb="FFDDE8E2"/>
      </patternFill>
    </fill>
    <fill>
      <patternFill patternType="solid">
        <fgColor rgb="FFFFF2CC"/>
        <bgColor rgb="FFEEF3F0"/>
      </patternFill>
    </fill>
  </fills>
  <borders count="2">
    <border diagonalUp="false" diagonalDown="false">
      <left/>
      <right/>
      <top/>
      <bottom/>
      <diagonal/>
    </border>
    <border diagonalUp="false" diagonalDown="false">
      <left style="thin">
        <color rgb="FFC9D3CE"/>
      </left>
      <right style="thin">
        <color rgb="FFC9D3CE"/>
      </right>
      <top style="thin">
        <color rgb="FFC9D3CE"/>
      </top>
      <bottom style="thin">
        <color rgb="FFC9D3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5C"/>
      <rgbColor rgb="FFC9D3CE"/>
      <rgbColor rgb="FF808080"/>
      <rgbColor rgb="FF9999FF"/>
      <rgbColor rgb="FF993366"/>
      <rgbColor rgb="FFFFF2CC"/>
      <rgbColor rgb="FFEEF3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E2"/>
      <rgbColor rgb="FFFFFF99"/>
      <rgbColor rgb="FF99CCFF"/>
      <rgbColor rgb="FFFF99CC"/>
      <rgbColor rgb="FFCC99FF"/>
      <rgbColor rgb="FFFFCC99"/>
      <rgbColor rgb="FF3366FF"/>
      <rgbColor rgb="FF33CCCC"/>
      <rgbColor rgb="FF99CC00"/>
      <rgbColor rgb="FFFFCC00"/>
      <rgbColor rgb="FFFF9900"/>
      <rgbColor rgb="FFFF6600"/>
      <rgbColor rgb="FF5C6D6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34"/>
    <col collapsed="false" customWidth="true" hidden="false" outlineLevel="0" max="4" min="4" style="0" width="28"/>
    <col collapsed="false" customWidth="true" hidden="false" outlineLevel="0" max="5" min="5" style="0" width="80"/>
  </cols>
  <sheetData>
    <row r="1" customFormat="false" ht="17.3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4" t="s">
        <v>3</v>
      </c>
      <c r="C4" s="4"/>
      <c r="D4" s="4"/>
      <c r="E4" s="4"/>
    </row>
    <row r="5" customFormat="false" ht="43.5" hidden="false" customHeight="true" outlineLevel="0" collapsed="false">
      <c r="A5" s="3" t="s">
        <v>4</v>
      </c>
      <c r="B5" s="4" t="s">
        <v>5</v>
      </c>
      <c r="C5" s="4"/>
      <c r="D5" s="4"/>
      <c r="E5" s="4"/>
    </row>
    <row r="6" customFormat="false" ht="43.5" hidden="false" customHeight="true" outlineLevel="0" collapsed="false">
      <c r="A6" s="3" t="s">
        <v>6</v>
      </c>
      <c r="B6" s="4" t="s">
        <v>7</v>
      </c>
      <c r="C6" s="4"/>
      <c r="D6" s="4"/>
      <c r="E6" s="4"/>
    </row>
    <row r="7" customFormat="false" ht="43.5" hidden="false" customHeight="true" outlineLevel="0" collapsed="false">
      <c r="A7" s="3" t="s">
        <v>8</v>
      </c>
      <c r="B7" s="4" t="s">
        <v>9</v>
      </c>
      <c r="C7" s="4"/>
      <c r="D7" s="4"/>
      <c r="E7" s="4"/>
    </row>
    <row r="9" customFormat="false" ht="15" hidden="false" customHeight="false" outlineLevel="0" collapsed="false">
      <c r="A9" s="5" t="s">
        <v>10</v>
      </c>
      <c r="B9" s="5" t="s">
        <v>11</v>
      </c>
      <c r="C9" s="5" t="s">
        <v>12</v>
      </c>
      <c r="D9" s="5" t="s">
        <v>13</v>
      </c>
      <c r="E9" s="5" t="s">
        <v>14</v>
      </c>
    </row>
    <row r="10" customFormat="false" ht="15" hidden="false" customHeight="false" outlineLevel="0" collapsed="false">
      <c r="A10" s="6" t="s">
        <v>15</v>
      </c>
      <c r="B10" s="6" t="s">
        <v>16</v>
      </c>
      <c r="C10" s="6" t="s">
        <v>17</v>
      </c>
      <c r="D10" s="6" t="s">
        <v>18</v>
      </c>
      <c r="E10" s="6" t="s">
        <v>19</v>
      </c>
    </row>
    <row r="11" customFormat="false" ht="15" hidden="false" customHeight="false" outlineLevel="0" collapsed="false">
      <c r="A11" s="6" t="s">
        <v>20</v>
      </c>
      <c r="B11" s="6" t="s">
        <v>16</v>
      </c>
      <c r="C11" s="6" t="s">
        <v>17</v>
      </c>
      <c r="D11" s="6" t="s">
        <v>18</v>
      </c>
      <c r="E11" s="6" t="s">
        <v>21</v>
      </c>
    </row>
    <row r="12" customFormat="false" ht="23.85" hidden="false" customHeight="false" outlineLevel="0" collapsed="false">
      <c r="A12" s="6" t="s">
        <v>22</v>
      </c>
      <c r="B12" s="6" t="s">
        <v>16</v>
      </c>
      <c r="C12" s="6" t="s">
        <v>17</v>
      </c>
      <c r="D12" s="6" t="s">
        <v>18</v>
      </c>
      <c r="E12" s="6" t="s">
        <v>23</v>
      </c>
    </row>
    <row r="13" customFormat="false" ht="15" hidden="false" customHeight="false" outlineLevel="0" collapsed="false">
      <c r="A13" s="6" t="s">
        <v>24</v>
      </c>
      <c r="B13" s="6" t="s">
        <v>16</v>
      </c>
      <c r="C13" s="6" t="s">
        <v>25</v>
      </c>
      <c r="D13" s="6" t="s">
        <v>26</v>
      </c>
      <c r="E13" s="6" t="s">
        <v>27</v>
      </c>
    </row>
    <row r="14" customFormat="false" ht="23.85" hidden="false" customHeight="false" outlineLevel="0" collapsed="false">
      <c r="A14" s="6" t="s">
        <v>28</v>
      </c>
      <c r="B14" s="6" t="s">
        <v>29</v>
      </c>
      <c r="C14" s="6" t="s">
        <v>30</v>
      </c>
      <c r="D14" s="6" t="s">
        <v>18</v>
      </c>
      <c r="E14" s="6" t="s">
        <v>31</v>
      </c>
    </row>
    <row r="15" customFormat="false" ht="15" hidden="false" customHeight="false" outlineLevel="0" collapsed="false">
      <c r="A15" s="6" t="s">
        <v>32</v>
      </c>
      <c r="B15" s="6" t="s">
        <v>16</v>
      </c>
      <c r="C15" s="6" t="s">
        <v>33</v>
      </c>
      <c r="D15" s="6" t="s">
        <v>34</v>
      </c>
      <c r="E15" s="6" t="s">
        <v>35</v>
      </c>
    </row>
    <row r="16" customFormat="false" ht="15" hidden="false" customHeight="false" outlineLevel="0" collapsed="false">
      <c r="A16" s="6" t="s">
        <v>36</v>
      </c>
      <c r="B16" s="6" t="s">
        <v>16</v>
      </c>
      <c r="C16" s="6" t="s">
        <v>37</v>
      </c>
      <c r="D16" s="6" t="s">
        <v>34</v>
      </c>
      <c r="E16" s="6" t="s">
        <v>38</v>
      </c>
    </row>
    <row r="17" customFormat="false" ht="23.85" hidden="false" customHeight="false" outlineLevel="0" collapsed="false">
      <c r="A17" s="6" t="s">
        <v>39</v>
      </c>
      <c r="B17" s="6" t="s">
        <v>16</v>
      </c>
      <c r="C17" s="6" t="s">
        <v>40</v>
      </c>
      <c r="D17" s="6" t="s">
        <v>34</v>
      </c>
      <c r="E17" s="6" t="s">
        <v>41</v>
      </c>
    </row>
    <row r="18" customFormat="false" ht="15" hidden="false" customHeight="false" outlineLevel="0" collapsed="false">
      <c r="A18" s="6" t="s">
        <v>42</v>
      </c>
      <c r="B18" s="6" t="s">
        <v>16</v>
      </c>
      <c r="C18" s="6" t="s">
        <v>43</v>
      </c>
      <c r="D18" s="6" t="s">
        <v>44</v>
      </c>
      <c r="E18" s="6" t="s">
        <v>45</v>
      </c>
    </row>
    <row r="19" customFormat="false" ht="15" hidden="false" customHeight="false" outlineLevel="0" collapsed="false">
      <c r="A19" s="6" t="s">
        <v>46</v>
      </c>
      <c r="B19" s="6" t="s">
        <v>16</v>
      </c>
      <c r="C19" s="6" t="s">
        <v>47</v>
      </c>
      <c r="D19" s="6" t="s">
        <v>48</v>
      </c>
      <c r="E19" s="6" t="s">
        <v>49</v>
      </c>
    </row>
    <row r="20" customFormat="false" ht="23.85" hidden="false" customHeight="false" outlineLevel="0" collapsed="false">
      <c r="A20" s="6" t="s">
        <v>50</v>
      </c>
      <c r="B20" s="6" t="s">
        <v>51</v>
      </c>
      <c r="C20" s="6" t="s">
        <v>47</v>
      </c>
      <c r="D20" s="6" t="s">
        <v>48</v>
      </c>
      <c r="E20" s="6" t="s">
        <v>52</v>
      </c>
    </row>
    <row r="21" customFormat="false" ht="15" hidden="false" customHeight="false" outlineLevel="0" collapsed="false">
      <c r="A21" s="6" t="s">
        <v>53</v>
      </c>
      <c r="B21" s="6" t="s">
        <v>16</v>
      </c>
      <c r="C21" s="6" t="s">
        <v>47</v>
      </c>
      <c r="D21" s="6" t="s">
        <v>48</v>
      </c>
      <c r="E21" s="6" t="s">
        <v>54</v>
      </c>
    </row>
    <row r="22" customFormat="false" ht="23.85" hidden="false" customHeight="false" outlineLevel="0" collapsed="false">
      <c r="A22" s="6" t="s">
        <v>55</v>
      </c>
      <c r="B22" s="6" t="s">
        <v>16</v>
      </c>
      <c r="C22" s="6" t="s">
        <v>47</v>
      </c>
      <c r="D22" s="6" t="s">
        <v>48</v>
      </c>
      <c r="E22" s="6" t="s">
        <v>56</v>
      </c>
    </row>
    <row r="23" customFormat="false" ht="23.85" hidden="false" customHeight="false" outlineLevel="0" collapsed="false">
      <c r="A23" s="6" t="s">
        <v>57</v>
      </c>
      <c r="B23" s="6" t="s">
        <v>58</v>
      </c>
      <c r="C23" s="6" t="s">
        <v>47</v>
      </c>
      <c r="D23" s="6" t="s">
        <v>48</v>
      </c>
      <c r="E23" s="6" t="s">
        <v>59</v>
      </c>
    </row>
    <row r="24" customFormat="false" ht="15" hidden="false" customHeight="false" outlineLevel="0" collapsed="false">
      <c r="A24" s="6" t="s">
        <v>60</v>
      </c>
      <c r="B24" s="6" t="s">
        <v>16</v>
      </c>
      <c r="C24" s="6" t="s">
        <v>47</v>
      </c>
      <c r="D24" s="6" t="s">
        <v>48</v>
      </c>
      <c r="E24" s="6" t="s">
        <v>61</v>
      </c>
    </row>
    <row r="25" customFormat="false" ht="57.45" hidden="false" customHeight="false" outlineLevel="0" collapsed="false">
      <c r="A25" s="6" t="s">
        <v>62</v>
      </c>
      <c r="B25" s="6" t="s">
        <v>63</v>
      </c>
      <c r="C25" s="6" t="s">
        <v>17</v>
      </c>
      <c r="D25" s="6" t="s">
        <v>64</v>
      </c>
      <c r="E25" s="6" t="s">
        <v>65</v>
      </c>
    </row>
  </sheetData>
  <mergeCells count="4">
    <mergeCell ref="B4:E4"/>
    <mergeCell ref="B5:E5"/>
    <mergeCell ref="B6:E6"/>
    <mergeCell ref="B7:E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34"/>
    <col collapsed="false" customWidth="true" hidden="false" outlineLevel="0" max="3" min="3" style="0" width="18"/>
    <col collapsed="false" customWidth="true" hidden="false" outlineLevel="0" max="4" min="4" style="0" width="52"/>
    <col collapsed="false" customWidth="true" hidden="false" outlineLevel="0" max="5" min="5" style="0" width="78"/>
  </cols>
  <sheetData>
    <row r="1" customFormat="false" ht="17.35" hidden="false" customHeight="false" outlineLevel="0" collapsed="false">
      <c r="A1" s="1" t="s">
        <v>66</v>
      </c>
    </row>
    <row r="2" customFormat="false" ht="15" hidden="false" customHeight="false" outlineLevel="0" collapsed="false">
      <c r="A2" s="2" t="s">
        <v>67</v>
      </c>
    </row>
    <row r="4" customFormat="false" ht="15" hidden="false" customHeight="false" outlineLevel="0" collapsed="false">
      <c r="A4" s="7" t="s">
        <v>68</v>
      </c>
      <c r="B4" s="7" t="s">
        <v>69</v>
      </c>
      <c r="C4" s="7" t="s">
        <v>70</v>
      </c>
      <c r="D4" s="7" t="s">
        <v>71</v>
      </c>
      <c r="E4" s="7" t="s">
        <v>14</v>
      </c>
    </row>
    <row r="5" customFormat="false" ht="15" hidden="false" customHeight="false" outlineLevel="0" collapsed="false">
      <c r="A5" s="8" t="s">
        <v>72</v>
      </c>
      <c r="B5" s="9"/>
      <c r="C5" s="9"/>
      <c r="D5" s="9"/>
      <c r="E5" s="9"/>
    </row>
    <row r="6" customFormat="false" ht="23.85" hidden="false" customHeight="false" outlineLevel="0" collapsed="false">
      <c r="A6" s="6" t="s">
        <v>73</v>
      </c>
      <c r="B6" s="10" t="s">
        <v>74</v>
      </c>
      <c r="C6" s="11"/>
      <c r="D6" s="6" t="s">
        <v>75</v>
      </c>
      <c r="E6" s="6" t="s">
        <v>76</v>
      </c>
    </row>
    <row r="7" customFormat="false" ht="15" hidden="false" customHeight="false" outlineLevel="0" collapsed="false">
      <c r="A7" s="6" t="s">
        <v>77</v>
      </c>
      <c r="B7" s="10" t="s">
        <v>78</v>
      </c>
      <c r="C7" s="11"/>
      <c r="D7" s="6" t="s">
        <v>79</v>
      </c>
      <c r="E7" s="6"/>
    </row>
    <row r="8" customFormat="false" ht="15" hidden="false" customHeight="false" outlineLevel="0" collapsed="false">
      <c r="A8" s="6" t="s">
        <v>80</v>
      </c>
      <c r="B8" s="10" t="s">
        <v>81</v>
      </c>
      <c r="C8" s="11"/>
      <c r="D8" s="6" t="s">
        <v>82</v>
      </c>
      <c r="E8" s="6" t="s">
        <v>83</v>
      </c>
    </row>
    <row r="9" customFormat="false" ht="35.05" hidden="false" customHeight="false" outlineLevel="0" collapsed="false">
      <c r="A9" s="6" t="s">
        <v>84</v>
      </c>
      <c r="B9" s="10" t="s">
        <v>85</v>
      </c>
      <c r="C9" s="11"/>
      <c r="D9" s="6" t="s">
        <v>86</v>
      </c>
      <c r="E9" s="6" t="s">
        <v>87</v>
      </c>
    </row>
    <row r="10" customFormat="false" ht="15" hidden="false" customHeight="false" outlineLevel="0" collapsed="false">
      <c r="A10" s="6" t="s">
        <v>88</v>
      </c>
      <c r="B10" s="10" t="s">
        <v>89</v>
      </c>
      <c r="C10" s="11"/>
      <c r="D10" s="6" t="s">
        <v>90</v>
      </c>
      <c r="E10" s="6" t="s">
        <v>91</v>
      </c>
    </row>
    <row r="11" customFormat="false" ht="15" hidden="false" customHeight="false" outlineLevel="0" collapsed="false">
      <c r="A11" s="6" t="s">
        <v>92</v>
      </c>
      <c r="B11" s="10" t="s">
        <v>93</v>
      </c>
      <c r="C11" s="11"/>
      <c r="D11" s="6" t="s">
        <v>94</v>
      </c>
      <c r="E11" s="6" t="s">
        <v>95</v>
      </c>
    </row>
    <row r="12" customFormat="false" ht="15" hidden="false" customHeight="false" outlineLevel="0" collapsed="false">
      <c r="A12" s="6" t="s">
        <v>96</v>
      </c>
      <c r="B12" s="10" t="s">
        <v>97</v>
      </c>
      <c r="C12" s="11"/>
      <c r="D12" s="6" t="s">
        <v>98</v>
      </c>
      <c r="E12" s="6" t="s">
        <v>99</v>
      </c>
    </row>
    <row r="13" customFormat="false" ht="23.85" hidden="false" customHeight="false" outlineLevel="0" collapsed="false">
      <c r="A13" s="6" t="s">
        <v>100</v>
      </c>
      <c r="B13" s="10" t="s">
        <v>101</v>
      </c>
      <c r="C13" s="11"/>
      <c r="D13" s="6" t="s">
        <v>102</v>
      </c>
      <c r="E13" s="6"/>
    </row>
    <row r="14" customFormat="false" ht="15" hidden="false" customHeight="false" outlineLevel="0" collapsed="false">
      <c r="A14" s="8" t="s">
        <v>103</v>
      </c>
      <c r="B14" s="9"/>
      <c r="C14" s="9"/>
      <c r="D14" s="9"/>
      <c r="E14" s="9"/>
    </row>
    <row r="15" customFormat="false" ht="15" hidden="false" customHeight="false" outlineLevel="0" collapsed="false">
      <c r="A15" s="6" t="s">
        <v>104</v>
      </c>
      <c r="B15" s="10" t="n">
        <v>2</v>
      </c>
      <c r="C15" s="11"/>
      <c r="D15" s="6" t="s">
        <v>105</v>
      </c>
      <c r="E15" s="6" t="s">
        <v>106</v>
      </c>
    </row>
    <row r="16" customFormat="false" ht="15" hidden="false" customHeight="false" outlineLevel="0" collapsed="false">
      <c r="A16" s="6" t="s">
        <v>107</v>
      </c>
      <c r="B16" s="10" t="n">
        <v>3</v>
      </c>
      <c r="C16" s="11"/>
      <c r="D16" s="6" t="s">
        <v>108</v>
      </c>
      <c r="E16" s="6" t="s">
        <v>109</v>
      </c>
    </row>
    <row r="17" customFormat="false" ht="23.85" hidden="false" customHeight="false" outlineLevel="0" collapsed="false">
      <c r="A17" s="6" t="s">
        <v>110</v>
      </c>
      <c r="B17" s="10" t="n">
        <v>0.6</v>
      </c>
      <c r="C17" s="11"/>
      <c r="D17" s="6" t="s">
        <v>111</v>
      </c>
      <c r="E17" s="6" t="s">
        <v>112</v>
      </c>
    </row>
    <row r="18" customFormat="false" ht="15" hidden="false" customHeight="false" outlineLevel="0" collapsed="false">
      <c r="A18" s="6" t="s">
        <v>113</v>
      </c>
      <c r="B18" s="10" t="n">
        <v>40</v>
      </c>
      <c r="C18" s="11"/>
      <c r="D18" s="6" t="s">
        <v>114</v>
      </c>
      <c r="E18" s="6" t="s">
        <v>115</v>
      </c>
    </row>
    <row r="19" customFormat="false" ht="15" hidden="false" customHeight="false" outlineLevel="0" collapsed="false">
      <c r="A19" s="6" t="s">
        <v>116</v>
      </c>
      <c r="B19" s="10" t="n">
        <v>0.5</v>
      </c>
      <c r="C19" s="11"/>
      <c r="D19" s="6" t="s">
        <v>117</v>
      </c>
      <c r="E19" s="6" t="s">
        <v>118</v>
      </c>
    </row>
    <row r="20" customFormat="false" ht="15" hidden="false" customHeight="false" outlineLevel="0" collapsed="false">
      <c r="A20" s="6" t="s">
        <v>119</v>
      </c>
      <c r="B20" s="10" t="n">
        <v>80</v>
      </c>
      <c r="C20" s="11"/>
      <c r="D20" s="6" t="s">
        <v>120</v>
      </c>
      <c r="E20" s="6" t="s">
        <v>121</v>
      </c>
    </row>
    <row r="21" customFormat="false" ht="15" hidden="false" customHeight="false" outlineLevel="0" collapsed="false">
      <c r="A21" s="6" t="s">
        <v>122</v>
      </c>
      <c r="B21" s="10" t="n">
        <v>30</v>
      </c>
      <c r="C21" s="11"/>
      <c r="D21" s="6" t="s">
        <v>123</v>
      </c>
      <c r="E21" s="6" t="s">
        <v>124</v>
      </c>
    </row>
    <row r="22" customFormat="false" ht="15" hidden="false" customHeight="false" outlineLevel="0" collapsed="false">
      <c r="A22" s="6" t="s">
        <v>125</v>
      </c>
      <c r="B22" s="10" t="n">
        <v>0.5</v>
      </c>
      <c r="C22" s="11"/>
      <c r="D22" s="6" t="s">
        <v>126</v>
      </c>
      <c r="E22" s="6" t="s">
        <v>127</v>
      </c>
    </row>
    <row r="23" customFormat="false" ht="15" hidden="false" customHeight="false" outlineLevel="0" collapsed="false">
      <c r="A23" s="6" t="s">
        <v>128</v>
      </c>
      <c r="B23" s="10" t="n">
        <v>250</v>
      </c>
      <c r="C23" s="11"/>
      <c r="D23" s="6" t="s">
        <v>129</v>
      </c>
      <c r="E23" s="6" t="s">
        <v>130</v>
      </c>
    </row>
    <row r="24" customFormat="false" ht="15" hidden="false" customHeight="false" outlineLevel="0" collapsed="false">
      <c r="A24" s="6" t="s">
        <v>131</v>
      </c>
      <c r="B24" s="10" t="n">
        <v>5</v>
      </c>
      <c r="C24" s="11"/>
      <c r="D24" s="6" t="s">
        <v>132</v>
      </c>
      <c r="E24" s="6" t="s">
        <v>133</v>
      </c>
    </row>
    <row r="25" customFormat="false" ht="15" hidden="false" customHeight="false" outlineLevel="0" collapsed="false">
      <c r="A25" s="6" t="s">
        <v>134</v>
      </c>
      <c r="B25" s="10" t="n">
        <v>8</v>
      </c>
      <c r="C25" s="11"/>
      <c r="D25" s="6" t="s">
        <v>135</v>
      </c>
      <c r="E25" s="6" t="s">
        <v>136</v>
      </c>
    </row>
    <row r="26" customFormat="false" ht="15" hidden="false" customHeight="false" outlineLevel="0" collapsed="false">
      <c r="A26" s="6" t="s">
        <v>137</v>
      </c>
      <c r="B26" s="10" t="n">
        <v>0.3</v>
      </c>
      <c r="C26" s="11"/>
      <c r="D26" s="6" t="s">
        <v>138</v>
      </c>
      <c r="E26" s="6" t="s">
        <v>139</v>
      </c>
    </row>
    <row r="27" customFormat="false" ht="15" hidden="false" customHeight="false" outlineLevel="0" collapsed="false">
      <c r="A27" s="6" t="s">
        <v>140</v>
      </c>
      <c r="B27" s="10" t="n">
        <v>0.25</v>
      </c>
      <c r="C27" s="11"/>
      <c r="D27" s="6" t="s">
        <v>141</v>
      </c>
      <c r="E27" s="6" t="s">
        <v>142</v>
      </c>
    </row>
    <row r="28" customFormat="false" ht="15" hidden="false" customHeight="false" outlineLevel="0" collapsed="false">
      <c r="A28" s="6" t="s">
        <v>143</v>
      </c>
      <c r="B28" s="10" t="n">
        <v>0.9</v>
      </c>
      <c r="C28" s="11"/>
      <c r="D28" s="6" t="s">
        <v>144</v>
      </c>
      <c r="E28" s="6" t="s">
        <v>145</v>
      </c>
    </row>
    <row r="29" customFormat="false" ht="15" hidden="false" customHeight="false" outlineLevel="0" collapsed="false">
      <c r="A29" s="6" t="s">
        <v>146</v>
      </c>
      <c r="B29" s="10" t="n">
        <v>0.7</v>
      </c>
      <c r="C29" s="11"/>
      <c r="D29" s="6" t="s">
        <v>147</v>
      </c>
      <c r="E29" s="6" t="s">
        <v>148</v>
      </c>
    </row>
    <row r="30" customFormat="false" ht="15" hidden="false" customHeight="false" outlineLevel="0" collapsed="false">
      <c r="A30" s="6" t="s">
        <v>149</v>
      </c>
      <c r="B30" s="10" t="n">
        <v>5</v>
      </c>
      <c r="C30" s="11"/>
      <c r="D30" s="6" t="s">
        <v>150</v>
      </c>
      <c r="E30" s="6" t="s">
        <v>151</v>
      </c>
    </row>
    <row r="31" customFormat="false" ht="23.85" hidden="false" customHeight="false" outlineLevel="0" collapsed="false">
      <c r="A31" s="6" t="s">
        <v>152</v>
      </c>
      <c r="B31" s="10" t="n">
        <v>0.35</v>
      </c>
      <c r="C31" s="11"/>
      <c r="D31" s="6" t="s">
        <v>153</v>
      </c>
      <c r="E31" s="6" t="s">
        <v>154</v>
      </c>
    </row>
    <row r="32" customFormat="false" ht="15" hidden="false" customHeight="false" outlineLevel="0" collapsed="false">
      <c r="A32" s="8" t="s">
        <v>155</v>
      </c>
      <c r="B32" s="9"/>
      <c r="C32" s="9"/>
      <c r="D32" s="9"/>
      <c r="E32" s="9"/>
    </row>
    <row r="33" customFormat="false" ht="15" hidden="false" customHeight="false" outlineLevel="0" collapsed="false">
      <c r="A33" s="6" t="s">
        <v>156</v>
      </c>
      <c r="B33" s="10" t="n">
        <v>0.35</v>
      </c>
      <c r="C33" s="11"/>
      <c r="D33" s="6" t="s">
        <v>157</v>
      </c>
      <c r="E33" s="6"/>
    </row>
    <row r="34" customFormat="false" ht="15" hidden="false" customHeight="false" outlineLevel="0" collapsed="false">
      <c r="A34" s="6" t="s">
        <v>158</v>
      </c>
      <c r="B34" s="10" t="n">
        <v>0.2</v>
      </c>
      <c r="C34" s="11"/>
      <c r="D34" s="6" t="s">
        <v>159</v>
      </c>
      <c r="E34" s="6"/>
    </row>
    <row r="35" customFormat="false" ht="15" hidden="false" customHeight="false" outlineLevel="0" collapsed="false">
      <c r="A35" s="6" t="s">
        <v>160</v>
      </c>
      <c r="B35" s="10" t="n">
        <v>0.3</v>
      </c>
      <c r="C35" s="11"/>
      <c r="D35" s="6" t="s">
        <v>161</v>
      </c>
      <c r="E35" s="6"/>
    </row>
    <row r="36" customFormat="false" ht="15" hidden="false" customHeight="false" outlineLevel="0" collapsed="false">
      <c r="A36" s="6" t="s">
        <v>162</v>
      </c>
      <c r="B36" s="10" t="n">
        <v>0.15</v>
      </c>
      <c r="C36" s="11"/>
      <c r="D36" s="6" t="s">
        <v>163</v>
      </c>
      <c r="E36" s="6"/>
    </row>
    <row r="37" customFormat="false" ht="15" hidden="false" customHeight="false" outlineLevel="0" collapsed="false">
      <c r="A37" s="12" t="s">
        <v>164</v>
      </c>
      <c r="B37" s="13" t="n">
        <f aca="false">SUM(B33:B36)</f>
        <v>1</v>
      </c>
      <c r="C37" s="14"/>
      <c r="D37" s="6" t="s">
        <v>165</v>
      </c>
      <c r="E37" s="6" t="s">
        <v>166</v>
      </c>
    </row>
    <row r="38" customFormat="false" ht="15" hidden="false" customHeight="false" outlineLevel="0" collapsed="false">
      <c r="A38" s="6" t="s">
        <v>167</v>
      </c>
      <c r="B38" s="10" t="n">
        <v>0.4</v>
      </c>
      <c r="C38" s="11"/>
      <c r="D38" s="6" t="s">
        <v>168</v>
      </c>
      <c r="E38" s="6"/>
    </row>
    <row r="39" customFormat="false" ht="15" hidden="false" customHeight="false" outlineLevel="0" collapsed="false">
      <c r="A39" s="6" t="s">
        <v>169</v>
      </c>
      <c r="B39" s="10" t="n">
        <v>0.3</v>
      </c>
      <c r="C39" s="11"/>
      <c r="D39" s="6" t="s">
        <v>170</v>
      </c>
      <c r="E39" s="6"/>
    </row>
    <row r="40" customFormat="false" ht="15" hidden="false" customHeight="false" outlineLevel="0" collapsed="false">
      <c r="A40" s="6" t="s">
        <v>171</v>
      </c>
      <c r="B40" s="10" t="n">
        <v>0.3</v>
      </c>
      <c r="C40" s="11"/>
      <c r="D40" s="6" t="s">
        <v>172</v>
      </c>
      <c r="E40" s="6"/>
    </row>
    <row r="41" customFormat="false" ht="15" hidden="false" customHeight="false" outlineLevel="0" collapsed="false">
      <c r="A41" s="12" t="s">
        <v>173</v>
      </c>
      <c r="B41" s="13" t="n">
        <f aca="false">SUM(B38:B40)</f>
        <v>1</v>
      </c>
      <c r="C41" s="14"/>
      <c r="D41" s="6" t="s">
        <v>165</v>
      </c>
      <c r="E41" s="6" t="s">
        <v>166</v>
      </c>
    </row>
    <row r="42" customFormat="false" ht="15" hidden="false" customHeight="false" outlineLevel="0" collapsed="false">
      <c r="A42" s="6" t="s">
        <v>174</v>
      </c>
      <c r="B42" s="10" t="n">
        <v>0.35</v>
      </c>
      <c r="C42" s="11"/>
      <c r="D42" s="6" t="s">
        <v>175</v>
      </c>
      <c r="E42" s="6"/>
    </row>
    <row r="43" customFormat="false" ht="15" hidden="false" customHeight="false" outlineLevel="0" collapsed="false">
      <c r="A43" s="6" t="s">
        <v>176</v>
      </c>
      <c r="B43" s="10" t="n">
        <v>0.25</v>
      </c>
      <c r="C43" s="11"/>
      <c r="D43" s="6" t="s">
        <v>177</v>
      </c>
      <c r="E43" s="6"/>
    </row>
    <row r="44" customFormat="false" ht="15" hidden="false" customHeight="false" outlineLevel="0" collapsed="false">
      <c r="A44" s="6" t="s">
        <v>178</v>
      </c>
      <c r="B44" s="10" t="n">
        <v>0.15</v>
      </c>
      <c r="C44" s="11"/>
      <c r="D44" s="6" t="s">
        <v>179</v>
      </c>
      <c r="E44" s="6"/>
    </row>
    <row r="45" customFormat="false" ht="15" hidden="false" customHeight="false" outlineLevel="0" collapsed="false">
      <c r="A45" s="6" t="s">
        <v>180</v>
      </c>
      <c r="B45" s="10" t="n">
        <v>0.15</v>
      </c>
      <c r="C45" s="11"/>
      <c r="D45" s="6" t="s">
        <v>181</v>
      </c>
      <c r="E45" s="6"/>
    </row>
    <row r="46" customFormat="false" ht="15" hidden="false" customHeight="false" outlineLevel="0" collapsed="false">
      <c r="A46" s="6" t="s">
        <v>182</v>
      </c>
      <c r="B46" s="10" t="n">
        <v>0.1</v>
      </c>
      <c r="C46" s="11"/>
      <c r="D46" s="6" t="s">
        <v>183</v>
      </c>
      <c r="E46" s="6"/>
    </row>
    <row r="47" customFormat="false" ht="15" hidden="false" customHeight="false" outlineLevel="0" collapsed="false">
      <c r="A47" s="6" t="s">
        <v>184</v>
      </c>
      <c r="B47" s="10" t="n">
        <v>0</v>
      </c>
      <c r="C47" s="11"/>
      <c r="D47" s="6" t="s">
        <v>185</v>
      </c>
      <c r="E47" s="6"/>
    </row>
    <row r="48" customFormat="false" ht="15" hidden="false" customHeight="false" outlineLevel="0" collapsed="false">
      <c r="A48" s="12" t="s">
        <v>186</v>
      </c>
      <c r="B48" s="13" t="n">
        <f aca="false">SUM(B42:B47)</f>
        <v>1</v>
      </c>
      <c r="C48" s="14"/>
      <c r="D48" s="6" t="s">
        <v>165</v>
      </c>
      <c r="E48" s="6" t="s">
        <v>166</v>
      </c>
    </row>
    <row r="49" customFormat="false" ht="15" hidden="false" customHeight="false" outlineLevel="0" collapsed="false">
      <c r="A49" s="8" t="s">
        <v>187</v>
      </c>
      <c r="B49" s="9"/>
      <c r="C49" s="9"/>
      <c r="D49" s="9"/>
      <c r="E49" s="9"/>
    </row>
    <row r="50" customFormat="false" ht="15" hidden="false" customHeight="false" outlineLevel="0" collapsed="false">
      <c r="A50" s="6" t="s">
        <v>188</v>
      </c>
      <c r="B50" s="10" t="n">
        <v>120000</v>
      </c>
      <c r="C50" s="11"/>
      <c r="D50" s="6" t="s">
        <v>189</v>
      </c>
      <c r="E50" s="6"/>
    </row>
    <row r="51" customFormat="false" ht="23.85" hidden="false" customHeight="false" outlineLevel="0" collapsed="false">
      <c r="A51" s="6" t="s">
        <v>190</v>
      </c>
      <c r="B51" s="10" t="n">
        <v>7000</v>
      </c>
      <c r="C51" s="11"/>
      <c r="D51" s="6" t="s">
        <v>191</v>
      </c>
      <c r="E51" s="6"/>
    </row>
    <row r="52" customFormat="false" ht="15" hidden="false" customHeight="false" outlineLevel="0" collapsed="false">
      <c r="A52" s="6" t="s">
        <v>192</v>
      </c>
      <c r="B52" s="10" t="n">
        <v>1</v>
      </c>
      <c r="C52" s="11"/>
      <c r="D52" s="6" t="s">
        <v>193</v>
      </c>
      <c r="E52" s="6" t="s">
        <v>194</v>
      </c>
    </row>
    <row r="53" customFormat="false" ht="15" hidden="false" customHeight="false" outlineLevel="0" collapsed="false">
      <c r="A53" s="6" t="s">
        <v>195</v>
      </c>
      <c r="B53" s="10" t="n">
        <v>0.95</v>
      </c>
      <c r="C53" s="11"/>
      <c r="D53" s="6" t="s">
        <v>196</v>
      </c>
      <c r="E53" s="6" t="s">
        <v>194</v>
      </c>
    </row>
    <row r="54" customFormat="false" ht="15" hidden="false" customHeight="false" outlineLevel="0" collapsed="false">
      <c r="A54" s="6" t="s">
        <v>197</v>
      </c>
      <c r="B54" s="10" t="n">
        <v>0.85</v>
      </c>
      <c r="C54" s="11"/>
      <c r="D54" s="6" t="s">
        <v>198</v>
      </c>
      <c r="E54" s="6" t="s">
        <v>194</v>
      </c>
    </row>
    <row r="55" customFormat="false" ht="15" hidden="false" customHeight="false" outlineLevel="0" collapsed="false">
      <c r="A55" s="6" t="s">
        <v>199</v>
      </c>
      <c r="B55" s="10" t="n">
        <v>1</v>
      </c>
      <c r="C55" s="11"/>
      <c r="D55" s="6" t="s">
        <v>200</v>
      </c>
      <c r="E55" s="6" t="s">
        <v>201</v>
      </c>
    </row>
    <row r="56" customFormat="false" ht="15" hidden="false" customHeight="false" outlineLevel="0" collapsed="false">
      <c r="A56" s="6" t="s">
        <v>202</v>
      </c>
      <c r="B56" s="10" t="n">
        <v>0.7</v>
      </c>
      <c r="C56" s="11"/>
      <c r="D56" s="6" t="s">
        <v>203</v>
      </c>
      <c r="E56" s="6" t="s">
        <v>201</v>
      </c>
    </row>
    <row r="57" customFormat="false" ht="15" hidden="false" customHeight="false" outlineLevel="0" collapsed="false">
      <c r="A57" s="6" t="s">
        <v>204</v>
      </c>
      <c r="B57" s="10" t="n">
        <v>0.45</v>
      </c>
      <c r="C57" s="11"/>
      <c r="D57" s="6" t="s">
        <v>205</v>
      </c>
      <c r="E57" s="6" t="s">
        <v>201</v>
      </c>
    </row>
    <row r="58" customFormat="false" ht="15" hidden="false" customHeight="false" outlineLevel="0" collapsed="false">
      <c r="A58" s="6" t="s">
        <v>206</v>
      </c>
      <c r="B58" s="10" t="n">
        <v>0.2</v>
      </c>
      <c r="C58" s="11"/>
      <c r="D58" s="6" t="s">
        <v>207</v>
      </c>
      <c r="E58" s="6" t="s">
        <v>201</v>
      </c>
    </row>
    <row r="59" customFormat="false" ht="15" hidden="false" customHeight="false" outlineLevel="0" collapsed="false">
      <c r="A59" s="8" t="s">
        <v>208</v>
      </c>
      <c r="B59" s="9"/>
      <c r="C59" s="9"/>
      <c r="D59" s="9"/>
      <c r="E59" s="9"/>
    </row>
    <row r="60" customFormat="false" ht="15" hidden="false" customHeight="false" outlineLevel="0" collapsed="false">
      <c r="A60" s="6" t="s">
        <v>209</v>
      </c>
      <c r="B60" s="10" t="s">
        <v>16</v>
      </c>
      <c r="C60" s="11"/>
      <c r="D60" s="6" t="s">
        <v>210</v>
      </c>
      <c r="E60" s="6" t="s">
        <v>211</v>
      </c>
    </row>
    <row r="61" customFormat="false" ht="23.85" hidden="false" customHeight="false" outlineLevel="0" collapsed="false">
      <c r="A61" s="6" t="s">
        <v>212</v>
      </c>
      <c r="B61" s="10" t="s">
        <v>213</v>
      </c>
      <c r="C61" s="11"/>
      <c r="D61" s="6" t="s">
        <v>214</v>
      </c>
      <c r="E61" s="6" t="s">
        <v>215</v>
      </c>
    </row>
    <row r="62" customFormat="false" ht="57.45" hidden="false" customHeight="false" outlineLevel="0" collapsed="false">
      <c r="A62" s="6" t="s">
        <v>216</v>
      </c>
      <c r="B62" s="10" t="s">
        <v>217</v>
      </c>
      <c r="C62" s="11"/>
      <c r="D62" s="6" t="s">
        <v>218</v>
      </c>
      <c r="E62" s="6" t="s">
        <v>219</v>
      </c>
    </row>
    <row r="63" customFormat="false" ht="23.85" hidden="false" customHeight="false" outlineLevel="0" collapsed="false">
      <c r="A63" s="6" t="s">
        <v>220</v>
      </c>
      <c r="B63" s="10" t="s">
        <v>221</v>
      </c>
      <c r="C63" s="11"/>
      <c r="D63" s="6" t="s">
        <v>222</v>
      </c>
      <c r="E63" s="6"/>
    </row>
    <row r="64" customFormat="false" ht="15" hidden="false" customHeight="false" outlineLevel="0" collapsed="false">
      <c r="A64" s="6" t="s">
        <v>223</v>
      </c>
      <c r="B64" s="10" t="s">
        <v>224</v>
      </c>
      <c r="C64" s="11"/>
      <c r="D64" s="6" t="s">
        <v>225</v>
      </c>
      <c r="E64" s="6" t="s">
        <v>226</v>
      </c>
    </row>
    <row r="65" customFormat="false" ht="15" hidden="false" customHeight="false" outlineLevel="0" collapsed="false">
      <c r="A65" s="6" t="s">
        <v>227</v>
      </c>
      <c r="B65" s="10" t="s">
        <v>228</v>
      </c>
      <c r="C65" s="11"/>
      <c r="D65" s="6" t="s">
        <v>229</v>
      </c>
      <c r="E65" s="6"/>
    </row>
    <row r="66" customFormat="false" ht="23.85" hidden="false" customHeight="false" outlineLevel="0" collapsed="false">
      <c r="A66" s="6" t="s">
        <v>230</v>
      </c>
      <c r="B66" s="10" t="s">
        <v>231</v>
      </c>
      <c r="C66" s="11"/>
      <c r="D66" s="6" t="s">
        <v>232</v>
      </c>
      <c r="E66" s="6" t="s">
        <v>233</v>
      </c>
    </row>
    <row r="67" customFormat="false" ht="15" hidden="false" customHeight="false" outlineLevel="0" collapsed="false">
      <c r="A67" s="6" t="s">
        <v>234</v>
      </c>
      <c r="B67" s="10" t="s">
        <v>235</v>
      </c>
      <c r="C67" s="11"/>
      <c r="D67" s="6" t="s">
        <v>232</v>
      </c>
      <c r="E67" s="6"/>
    </row>
    <row r="68" customFormat="false" ht="15" hidden="false" customHeight="false" outlineLevel="0" collapsed="false">
      <c r="A68" s="6" t="s">
        <v>236</v>
      </c>
      <c r="B68" s="10" t="s">
        <v>237</v>
      </c>
      <c r="C68" s="11"/>
      <c r="D68" s="6" t="s">
        <v>232</v>
      </c>
      <c r="E68" s="6" t="s">
        <v>238</v>
      </c>
    </row>
    <row r="69" customFormat="false" ht="15" hidden="false" customHeight="false" outlineLevel="0" collapsed="false">
      <c r="A69" s="6" t="s">
        <v>239</v>
      </c>
      <c r="B69" s="10" t="s">
        <v>240</v>
      </c>
      <c r="C69" s="11"/>
      <c r="D69" s="6" t="s">
        <v>241</v>
      </c>
      <c r="E69" s="6" t="s">
        <v>242</v>
      </c>
    </row>
    <row r="70" customFormat="false" ht="15" hidden="false" customHeight="false" outlineLevel="0" collapsed="false">
      <c r="A70" s="6" t="s">
        <v>243</v>
      </c>
      <c r="B70" s="10" t="s">
        <v>244</v>
      </c>
      <c r="C70" s="11"/>
      <c r="D70" s="6" t="s">
        <v>245</v>
      </c>
      <c r="E70" s="6" t="s">
        <v>246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20"/>
    <col collapsed="false" customWidth="true" hidden="false" outlineLevel="0" max="4" min="4" style="0" width="13"/>
    <col collapsed="false" customWidth="true" hidden="false" outlineLevel="0" max="5" min="5" style="0" width="9"/>
    <col collapsed="false" customWidth="true" hidden="false" outlineLevel="0" max="6" min="6" style="0" width="14"/>
    <col collapsed="false" customWidth="true" hidden="false" outlineLevel="0" max="7" min="7" style="0" width="11"/>
    <col collapsed="false" customWidth="true" hidden="false" outlineLevel="0" max="8" min="8" style="0" width="22"/>
    <col collapsed="false" customWidth="true" hidden="false" outlineLevel="0" max="10" min="9" style="0" width="52"/>
    <col collapsed="false" customWidth="true" hidden="false" outlineLevel="0" max="11" min="11" style="0" width="10"/>
    <col collapsed="false" customWidth="true" hidden="false" outlineLevel="0" max="12" min="12" style="0" width="40"/>
    <col collapsed="false" customWidth="true" hidden="false" outlineLevel="0" max="13" min="13" style="0" width="10"/>
    <col collapsed="false" customWidth="true" hidden="false" outlineLevel="0" max="14" min="14" style="0" width="46"/>
    <col collapsed="false" customWidth="true" hidden="false" outlineLevel="0" max="15" min="15" style="0" width="26"/>
  </cols>
  <sheetData>
    <row r="1" customFormat="false" ht="17.35" hidden="false" customHeight="false" outlineLevel="0" collapsed="false">
      <c r="A1" s="1" t="s">
        <v>247</v>
      </c>
    </row>
    <row r="2" customFormat="false" ht="15" hidden="false" customHeight="false" outlineLevel="0" collapsed="false">
      <c r="A2" s="2" t="s">
        <v>248</v>
      </c>
    </row>
    <row r="4" customFormat="false" ht="35.05" hidden="false" customHeight="false" outlineLevel="0" collapsed="false">
      <c r="A4" s="5" t="s">
        <v>249</v>
      </c>
      <c r="B4" s="5" t="s">
        <v>250</v>
      </c>
      <c r="C4" s="5" t="s">
        <v>251</v>
      </c>
      <c r="D4" s="5" t="s">
        <v>252</v>
      </c>
      <c r="E4" s="5" t="s">
        <v>253</v>
      </c>
      <c r="F4" s="5" t="s">
        <v>254</v>
      </c>
      <c r="G4" s="5" t="s">
        <v>255</v>
      </c>
      <c r="H4" s="5" t="s">
        <v>256</v>
      </c>
      <c r="I4" s="5" t="s">
        <v>257</v>
      </c>
      <c r="J4" s="5" t="s">
        <v>258</v>
      </c>
      <c r="K4" s="5" t="s">
        <v>259</v>
      </c>
      <c r="L4" s="5" t="s">
        <v>260</v>
      </c>
      <c r="M4" s="5" t="s">
        <v>261</v>
      </c>
      <c r="N4" s="5" t="s">
        <v>262</v>
      </c>
      <c r="O4" s="5" t="s">
        <v>263</v>
      </c>
    </row>
    <row r="5" customFormat="false" ht="15" hidden="false" customHeight="false" outlineLevel="0" collapsed="false">
      <c r="A5" s="6" t="s">
        <v>264</v>
      </c>
      <c r="B5" s="6" t="s">
        <v>265</v>
      </c>
      <c r="C5" s="6" t="s">
        <v>266</v>
      </c>
      <c r="D5" s="6" t="s">
        <v>267</v>
      </c>
      <c r="E5" s="6" t="n">
        <v>0.45</v>
      </c>
      <c r="F5" s="6" t="n">
        <v>6</v>
      </c>
      <c r="G5" s="6" t="s">
        <v>268</v>
      </c>
      <c r="H5" s="6" t="s">
        <v>269</v>
      </c>
      <c r="I5" s="6" t="s">
        <v>270</v>
      </c>
      <c r="J5" s="6" t="s">
        <v>271</v>
      </c>
      <c r="K5" s="6" t="s">
        <v>272</v>
      </c>
      <c r="L5" s="6" t="s">
        <v>273</v>
      </c>
      <c r="M5" s="6"/>
      <c r="N5" s="6"/>
      <c r="O5" s="15"/>
    </row>
    <row r="6" customFormat="false" ht="15" hidden="false" customHeight="false" outlineLevel="0" collapsed="false">
      <c r="A6" s="6" t="s">
        <v>274</v>
      </c>
      <c r="B6" s="6" t="s">
        <v>275</v>
      </c>
      <c r="C6" s="6" t="s">
        <v>266</v>
      </c>
      <c r="D6" s="6" t="s">
        <v>276</v>
      </c>
      <c r="E6" s="6" t="n">
        <v>0.7</v>
      </c>
      <c r="F6" s="6" t="n">
        <v>12</v>
      </c>
      <c r="G6" s="6" t="s">
        <v>268</v>
      </c>
      <c r="H6" s="6" t="s">
        <v>269</v>
      </c>
      <c r="I6" s="6" t="s">
        <v>277</v>
      </c>
      <c r="J6" s="6" t="s">
        <v>278</v>
      </c>
      <c r="K6" s="6" t="s">
        <v>279</v>
      </c>
      <c r="L6" s="6" t="s">
        <v>280</v>
      </c>
      <c r="M6" s="6"/>
      <c r="N6" s="6" t="s">
        <v>281</v>
      </c>
      <c r="O6" s="15"/>
    </row>
    <row r="7" customFormat="false" ht="15" hidden="false" customHeight="false" outlineLevel="0" collapsed="false">
      <c r="A7" s="6" t="s">
        <v>282</v>
      </c>
      <c r="B7" s="6" t="s">
        <v>283</v>
      </c>
      <c r="C7" s="6" t="s">
        <v>266</v>
      </c>
      <c r="D7" s="6" t="s">
        <v>267</v>
      </c>
      <c r="E7" s="6" t="n">
        <v>0.45</v>
      </c>
      <c r="F7" s="6" t="n">
        <v>8</v>
      </c>
      <c r="G7" s="6" t="s">
        <v>284</v>
      </c>
      <c r="H7" s="6" t="s">
        <v>269</v>
      </c>
      <c r="I7" s="6" t="s">
        <v>285</v>
      </c>
      <c r="J7" s="6" t="s">
        <v>286</v>
      </c>
      <c r="K7" s="6" t="s">
        <v>287</v>
      </c>
      <c r="L7" s="6" t="s">
        <v>288</v>
      </c>
      <c r="M7" s="6"/>
      <c r="N7" s="6" t="s">
        <v>289</v>
      </c>
      <c r="O7" s="15"/>
    </row>
    <row r="8" customFormat="false" ht="23.85" hidden="false" customHeight="false" outlineLevel="0" collapsed="false">
      <c r="A8" s="6" t="s">
        <v>290</v>
      </c>
      <c r="B8" s="6" t="s">
        <v>291</v>
      </c>
      <c r="C8" s="6" t="s">
        <v>266</v>
      </c>
      <c r="D8" s="6" t="s">
        <v>276</v>
      </c>
      <c r="E8" s="6" t="n">
        <v>0.7</v>
      </c>
      <c r="F8" s="6" t="n">
        <v>1.5</v>
      </c>
      <c r="G8" s="6" t="s">
        <v>292</v>
      </c>
      <c r="H8" s="6" t="s">
        <v>293</v>
      </c>
      <c r="I8" s="6" t="s">
        <v>294</v>
      </c>
      <c r="J8" s="6" t="s">
        <v>295</v>
      </c>
      <c r="K8" s="6"/>
      <c r="L8" s="6"/>
      <c r="M8" s="6"/>
      <c r="N8" s="6"/>
      <c r="O8" s="15"/>
    </row>
    <row r="9" customFormat="false" ht="23.85" hidden="false" customHeight="false" outlineLevel="0" collapsed="false">
      <c r="A9" s="6" t="s">
        <v>296</v>
      </c>
      <c r="B9" s="6" t="s">
        <v>297</v>
      </c>
      <c r="C9" s="6" t="s">
        <v>266</v>
      </c>
      <c r="D9" s="6" t="s">
        <v>267</v>
      </c>
      <c r="E9" s="6" t="n">
        <v>0.45</v>
      </c>
      <c r="F9" s="6" t="n">
        <v>3</v>
      </c>
      <c r="G9" s="6" t="s">
        <v>268</v>
      </c>
      <c r="H9" s="6" t="s">
        <v>269</v>
      </c>
      <c r="I9" s="6" t="s">
        <v>298</v>
      </c>
      <c r="J9" s="6" t="s">
        <v>299</v>
      </c>
      <c r="K9" s="6" t="s">
        <v>300</v>
      </c>
      <c r="L9" s="6" t="s">
        <v>301</v>
      </c>
      <c r="M9" s="6" t="s">
        <v>302</v>
      </c>
      <c r="N9" s="6" t="s">
        <v>303</v>
      </c>
      <c r="O9" s="15"/>
    </row>
    <row r="10" customFormat="false" ht="35.05" hidden="false" customHeight="false" outlineLevel="0" collapsed="false">
      <c r="A10" s="6" t="s">
        <v>304</v>
      </c>
      <c r="B10" s="6" t="s">
        <v>305</v>
      </c>
      <c r="C10" s="6" t="s">
        <v>266</v>
      </c>
      <c r="D10" s="6" t="s">
        <v>306</v>
      </c>
      <c r="E10" s="6" t="n">
        <v>0.2</v>
      </c>
      <c r="F10" s="6" t="n">
        <v>3</v>
      </c>
      <c r="G10" s="6" t="s">
        <v>284</v>
      </c>
      <c r="H10" s="6" t="s">
        <v>269</v>
      </c>
      <c r="I10" s="6" t="s">
        <v>307</v>
      </c>
      <c r="J10" s="6" t="s">
        <v>308</v>
      </c>
      <c r="K10" s="6" t="s">
        <v>309</v>
      </c>
      <c r="L10" s="6" t="s">
        <v>310</v>
      </c>
      <c r="M10" s="6"/>
      <c r="N10" s="6" t="s">
        <v>311</v>
      </c>
      <c r="O10" s="15"/>
    </row>
    <row r="11" customFormat="false" ht="23.85" hidden="false" customHeight="false" outlineLevel="0" collapsed="false">
      <c r="A11" s="6" t="s">
        <v>312</v>
      </c>
      <c r="B11" s="6" t="s">
        <v>313</v>
      </c>
      <c r="C11" s="6" t="s">
        <v>314</v>
      </c>
      <c r="D11" s="6" t="s">
        <v>315</v>
      </c>
      <c r="E11" s="6" t="n">
        <v>1</v>
      </c>
      <c r="F11" s="6" t="n">
        <v>6</v>
      </c>
      <c r="G11" s="6" t="s">
        <v>268</v>
      </c>
      <c r="H11" s="6" t="s">
        <v>269</v>
      </c>
      <c r="I11" s="6" t="s">
        <v>316</v>
      </c>
      <c r="J11" s="6" t="s">
        <v>317</v>
      </c>
      <c r="K11" s="6" t="s">
        <v>318</v>
      </c>
      <c r="L11" s="6" t="s">
        <v>319</v>
      </c>
      <c r="M11" s="6" t="s">
        <v>320</v>
      </c>
      <c r="N11" s="6" t="s">
        <v>321</v>
      </c>
      <c r="O11" s="15"/>
    </row>
    <row r="12" customFormat="false" ht="23.85" hidden="false" customHeight="false" outlineLevel="0" collapsed="false">
      <c r="A12" s="6" t="s">
        <v>322</v>
      </c>
      <c r="B12" s="6" t="s">
        <v>323</v>
      </c>
      <c r="C12" s="6" t="s">
        <v>314</v>
      </c>
      <c r="D12" s="6" t="s">
        <v>315</v>
      </c>
      <c r="E12" s="6" t="n">
        <v>1</v>
      </c>
      <c r="F12" s="6" t="n">
        <v>3</v>
      </c>
      <c r="G12" s="6" t="s">
        <v>284</v>
      </c>
      <c r="H12" s="6" t="s">
        <v>269</v>
      </c>
      <c r="I12" s="6" t="s">
        <v>324</v>
      </c>
      <c r="J12" s="6" t="s">
        <v>325</v>
      </c>
      <c r="K12" s="6"/>
      <c r="L12" s="6"/>
      <c r="M12" s="6"/>
      <c r="N12" s="6"/>
      <c r="O12" s="15"/>
    </row>
    <row r="13" customFormat="false" ht="15" hidden="false" customHeight="false" outlineLevel="0" collapsed="false">
      <c r="A13" s="6" t="s">
        <v>326</v>
      </c>
      <c r="B13" s="6" t="s">
        <v>327</v>
      </c>
      <c r="C13" s="6" t="s">
        <v>328</v>
      </c>
      <c r="D13" s="6" t="s">
        <v>315</v>
      </c>
      <c r="E13" s="6" t="n">
        <v>1</v>
      </c>
      <c r="F13" s="6" t="n">
        <v>3</v>
      </c>
      <c r="G13" s="6" t="s">
        <v>292</v>
      </c>
      <c r="H13" s="6" t="s">
        <v>269</v>
      </c>
      <c r="I13" s="6" t="s">
        <v>329</v>
      </c>
      <c r="J13" s="6" t="s">
        <v>330</v>
      </c>
      <c r="K13" s="6"/>
      <c r="L13" s="6"/>
      <c r="M13" s="6"/>
      <c r="N13" s="6"/>
      <c r="O13" s="15"/>
    </row>
    <row r="14" customFormat="false" ht="23.85" hidden="false" customHeight="false" outlineLevel="0" collapsed="false">
      <c r="A14" s="6" t="s">
        <v>331</v>
      </c>
      <c r="B14" s="6" t="s">
        <v>332</v>
      </c>
      <c r="C14" s="6" t="s">
        <v>328</v>
      </c>
      <c r="D14" s="6" t="s">
        <v>315</v>
      </c>
      <c r="E14" s="6" t="n">
        <v>1</v>
      </c>
      <c r="F14" s="6" t="n">
        <v>4</v>
      </c>
      <c r="G14" s="6" t="s">
        <v>292</v>
      </c>
      <c r="H14" s="6" t="s">
        <v>269</v>
      </c>
      <c r="I14" s="6" t="s">
        <v>333</v>
      </c>
      <c r="J14" s="6" t="s">
        <v>334</v>
      </c>
      <c r="K14" s="6"/>
      <c r="L14" s="6"/>
      <c r="M14" s="6"/>
      <c r="N14" s="6"/>
      <c r="O14" s="15"/>
    </row>
    <row r="15" customFormat="false" ht="15" hidden="false" customHeight="false" outlineLevel="0" collapsed="false">
      <c r="A15" s="6" t="s">
        <v>335</v>
      </c>
      <c r="B15" s="6" t="s">
        <v>336</v>
      </c>
      <c r="C15" s="6" t="s">
        <v>328</v>
      </c>
      <c r="D15" s="6" t="s">
        <v>276</v>
      </c>
      <c r="E15" s="6" t="n">
        <v>0.7</v>
      </c>
      <c r="F15" s="6" t="n">
        <v>2</v>
      </c>
      <c r="G15" s="6" t="s">
        <v>292</v>
      </c>
      <c r="H15" s="6" t="s">
        <v>269</v>
      </c>
      <c r="I15" s="6" t="s">
        <v>337</v>
      </c>
      <c r="J15" s="6" t="s">
        <v>338</v>
      </c>
      <c r="K15" s="6"/>
      <c r="L15" s="6"/>
      <c r="M15" s="6"/>
      <c r="N15" s="6"/>
      <c r="O15" s="15"/>
    </row>
    <row r="16" customFormat="false" ht="15" hidden="false" customHeight="false" outlineLevel="0" collapsed="false">
      <c r="A16" s="6" t="s">
        <v>339</v>
      </c>
      <c r="B16" s="6" t="s">
        <v>340</v>
      </c>
      <c r="C16" s="6" t="s">
        <v>328</v>
      </c>
      <c r="D16" s="6" t="s">
        <v>267</v>
      </c>
      <c r="E16" s="6" t="n">
        <v>0.45</v>
      </c>
      <c r="F16" s="6" t="n">
        <v>1.5</v>
      </c>
      <c r="G16" s="6" t="s">
        <v>268</v>
      </c>
      <c r="H16" s="6" t="s">
        <v>269</v>
      </c>
      <c r="I16" s="6" t="s">
        <v>341</v>
      </c>
      <c r="J16" s="6" t="s">
        <v>342</v>
      </c>
      <c r="K16" s="6"/>
      <c r="L16" s="6"/>
      <c r="M16" s="6"/>
      <c r="N16" s="6"/>
      <c r="O16" s="15"/>
    </row>
    <row r="17" customFormat="false" ht="15" hidden="false" customHeight="false" outlineLevel="0" collapsed="false">
      <c r="A17" s="6" t="s">
        <v>343</v>
      </c>
      <c r="B17" s="6" t="s">
        <v>344</v>
      </c>
      <c r="C17" s="6" t="s">
        <v>328</v>
      </c>
      <c r="D17" s="6" t="s">
        <v>267</v>
      </c>
      <c r="E17" s="6" t="n">
        <v>0.45</v>
      </c>
      <c r="F17" s="6" t="n">
        <v>1.5</v>
      </c>
      <c r="G17" s="6" t="s">
        <v>268</v>
      </c>
      <c r="H17" s="6" t="s">
        <v>269</v>
      </c>
      <c r="I17" s="6" t="s">
        <v>345</v>
      </c>
      <c r="J17" s="6" t="s">
        <v>346</v>
      </c>
      <c r="K17" s="6"/>
      <c r="L17" s="6"/>
      <c r="M17" s="6"/>
      <c r="N17" s="6"/>
      <c r="O17" s="15"/>
    </row>
    <row r="18" customFormat="false" ht="23.85" hidden="false" customHeight="false" outlineLevel="0" collapsed="false">
      <c r="A18" s="6" t="s">
        <v>347</v>
      </c>
      <c r="B18" s="6" t="s">
        <v>348</v>
      </c>
      <c r="C18" s="6" t="s">
        <v>349</v>
      </c>
      <c r="D18" s="6" t="s">
        <v>267</v>
      </c>
      <c r="E18" s="6" t="n">
        <v>0.45</v>
      </c>
      <c r="F18" s="6" t="n">
        <v>8</v>
      </c>
      <c r="G18" s="6" t="s">
        <v>268</v>
      </c>
      <c r="H18" s="6" t="s">
        <v>269</v>
      </c>
      <c r="I18" s="6" t="s">
        <v>350</v>
      </c>
      <c r="J18" s="6" t="s">
        <v>351</v>
      </c>
      <c r="K18" s="6" t="s">
        <v>352</v>
      </c>
      <c r="L18" s="6" t="s">
        <v>353</v>
      </c>
      <c r="M18" s="6" t="s">
        <v>354</v>
      </c>
      <c r="N18" s="6" t="s">
        <v>355</v>
      </c>
      <c r="O18" s="15"/>
    </row>
    <row r="19" customFormat="false" ht="23.85" hidden="false" customHeight="false" outlineLevel="0" collapsed="false">
      <c r="A19" s="6" t="s">
        <v>356</v>
      </c>
      <c r="B19" s="6" t="s">
        <v>357</v>
      </c>
      <c r="C19" s="6" t="s">
        <v>349</v>
      </c>
      <c r="D19" s="6" t="s">
        <v>267</v>
      </c>
      <c r="E19" s="6" t="n">
        <v>0.45</v>
      </c>
      <c r="F19" s="6" t="n">
        <v>4</v>
      </c>
      <c r="G19" s="6" t="s">
        <v>268</v>
      </c>
      <c r="H19" s="6" t="s">
        <v>269</v>
      </c>
      <c r="I19" s="6" t="s">
        <v>358</v>
      </c>
      <c r="J19" s="6" t="s">
        <v>359</v>
      </c>
      <c r="K19" s="6"/>
      <c r="L19" s="6"/>
      <c r="M19" s="6"/>
      <c r="N19" s="6"/>
      <c r="O19" s="15"/>
    </row>
    <row r="20" customFormat="false" ht="23.85" hidden="false" customHeight="false" outlineLevel="0" collapsed="false">
      <c r="A20" s="6" t="s">
        <v>360</v>
      </c>
      <c r="B20" s="6" t="s">
        <v>361</v>
      </c>
      <c r="C20" s="6" t="s">
        <v>349</v>
      </c>
      <c r="D20" s="6" t="s">
        <v>276</v>
      </c>
      <c r="E20" s="6" t="n">
        <v>0.7</v>
      </c>
      <c r="F20" s="6" t="n">
        <v>2.5</v>
      </c>
      <c r="G20" s="6" t="s">
        <v>268</v>
      </c>
      <c r="H20" s="6" t="s">
        <v>269</v>
      </c>
      <c r="I20" s="6" t="s">
        <v>362</v>
      </c>
      <c r="J20" s="6" t="s">
        <v>363</v>
      </c>
      <c r="K20" s="6" t="s">
        <v>364</v>
      </c>
      <c r="L20" s="6" t="s">
        <v>365</v>
      </c>
      <c r="M20" s="6" t="s">
        <v>366</v>
      </c>
      <c r="N20" s="6" t="s">
        <v>367</v>
      </c>
      <c r="O20" s="15"/>
    </row>
    <row r="21" customFormat="false" ht="23.85" hidden="false" customHeight="false" outlineLevel="0" collapsed="false">
      <c r="A21" s="6" t="s">
        <v>368</v>
      </c>
      <c r="B21" s="6" t="s">
        <v>369</v>
      </c>
      <c r="C21" s="6" t="s">
        <v>349</v>
      </c>
      <c r="D21" s="6" t="s">
        <v>267</v>
      </c>
      <c r="E21" s="6" t="n">
        <v>0.45</v>
      </c>
      <c r="F21" s="6" t="n">
        <v>3</v>
      </c>
      <c r="G21" s="6" t="s">
        <v>268</v>
      </c>
      <c r="H21" s="6" t="s">
        <v>269</v>
      </c>
      <c r="I21" s="6" t="s">
        <v>370</v>
      </c>
      <c r="J21" s="6" t="s">
        <v>371</v>
      </c>
      <c r="K21" s="6"/>
      <c r="L21" s="6"/>
      <c r="M21" s="6"/>
      <c r="N21" s="6"/>
      <c r="O21" s="15"/>
    </row>
    <row r="22" customFormat="false" ht="15" hidden="false" customHeight="false" outlineLevel="0" collapsed="false">
      <c r="A22" s="6" t="s">
        <v>372</v>
      </c>
      <c r="B22" s="6" t="s">
        <v>373</v>
      </c>
      <c r="C22" s="6" t="s">
        <v>349</v>
      </c>
      <c r="D22" s="6" t="s">
        <v>267</v>
      </c>
      <c r="E22" s="6" t="n">
        <v>0.45</v>
      </c>
      <c r="F22" s="6" t="n">
        <v>2</v>
      </c>
      <c r="G22" s="6" t="s">
        <v>284</v>
      </c>
      <c r="H22" s="6" t="s">
        <v>269</v>
      </c>
      <c r="I22" s="6" t="s">
        <v>374</v>
      </c>
      <c r="J22" s="6" t="s">
        <v>375</v>
      </c>
      <c r="K22" s="6"/>
      <c r="L22" s="6"/>
      <c r="M22" s="6"/>
      <c r="N22" s="6"/>
      <c r="O22" s="15"/>
    </row>
    <row r="23" customFormat="false" ht="15" hidden="false" customHeight="false" outlineLevel="0" collapsed="false">
      <c r="A23" s="6" t="s">
        <v>376</v>
      </c>
      <c r="B23" s="6" t="s">
        <v>377</v>
      </c>
      <c r="C23" s="6" t="s">
        <v>349</v>
      </c>
      <c r="D23" s="6" t="s">
        <v>306</v>
      </c>
      <c r="E23" s="6" t="n">
        <v>0.2</v>
      </c>
      <c r="F23" s="6" t="n">
        <v>1.5</v>
      </c>
      <c r="G23" s="6" t="s">
        <v>268</v>
      </c>
      <c r="H23" s="6" t="s">
        <v>269</v>
      </c>
      <c r="I23" s="6" t="s">
        <v>378</v>
      </c>
      <c r="J23" s="6" t="s">
        <v>379</v>
      </c>
      <c r="K23" s="6"/>
      <c r="L23" s="6"/>
      <c r="M23" s="6"/>
      <c r="N23" s="6"/>
      <c r="O23" s="15"/>
    </row>
    <row r="24" customFormat="false" ht="15" hidden="false" customHeight="false" outlineLevel="0" collapsed="false">
      <c r="A24" s="6" t="s">
        <v>380</v>
      </c>
      <c r="B24" s="6" t="s">
        <v>381</v>
      </c>
      <c r="C24" s="6" t="s">
        <v>349</v>
      </c>
      <c r="D24" s="6" t="s">
        <v>306</v>
      </c>
      <c r="E24" s="6" t="n">
        <v>0.2</v>
      </c>
      <c r="F24" s="6" t="n">
        <v>1.5</v>
      </c>
      <c r="G24" s="6" t="s">
        <v>268</v>
      </c>
      <c r="H24" s="6" t="s">
        <v>269</v>
      </c>
      <c r="I24" s="6" t="s">
        <v>382</v>
      </c>
      <c r="J24" s="6" t="s">
        <v>383</v>
      </c>
      <c r="K24" s="6"/>
      <c r="L24" s="6"/>
      <c r="M24" s="6"/>
      <c r="N24" s="6"/>
      <c r="O24" s="15"/>
    </row>
    <row r="25" customFormat="false" ht="15" hidden="false" customHeight="false" outlineLevel="0" collapsed="false">
      <c r="A25" s="6" t="s">
        <v>384</v>
      </c>
      <c r="B25" s="6" t="s">
        <v>385</v>
      </c>
      <c r="C25" s="6" t="s">
        <v>349</v>
      </c>
      <c r="D25" s="6" t="s">
        <v>306</v>
      </c>
      <c r="E25" s="6" t="n">
        <v>0.2</v>
      </c>
      <c r="F25" s="6" t="n">
        <v>2</v>
      </c>
      <c r="G25" s="6" t="s">
        <v>284</v>
      </c>
      <c r="H25" s="6" t="s">
        <v>269</v>
      </c>
      <c r="I25" s="6" t="s">
        <v>386</v>
      </c>
      <c r="J25" s="6" t="s">
        <v>387</v>
      </c>
      <c r="K25" s="6"/>
      <c r="L25" s="6"/>
      <c r="M25" s="6"/>
      <c r="N25" s="6"/>
      <c r="O25" s="15"/>
    </row>
    <row r="26" customFormat="false" ht="23.85" hidden="false" customHeight="false" outlineLevel="0" collapsed="false">
      <c r="A26" s="6" t="s">
        <v>388</v>
      </c>
      <c r="B26" s="6" t="s">
        <v>389</v>
      </c>
      <c r="C26" s="6" t="s">
        <v>390</v>
      </c>
      <c r="D26" s="6" t="s">
        <v>276</v>
      </c>
      <c r="E26" s="6" t="n">
        <v>0.7</v>
      </c>
      <c r="F26" s="6" t="n">
        <v>1</v>
      </c>
      <c r="G26" s="6" t="s">
        <v>292</v>
      </c>
      <c r="H26" s="6" t="s">
        <v>269</v>
      </c>
      <c r="I26" s="6" t="s">
        <v>391</v>
      </c>
      <c r="J26" s="6" t="s">
        <v>392</v>
      </c>
      <c r="K26" s="6" t="s">
        <v>393</v>
      </c>
      <c r="L26" s="6" t="s">
        <v>394</v>
      </c>
      <c r="M26" s="6"/>
      <c r="N26" s="6"/>
      <c r="O26" s="15"/>
    </row>
    <row r="27" customFormat="false" ht="35.05" hidden="false" customHeight="false" outlineLevel="0" collapsed="false">
      <c r="A27" s="6" t="s">
        <v>395</v>
      </c>
      <c r="B27" s="6" t="s">
        <v>396</v>
      </c>
      <c r="C27" s="6" t="s">
        <v>390</v>
      </c>
      <c r="D27" s="6" t="s">
        <v>276</v>
      </c>
      <c r="E27" s="6" t="n">
        <v>0.7</v>
      </c>
      <c r="F27" s="6" t="n">
        <v>5</v>
      </c>
      <c r="G27" s="6" t="s">
        <v>268</v>
      </c>
      <c r="H27" s="6" t="s">
        <v>269</v>
      </c>
      <c r="I27" s="6" t="s">
        <v>397</v>
      </c>
      <c r="J27" s="6" t="s">
        <v>398</v>
      </c>
      <c r="K27" s="6"/>
      <c r="L27" s="6"/>
      <c r="M27" s="6"/>
      <c r="N27" s="6"/>
      <c r="O27" s="15"/>
    </row>
    <row r="28" customFormat="false" ht="23.85" hidden="false" customHeight="false" outlineLevel="0" collapsed="false">
      <c r="A28" s="6" t="s">
        <v>399</v>
      </c>
      <c r="B28" s="6" t="s">
        <v>400</v>
      </c>
      <c r="C28" s="6" t="s">
        <v>401</v>
      </c>
      <c r="D28" s="6" t="s">
        <v>276</v>
      </c>
      <c r="E28" s="6" t="n">
        <v>0.7</v>
      </c>
      <c r="F28" s="6" t="n">
        <v>8</v>
      </c>
      <c r="G28" s="6" t="s">
        <v>284</v>
      </c>
      <c r="H28" s="6" t="s">
        <v>269</v>
      </c>
      <c r="I28" s="6" t="s">
        <v>402</v>
      </c>
      <c r="J28" s="6" t="s">
        <v>403</v>
      </c>
      <c r="K28" s="6" t="s">
        <v>404</v>
      </c>
      <c r="L28" s="6" t="s">
        <v>405</v>
      </c>
      <c r="M28" s="6"/>
      <c r="N28" s="6" t="s">
        <v>406</v>
      </c>
      <c r="O28" s="15"/>
    </row>
    <row r="29" customFormat="false" ht="23.85" hidden="false" customHeight="false" outlineLevel="0" collapsed="false">
      <c r="A29" s="6" t="s">
        <v>407</v>
      </c>
      <c r="B29" s="6" t="s">
        <v>408</v>
      </c>
      <c r="C29" s="6" t="s">
        <v>401</v>
      </c>
      <c r="D29" s="6" t="s">
        <v>276</v>
      </c>
      <c r="E29" s="6" t="n">
        <v>0.7</v>
      </c>
      <c r="F29" s="6" t="n">
        <v>2.5</v>
      </c>
      <c r="G29" s="6" t="s">
        <v>268</v>
      </c>
      <c r="H29" s="6" t="s">
        <v>269</v>
      </c>
      <c r="I29" s="6" t="s">
        <v>409</v>
      </c>
      <c r="J29" s="6" t="s">
        <v>410</v>
      </c>
      <c r="K29" s="6" t="s">
        <v>411</v>
      </c>
      <c r="L29" s="6" t="s">
        <v>412</v>
      </c>
      <c r="M29" s="6"/>
      <c r="N29" s="6" t="s">
        <v>413</v>
      </c>
      <c r="O29" s="15"/>
    </row>
    <row r="30" customFormat="false" ht="23.85" hidden="false" customHeight="false" outlineLevel="0" collapsed="false">
      <c r="A30" s="6" t="s">
        <v>414</v>
      </c>
      <c r="B30" s="6" t="s">
        <v>415</v>
      </c>
      <c r="C30" s="6" t="s">
        <v>401</v>
      </c>
      <c r="D30" s="6" t="s">
        <v>267</v>
      </c>
      <c r="E30" s="6" t="n">
        <v>0.45</v>
      </c>
      <c r="F30" s="6" t="n">
        <v>2</v>
      </c>
      <c r="G30" s="6" t="s">
        <v>268</v>
      </c>
      <c r="H30" s="6" t="s">
        <v>269</v>
      </c>
      <c r="I30" s="6" t="s">
        <v>416</v>
      </c>
      <c r="J30" s="6" t="s">
        <v>417</v>
      </c>
      <c r="K30" s="6" t="s">
        <v>418</v>
      </c>
      <c r="L30" s="6" t="s">
        <v>419</v>
      </c>
      <c r="M30" s="6"/>
      <c r="N30" s="6"/>
      <c r="O30" s="15"/>
    </row>
    <row r="31" customFormat="false" ht="15" hidden="false" customHeight="false" outlineLevel="0" collapsed="false">
      <c r="A31" s="6" t="s">
        <v>420</v>
      </c>
      <c r="B31" s="6" t="s">
        <v>421</v>
      </c>
      <c r="C31" s="6" t="s">
        <v>401</v>
      </c>
      <c r="D31" s="6" t="s">
        <v>306</v>
      </c>
      <c r="E31" s="6" t="n">
        <v>0.2</v>
      </c>
      <c r="F31" s="6" t="n">
        <v>1.5</v>
      </c>
      <c r="G31" s="6" t="s">
        <v>284</v>
      </c>
      <c r="H31" s="6" t="s">
        <v>269</v>
      </c>
      <c r="I31" s="6" t="s">
        <v>422</v>
      </c>
      <c r="J31" s="6" t="s">
        <v>423</v>
      </c>
      <c r="K31" s="6"/>
      <c r="L31" s="6"/>
      <c r="M31" s="6"/>
      <c r="N31" s="6"/>
      <c r="O31" s="15"/>
    </row>
    <row r="32" customFormat="false" ht="23.85" hidden="false" customHeight="false" outlineLevel="0" collapsed="false">
      <c r="A32" s="6" t="s">
        <v>424</v>
      </c>
      <c r="B32" s="6" t="s">
        <v>425</v>
      </c>
      <c r="C32" s="6" t="s">
        <v>401</v>
      </c>
      <c r="D32" s="6" t="s">
        <v>315</v>
      </c>
      <c r="E32" s="6" t="n">
        <v>1</v>
      </c>
      <c r="F32" s="6" t="n">
        <v>2</v>
      </c>
      <c r="G32" s="6" t="s">
        <v>268</v>
      </c>
      <c r="H32" s="6" t="s">
        <v>269</v>
      </c>
      <c r="I32" s="6" t="s">
        <v>426</v>
      </c>
      <c r="J32" s="6" t="s">
        <v>427</v>
      </c>
      <c r="K32" s="6"/>
      <c r="L32" s="6"/>
      <c r="M32" s="6"/>
      <c r="N32" s="6"/>
      <c r="O32" s="15"/>
    </row>
    <row r="33" customFormat="false" ht="23.85" hidden="false" customHeight="false" outlineLevel="0" collapsed="false">
      <c r="A33" s="6" t="s">
        <v>428</v>
      </c>
      <c r="B33" s="6" t="s">
        <v>429</v>
      </c>
      <c r="C33" s="6" t="s">
        <v>401</v>
      </c>
      <c r="D33" s="6" t="s">
        <v>276</v>
      </c>
      <c r="E33" s="6" t="n">
        <v>0.7</v>
      </c>
      <c r="F33" s="6" t="n">
        <v>2</v>
      </c>
      <c r="G33" s="6" t="s">
        <v>284</v>
      </c>
      <c r="H33" s="6" t="s">
        <v>269</v>
      </c>
      <c r="I33" s="6" t="s">
        <v>430</v>
      </c>
      <c r="J33" s="6" t="s">
        <v>431</v>
      </c>
      <c r="K33" s="6"/>
      <c r="L33" s="6"/>
      <c r="M33" s="6"/>
      <c r="N33" s="6"/>
      <c r="O33" s="15"/>
    </row>
    <row r="34" customFormat="false" ht="23.85" hidden="false" customHeight="false" outlineLevel="0" collapsed="false">
      <c r="A34" s="6" t="s">
        <v>432</v>
      </c>
      <c r="B34" s="6" t="s">
        <v>433</v>
      </c>
      <c r="C34" s="6" t="s">
        <v>401</v>
      </c>
      <c r="D34" s="6" t="s">
        <v>306</v>
      </c>
      <c r="E34" s="6" t="n">
        <v>0.2</v>
      </c>
      <c r="F34" s="6" t="n">
        <v>2</v>
      </c>
      <c r="G34" s="6" t="s">
        <v>292</v>
      </c>
      <c r="H34" s="6" t="s">
        <v>269</v>
      </c>
      <c r="I34" s="6" t="s">
        <v>434</v>
      </c>
      <c r="J34" s="6" t="s">
        <v>435</v>
      </c>
      <c r="K34" s="6"/>
      <c r="L34" s="6"/>
      <c r="M34" s="6"/>
      <c r="N34" s="6"/>
      <c r="O34" s="15"/>
    </row>
    <row r="35" customFormat="false" ht="23.85" hidden="false" customHeight="false" outlineLevel="0" collapsed="false">
      <c r="A35" s="6" t="s">
        <v>436</v>
      </c>
      <c r="B35" s="6" t="s">
        <v>437</v>
      </c>
      <c r="C35" s="6" t="s">
        <v>401</v>
      </c>
      <c r="D35" s="6" t="s">
        <v>276</v>
      </c>
      <c r="E35" s="6" t="n">
        <v>0.7</v>
      </c>
      <c r="F35" s="6" t="n">
        <v>1.5</v>
      </c>
      <c r="G35" s="6" t="s">
        <v>292</v>
      </c>
      <c r="H35" s="6" t="s">
        <v>293</v>
      </c>
      <c r="I35" s="6" t="s">
        <v>438</v>
      </c>
      <c r="J35" s="6" t="s">
        <v>439</v>
      </c>
      <c r="K35" s="6"/>
      <c r="L35" s="6"/>
      <c r="M35" s="6"/>
      <c r="N35" s="6"/>
      <c r="O35"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44"/>
    <col collapsed="false" customWidth="true" hidden="false" outlineLevel="0" max="4" min="4" style="0" width="60"/>
    <col collapsed="false" customWidth="true" hidden="false" outlineLevel="0" max="5" min="5" style="0" width="12"/>
    <col collapsed="false" customWidth="true" hidden="false" outlineLevel="0" max="6" min="6" style="0" width="26"/>
  </cols>
  <sheetData>
    <row r="1" customFormat="false" ht="17.35" hidden="false" customHeight="false" outlineLevel="0" collapsed="false">
      <c r="A1" s="1" t="s">
        <v>440</v>
      </c>
    </row>
    <row r="2" customFormat="false" ht="15" hidden="false" customHeight="false" outlineLevel="0" collapsed="false">
      <c r="A2" s="2" t="s">
        <v>441</v>
      </c>
    </row>
    <row r="4" customFormat="false" ht="15" hidden="false" customHeight="false" outlineLevel="0" collapsed="false">
      <c r="A4" s="5" t="s">
        <v>249</v>
      </c>
      <c r="B4" s="5" t="s">
        <v>442</v>
      </c>
      <c r="C4" s="5" t="s">
        <v>257</v>
      </c>
      <c r="D4" s="5" t="s">
        <v>258</v>
      </c>
      <c r="E4" s="5" t="s">
        <v>443</v>
      </c>
      <c r="F4" s="5" t="s">
        <v>263</v>
      </c>
    </row>
    <row r="5" customFormat="false" ht="23.85" hidden="false" customHeight="false" outlineLevel="0" collapsed="false">
      <c r="A5" s="6" t="s">
        <v>444</v>
      </c>
      <c r="B5" s="6" t="s">
        <v>445</v>
      </c>
      <c r="C5" s="6" t="s">
        <v>446</v>
      </c>
      <c r="D5" s="6" t="s">
        <v>447</v>
      </c>
      <c r="E5" s="6" t="n">
        <v>1</v>
      </c>
      <c r="F5" s="15"/>
    </row>
    <row r="6" customFormat="false" ht="15" hidden="false" customHeight="false" outlineLevel="0" collapsed="false">
      <c r="A6" s="6" t="s">
        <v>448</v>
      </c>
      <c r="B6" s="6" t="s">
        <v>449</v>
      </c>
      <c r="C6" s="6" t="s">
        <v>450</v>
      </c>
      <c r="D6" s="6" t="s">
        <v>451</v>
      </c>
      <c r="E6" s="6" t="n">
        <v>1.5</v>
      </c>
      <c r="F6" s="15"/>
    </row>
    <row r="7" customFormat="false" ht="15" hidden="false" customHeight="false" outlineLevel="0" collapsed="false">
      <c r="A7" s="6" t="s">
        <v>452</v>
      </c>
      <c r="B7" s="6" t="s">
        <v>453</v>
      </c>
      <c r="C7" s="6" t="s">
        <v>454</v>
      </c>
      <c r="D7" s="6" t="s">
        <v>452</v>
      </c>
      <c r="E7" s="6" t="n">
        <v>1.5</v>
      </c>
      <c r="F7" s="15"/>
    </row>
    <row r="8" customFormat="false" ht="15" hidden="false" customHeight="false" outlineLevel="0" collapsed="false">
      <c r="A8" s="6" t="s">
        <v>455</v>
      </c>
      <c r="B8" s="6" t="s">
        <v>456</v>
      </c>
      <c r="C8" s="6" t="s">
        <v>457</v>
      </c>
      <c r="D8" s="6" t="s">
        <v>458</v>
      </c>
      <c r="E8" s="6" t="n">
        <v>1.5</v>
      </c>
      <c r="F8" s="15"/>
    </row>
    <row r="9" customFormat="false" ht="15" hidden="false" customHeight="false" outlineLevel="0" collapsed="false">
      <c r="A9" s="6" t="s">
        <v>459</v>
      </c>
      <c r="B9" s="6" t="s">
        <v>460</v>
      </c>
      <c r="C9" s="6" t="s">
        <v>461</v>
      </c>
      <c r="D9" s="6" t="s">
        <v>462</v>
      </c>
      <c r="E9" s="6" t="n">
        <v>0.8</v>
      </c>
      <c r="F9" s="15"/>
    </row>
    <row r="10" customFormat="false" ht="23.85" hidden="false" customHeight="false" outlineLevel="0" collapsed="false">
      <c r="A10" s="6" t="s">
        <v>463</v>
      </c>
      <c r="B10" s="6" t="s">
        <v>464</v>
      </c>
      <c r="C10" s="6" t="s">
        <v>465</v>
      </c>
      <c r="D10" s="6" t="s">
        <v>466</v>
      </c>
      <c r="E10" s="6" t="n">
        <v>0.6</v>
      </c>
      <c r="F10" s="15"/>
    </row>
    <row r="11" customFormat="false" ht="23.85" hidden="false" customHeight="false" outlineLevel="0" collapsed="false">
      <c r="A11" s="6" t="s">
        <v>467</v>
      </c>
      <c r="B11" s="6" t="s">
        <v>468</v>
      </c>
      <c r="C11" s="6" t="s">
        <v>469</v>
      </c>
      <c r="D11" s="6" t="s">
        <v>470</v>
      </c>
      <c r="E11" s="6" t="n">
        <v>1.2</v>
      </c>
      <c r="F11" s="15"/>
    </row>
    <row r="12" customFormat="false" ht="23.85" hidden="false" customHeight="false" outlineLevel="0" collapsed="false">
      <c r="A12" s="6" t="s">
        <v>471</v>
      </c>
      <c r="B12" s="6" t="s">
        <v>472</v>
      </c>
      <c r="C12" s="6" t="s">
        <v>473</v>
      </c>
      <c r="D12" s="6" t="s">
        <v>474</v>
      </c>
      <c r="E12" s="6" t="n">
        <v>1</v>
      </c>
      <c r="F12"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4"/>
    <col collapsed="false" customWidth="true" hidden="false" outlineLevel="0" max="4" min="4" style="0" width="30"/>
    <col collapsed="false" customWidth="true" hidden="false" outlineLevel="0" max="5" min="5" style="0" width="12"/>
    <col collapsed="false" customWidth="true" hidden="false" outlineLevel="0" max="6" min="6" style="0" width="26"/>
  </cols>
  <sheetData>
    <row r="1" customFormat="false" ht="17.35" hidden="false" customHeight="false" outlineLevel="0" collapsed="false">
      <c r="A1" s="1" t="s">
        <v>475</v>
      </c>
    </row>
    <row r="2" customFormat="false" ht="15" hidden="false" customHeight="false" outlineLevel="0" collapsed="false">
      <c r="A2" s="2" t="s">
        <v>476</v>
      </c>
    </row>
    <row r="4" customFormat="false" ht="15" hidden="false" customHeight="false" outlineLevel="0" collapsed="false">
      <c r="A4" s="5" t="s">
        <v>477</v>
      </c>
      <c r="B4" s="5" t="s">
        <v>478</v>
      </c>
      <c r="C4" s="5" t="s">
        <v>479</v>
      </c>
      <c r="D4" s="5" t="s">
        <v>480</v>
      </c>
      <c r="E4" s="5" t="s">
        <v>481</v>
      </c>
      <c r="F4" s="5" t="s">
        <v>263</v>
      </c>
    </row>
    <row r="5" customFormat="false" ht="15" hidden="false" customHeight="false" outlineLevel="0" collapsed="false">
      <c r="A5" s="6" t="s">
        <v>444</v>
      </c>
      <c r="B5" s="6" t="s">
        <v>445</v>
      </c>
      <c r="C5" s="6" t="s">
        <v>372</v>
      </c>
      <c r="D5" s="6" t="s">
        <v>373</v>
      </c>
      <c r="E5" s="6" t="n">
        <v>0.8</v>
      </c>
      <c r="F5" s="15"/>
    </row>
    <row r="6" customFormat="false" ht="15" hidden="false" customHeight="false" outlineLevel="0" collapsed="false">
      <c r="A6" s="6" t="s">
        <v>444</v>
      </c>
      <c r="B6" s="6" t="s">
        <v>445</v>
      </c>
      <c r="C6" s="6" t="s">
        <v>428</v>
      </c>
      <c r="D6" s="6" t="s">
        <v>429</v>
      </c>
      <c r="E6" s="6" t="n">
        <v>0.8</v>
      </c>
      <c r="F6" s="15"/>
    </row>
    <row r="7" customFormat="false" ht="15" hidden="false" customHeight="false" outlineLevel="0" collapsed="false">
      <c r="A7" s="6" t="s">
        <v>444</v>
      </c>
      <c r="B7" s="6" t="s">
        <v>445</v>
      </c>
      <c r="C7" s="6" t="s">
        <v>414</v>
      </c>
      <c r="D7" s="6" t="s">
        <v>415</v>
      </c>
      <c r="E7" s="6" t="n">
        <v>0.7</v>
      </c>
      <c r="F7" s="15"/>
    </row>
    <row r="8" customFormat="false" ht="15" hidden="false" customHeight="false" outlineLevel="0" collapsed="false">
      <c r="A8" s="6" t="s">
        <v>444</v>
      </c>
      <c r="B8" s="6" t="s">
        <v>445</v>
      </c>
      <c r="C8" s="6" t="s">
        <v>304</v>
      </c>
      <c r="D8" s="6" t="s">
        <v>305</v>
      </c>
      <c r="E8" s="6" t="n">
        <v>0.7</v>
      </c>
      <c r="F8" s="15"/>
    </row>
    <row r="9" customFormat="false" ht="15" hidden="false" customHeight="false" outlineLevel="0" collapsed="false">
      <c r="A9" s="6" t="s">
        <v>444</v>
      </c>
      <c r="B9" s="6" t="s">
        <v>445</v>
      </c>
      <c r="C9" s="6" t="s">
        <v>282</v>
      </c>
      <c r="D9" s="6" t="s">
        <v>283</v>
      </c>
      <c r="E9" s="6" t="n">
        <v>0.6</v>
      </c>
      <c r="F9" s="15"/>
    </row>
    <row r="10" customFormat="false" ht="15" hidden="false" customHeight="false" outlineLevel="0" collapsed="false">
      <c r="A10" s="6" t="s">
        <v>444</v>
      </c>
      <c r="B10" s="6" t="s">
        <v>445</v>
      </c>
      <c r="C10" s="6" t="s">
        <v>312</v>
      </c>
      <c r="D10" s="6" t="s">
        <v>313</v>
      </c>
      <c r="E10" s="6" t="n">
        <v>0.6</v>
      </c>
      <c r="F10" s="15"/>
    </row>
    <row r="11" customFormat="false" ht="15" hidden="false" customHeight="false" outlineLevel="0" collapsed="false">
      <c r="A11" s="6" t="s">
        <v>444</v>
      </c>
      <c r="B11" s="6" t="s">
        <v>445</v>
      </c>
      <c r="C11" s="6" t="s">
        <v>424</v>
      </c>
      <c r="D11" s="6" t="s">
        <v>425</v>
      </c>
      <c r="E11" s="6" t="n">
        <v>0.6</v>
      </c>
      <c r="F11" s="15"/>
    </row>
    <row r="12" customFormat="false" ht="15" hidden="false" customHeight="false" outlineLevel="0" collapsed="false">
      <c r="A12" s="6" t="s">
        <v>444</v>
      </c>
      <c r="B12" s="6" t="s">
        <v>445</v>
      </c>
      <c r="C12" s="6" t="s">
        <v>296</v>
      </c>
      <c r="D12" s="6" t="s">
        <v>297</v>
      </c>
      <c r="E12" s="6" t="n">
        <v>0.5</v>
      </c>
      <c r="F12" s="15"/>
    </row>
    <row r="13" customFormat="false" ht="15" hidden="false" customHeight="false" outlineLevel="0" collapsed="false">
      <c r="A13" s="6" t="s">
        <v>444</v>
      </c>
      <c r="B13" s="6" t="s">
        <v>445</v>
      </c>
      <c r="C13" s="6" t="s">
        <v>264</v>
      </c>
      <c r="D13" s="6" t="s">
        <v>265</v>
      </c>
      <c r="E13" s="6" t="n">
        <v>0.4</v>
      </c>
      <c r="F13" s="15"/>
    </row>
    <row r="14" customFormat="false" ht="15" hidden="false" customHeight="false" outlineLevel="0" collapsed="false">
      <c r="A14" s="6" t="s">
        <v>444</v>
      </c>
      <c r="B14" s="6" t="s">
        <v>445</v>
      </c>
      <c r="C14" s="6" t="s">
        <v>380</v>
      </c>
      <c r="D14" s="6" t="s">
        <v>381</v>
      </c>
      <c r="E14" s="6" t="n">
        <v>0.4</v>
      </c>
      <c r="F14" s="15"/>
    </row>
    <row r="15" customFormat="false" ht="15" hidden="false" customHeight="false" outlineLevel="0" collapsed="false">
      <c r="A15" s="6" t="s">
        <v>448</v>
      </c>
      <c r="B15" s="6" t="s">
        <v>449</v>
      </c>
      <c r="C15" s="6" t="s">
        <v>264</v>
      </c>
      <c r="D15" s="6" t="s">
        <v>265</v>
      </c>
      <c r="E15" s="6" t="n">
        <v>0.8</v>
      </c>
      <c r="F15" s="15"/>
    </row>
    <row r="16" customFormat="false" ht="15" hidden="false" customHeight="false" outlineLevel="0" collapsed="false">
      <c r="A16" s="6" t="s">
        <v>448</v>
      </c>
      <c r="B16" s="6" t="s">
        <v>449</v>
      </c>
      <c r="C16" s="6" t="s">
        <v>304</v>
      </c>
      <c r="D16" s="6" t="s">
        <v>305</v>
      </c>
      <c r="E16" s="6" t="n">
        <v>0.8</v>
      </c>
      <c r="F16" s="15"/>
    </row>
    <row r="17" customFormat="false" ht="15" hidden="false" customHeight="false" outlineLevel="0" collapsed="false">
      <c r="A17" s="6" t="s">
        <v>448</v>
      </c>
      <c r="B17" s="6" t="s">
        <v>449</v>
      </c>
      <c r="C17" s="6" t="s">
        <v>414</v>
      </c>
      <c r="D17" s="6" t="s">
        <v>415</v>
      </c>
      <c r="E17" s="6" t="n">
        <v>0.8</v>
      </c>
      <c r="F17" s="15"/>
    </row>
    <row r="18" customFormat="false" ht="15" hidden="false" customHeight="false" outlineLevel="0" collapsed="false">
      <c r="A18" s="6" t="s">
        <v>448</v>
      </c>
      <c r="B18" s="6" t="s">
        <v>449</v>
      </c>
      <c r="C18" s="6" t="s">
        <v>282</v>
      </c>
      <c r="D18" s="6" t="s">
        <v>283</v>
      </c>
      <c r="E18" s="6" t="n">
        <v>0.7</v>
      </c>
      <c r="F18" s="15"/>
    </row>
    <row r="19" customFormat="false" ht="15" hidden="false" customHeight="false" outlineLevel="0" collapsed="false">
      <c r="A19" s="6" t="s">
        <v>448</v>
      </c>
      <c r="B19" s="6" t="s">
        <v>449</v>
      </c>
      <c r="C19" s="6" t="s">
        <v>372</v>
      </c>
      <c r="D19" s="6" t="s">
        <v>373</v>
      </c>
      <c r="E19" s="6" t="n">
        <v>0.6</v>
      </c>
      <c r="F19" s="15"/>
    </row>
    <row r="20" customFormat="false" ht="15" hidden="false" customHeight="false" outlineLevel="0" collapsed="false">
      <c r="A20" s="6" t="s">
        <v>448</v>
      </c>
      <c r="B20" s="6" t="s">
        <v>449</v>
      </c>
      <c r="C20" s="6" t="s">
        <v>407</v>
      </c>
      <c r="D20" s="6" t="s">
        <v>408</v>
      </c>
      <c r="E20" s="6" t="n">
        <v>0.6</v>
      </c>
      <c r="F20" s="15"/>
    </row>
    <row r="21" customFormat="false" ht="15" hidden="false" customHeight="false" outlineLevel="0" collapsed="false">
      <c r="A21" s="6" t="s">
        <v>448</v>
      </c>
      <c r="B21" s="6" t="s">
        <v>449</v>
      </c>
      <c r="C21" s="6" t="s">
        <v>312</v>
      </c>
      <c r="D21" s="6" t="s">
        <v>313</v>
      </c>
      <c r="E21" s="6" t="n">
        <v>0.6</v>
      </c>
      <c r="F21" s="15"/>
    </row>
    <row r="22" customFormat="false" ht="15" hidden="false" customHeight="false" outlineLevel="0" collapsed="false">
      <c r="A22" s="6" t="s">
        <v>448</v>
      </c>
      <c r="B22" s="6" t="s">
        <v>449</v>
      </c>
      <c r="C22" s="6" t="s">
        <v>356</v>
      </c>
      <c r="D22" s="6" t="s">
        <v>357</v>
      </c>
      <c r="E22" s="6" t="n">
        <v>0.5</v>
      </c>
      <c r="F22" s="15"/>
    </row>
    <row r="23" customFormat="false" ht="15" hidden="false" customHeight="false" outlineLevel="0" collapsed="false">
      <c r="A23" s="6" t="s">
        <v>448</v>
      </c>
      <c r="B23" s="6" t="s">
        <v>449</v>
      </c>
      <c r="C23" s="6" t="s">
        <v>343</v>
      </c>
      <c r="D23" s="6" t="s">
        <v>344</v>
      </c>
      <c r="E23" s="6" t="n">
        <v>0.5</v>
      </c>
      <c r="F23" s="15"/>
    </row>
    <row r="24" customFormat="false" ht="15" hidden="false" customHeight="false" outlineLevel="0" collapsed="false">
      <c r="A24" s="6" t="s">
        <v>448</v>
      </c>
      <c r="B24" s="6" t="s">
        <v>449</v>
      </c>
      <c r="C24" s="6" t="s">
        <v>274</v>
      </c>
      <c r="D24" s="6" t="s">
        <v>275</v>
      </c>
      <c r="E24" s="6" t="n">
        <v>0.5</v>
      </c>
      <c r="F24" s="15"/>
    </row>
    <row r="25" customFormat="false" ht="15" hidden="false" customHeight="false" outlineLevel="0" collapsed="false">
      <c r="A25" s="6" t="s">
        <v>448</v>
      </c>
      <c r="B25" s="6" t="s">
        <v>449</v>
      </c>
      <c r="C25" s="6" t="s">
        <v>399</v>
      </c>
      <c r="D25" s="6" t="s">
        <v>400</v>
      </c>
      <c r="E25" s="6" t="n">
        <v>0.4</v>
      </c>
      <c r="F25" s="15"/>
    </row>
    <row r="26" customFormat="false" ht="15" hidden="false" customHeight="false" outlineLevel="0" collapsed="false">
      <c r="A26" s="6" t="s">
        <v>448</v>
      </c>
      <c r="B26" s="6" t="s">
        <v>449</v>
      </c>
      <c r="C26" s="6" t="s">
        <v>432</v>
      </c>
      <c r="D26" s="6" t="s">
        <v>433</v>
      </c>
      <c r="E26" s="6" t="n">
        <v>0.3</v>
      </c>
      <c r="F26" s="15"/>
    </row>
    <row r="27" customFormat="false" ht="15" hidden="false" customHeight="false" outlineLevel="0" collapsed="false">
      <c r="A27" s="6" t="s">
        <v>452</v>
      </c>
      <c r="B27" s="6" t="s">
        <v>453</v>
      </c>
      <c r="C27" s="6" t="s">
        <v>326</v>
      </c>
      <c r="D27" s="6" t="s">
        <v>327</v>
      </c>
      <c r="E27" s="6" t="n">
        <v>1</v>
      </c>
      <c r="F27" s="15"/>
    </row>
    <row r="28" customFormat="false" ht="15" hidden="false" customHeight="false" outlineLevel="0" collapsed="false">
      <c r="A28" s="6" t="s">
        <v>452</v>
      </c>
      <c r="B28" s="6" t="s">
        <v>453</v>
      </c>
      <c r="C28" s="6" t="s">
        <v>264</v>
      </c>
      <c r="D28" s="6" t="s">
        <v>265</v>
      </c>
      <c r="E28" s="6" t="n">
        <v>0.6</v>
      </c>
      <c r="F28" s="15"/>
    </row>
    <row r="29" customFormat="false" ht="15" hidden="false" customHeight="false" outlineLevel="0" collapsed="false">
      <c r="A29" s="6" t="s">
        <v>452</v>
      </c>
      <c r="B29" s="6" t="s">
        <v>453</v>
      </c>
      <c r="C29" s="6" t="s">
        <v>274</v>
      </c>
      <c r="D29" s="6" t="s">
        <v>275</v>
      </c>
      <c r="E29" s="6" t="n">
        <v>0.5</v>
      </c>
      <c r="F29" s="15"/>
    </row>
    <row r="30" customFormat="false" ht="15" hidden="false" customHeight="false" outlineLevel="0" collapsed="false">
      <c r="A30" s="6" t="s">
        <v>452</v>
      </c>
      <c r="B30" s="6" t="s">
        <v>453</v>
      </c>
      <c r="C30" s="6" t="s">
        <v>312</v>
      </c>
      <c r="D30" s="6" t="s">
        <v>313</v>
      </c>
      <c r="E30" s="6" t="n">
        <v>0.5</v>
      </c>
      <c r="F30" s="15"/>
    </row>
    <row r="31" customFormat="false" ht="15" hidden="false" customHeight="false" outlineLevel="0" collapsed="false">
      <c r="A31" s="6" t="s">
        <v>452</v>
      </c>
      <c r="B31" s="6" t="s">
        <v>453</v>
      </c>
      <c r="C31" s="6" t="s">
        <v>384</v>
      </c>
      <c r="D31" s="6" t="s">
        <v>385</v>
      </c>
      <c r="E31" s="6" t="n">
        <v>0.5</v>
      </c>
      <c r="F31" s="15"/>
    </row>
    <row r="32" customFormat="false" ht="15" hidden="false" customHeight="false" outlineLevel="0" collapsed="false">
      <c r="A32" s="6" t="s">
        <v>452</v>
      </c>
      <c r="B32" s="6" t="s">
        <v>453</v>
      </c>
      <c r="C32" s="6" t="s">
        <v>432</v>
      </c>
      <c r="D32" s="6" t="s">
        <v>433</v>
      </c>
      <c r="E32" s="6" t="n">
        <v>0.5</v>
      </c>
      <c r="F32" s="15"/>
    </row>
    <row r="33" customFormat="false" ht="15" hidden="false" customHeight="false" outlineLevel="0" collapsed="false">
      <c r="A33" s="6" t="s">
        <v>452</v>
      </c>
      <c r="B33" s="6" t="s">
        <v>453</v>
      </c>
      <c r="C33" s="6" t="s">
        <v>282</v>
      </c>
      <c r="D33" s="6" t="s">
        <v>283</v>
      </c>
      <c r="E33" s="6" t="n">
        <v>0.4</v>
      </c>
      <c r="F33" s="15"/>
    </row>
    <row r="34" customFormat="false" ht="15" hidden="false" customHeight="false" outlineLevel="0" collapsed="false">
      <c r="A34" s="6" t="s">
        <v>452</v>
      </c>
      <c r="B34" s="6" t="s">
        <v>453</v>
      </c>
      <c r="C34" s="6" t="s">
        <v>296</v>
      </c>
      <c r="D34" s="6" t="s">
        <v>297</v>
      </c>
      <c r="E34" s="6" t="n">
        <v>0.4</v>
      </c>
      <c r="F34" s="15"/>
    </row>
    <row r="35" customFormat="false" ht="15" hidden="false" customHeight="false" outlineLevel="0" collapsed="false">
      <c r="A35" s="6" t="s">
        <v>452</v>
      </c>
      <c r="B35" s="6" t="s">
        <v>453</v>
      </c>
      <c r="C35" s="6" t="s">
        <v>331</v>
      </c>
      <c r="D35" s="6" t="s">
        <v>332</v>
      </c>
      <c r="E35" s="6" t="n">
        <v>0.4</v>
      </c>
      <c r="F35" s="15"/>
    </row>
    <row r="36" customFormat="false" ht="15" hidden="false" customHeight="false" outlineLevel="0" collapsed="false">
      <c r="A36" s="6" t="s">
        <v>452</v>
      </c>
      <c r="B36" s="6" t="s">
        <v>453</v>
      </c>
      <c r="C36" s="6" t="s">
        <v>339</v>
      </c>
      <c r="D36" s="6" t="s">
        <v>340</v>
      </c>
      <c r="E36" s="6" t="n">
        <v>0.3</v>
      </c>
      <c r="F36" s="15"/>
    </row>
    <row r="37" customFormat="false" ht="15" hidden="false" customHeight="false" outlineLevel="0" collapsed="false">
      <c r="A37" s="6" t="s">
        <v>452</v>
      </c>
      <c r="B37" s="6" t="s">
        <v>453</v>
      </c>
      <c r="C37" s="6" t="s">
        <v>335</v>
      </c>
      <c r="D37" s="6" t="s">
        <v>336</v>
      </c>
      <c r="E37" s="6" t="n">
        <v>0.3</v>
      </c>
      <c r="F37" s="15"/>
    </row>
    <row r="38" customFormat="false" ht="15" hidden="false" customHeight="false" outlineLevel="0" collapsed="false">
      <c r="A38" s="6" t="s">
        <v>452</v>
      </c>
      <c r="B38" s="6" t="s">
        <v>453</v>
      </c>
      <c r="C38" s="6" t="s">
        <v>407</v>
      </c>
      <c r="D38" s="6" t="s">
        <v>408</v>
      </c>
      <c r="E38" s="6" t="n">
        <v>0.3</v>
      </c>
      <c r="F38" s="15"/>
    </row>
    <row r="39" customFormat="false" ht="15" hidden="false" customHeight="false" outlineLevel="0" collapsed="false">
      <c r="A39" s="6" t="s">
        <v>455</v>
      </c>
      <c r="B39" s="6" t="s">
        <v>456</v>
      </c>
      <c r="C39" s="6" t="s">
        <v>274</v>
      </c>
      <c r="D39" s="6" t="s">
        <v>275</v>
      </c>
      <c r="E39" s="6" t="n">
        <v>0.6</v>
      </c>
      <c r="F39" s="15"/>
    </row>
    <row r="40" customFormat="false" ht="15" hidden="false" customHeight="false" outlineLevel="0" collapsed="false">
      <c r="A40" s="6" t="s">
        <v>455</v>
      </c>
      <c r="B40" s="6" t="s">
        <v>456</v>
      </c>
      <c r="C40" s="6" t="s">
        <v>264</v>
      </c>
      <c r="D40" s="6" t="s">
        <v>265</v>
      </c>
      <c r="E40" s="6" t="n">
        <v>0.5</v>
      </c>
      <c r="F40" s="15"/>
    </row>
    <row r="41" customFormat="false" ht="15" hidden="false" customHeight="false" outlineLevel="0" collapsed="false">
      <c r="A41" s="6" t="s">
        <v>455</v>
      </c>
      <c r="B41" s="6" t="s">
        <v>456</v>
      </c>
      <c r="C41" s="6" t="s">
        <v>282</v>
      </c>
      <c r="D41" s="6" t="s">
        <v>283</v>
      </c>
      <c r="E41" s="6" t="n">
        <v>0.5</v>
      </c>
      <c r="F41" s="15"/>
    </row>
    <row r="42" customFormat="false" ht="15" hidden="false" customHeight="false" outlineLevel="0" collapsed="false">
      <c r="A42" s="6" t="s">
        <v>455</v>
      </c>
      <c r="B42" s="6" t="s">
        <v>456</v>
      </c>
      <c r="C42" s="6" t="s">
        <v>304</v>
      </c>
      <c r="D42" s="6" t="s">
        <v>305</v>
      </c>
      <c r="E42" s="6" t="n">
        <v>0.5</v>
      </c>
      <c r="F42" s="15"/>
    </row>
    <row r="43" customFormat="false" ht="15" hidden="false" customHeight="false" outlineLevel="0" collapsed="false">
      <c r="A43" s="6" t="s">
        <v>455</v>
      </c>
      <c r="B43" s="6" t="s">
        <v>456</v>
      </c>
      <c r="C43" s="6" t="s">
        <v>399</v>
      </c>
      <c r="D43" s="6" t="s">
        <v>400</v>
      </c>
      <c r="E43" s="6" t="n">
        <v>0.4</v>
      </c>
      <c r="F43" s="15"/>
    </row>
    <row r="44" customFormat="false" ht="15" hidden="false" customHeight="false" outlineLevel="0" collapsed="false">
      <c r="A44" s="6" t="s">
        <v>455</v>
      </c>
      <c r="B44" s="6" t="s">
        <v>456</v>
      </c>
      <c r="C44" s="6" t="s">
        <v>356</v>
      </c>
      <c r="D44" s="6" t="s">
        <v>357</v>
      </c>
      <c r="E44" s="6" t="n">
        <v>0.4</v>
      </c>
      <c r="F44" s="15"/>
    </row>
    <row r="45" customFormat="false" ht="15" hidden="false" customHeight="false" outlineLevel="0" collapsed="false">
      <c r="A45" s="6" t="s">
        <v>455</v>
      </c>
      <c r="B45" s="6" t="s">
        <v>456</v>
      </c>
      <c r="C45" s="6" t="s">
        <v>339</v>
      </c>
      <c r="D45" s="6" t="s">
        <v>340</v>
      </c>
      <c r="E45" s="6" t="n">
        <v>0.3</v>
      </c>
      <c r="F45" s="15"/>
    </row>
    <row r="46" customFormat="false" ht="15" hidden="false" customHeight="false" outlineLevel="0" collapsed="false">
      <c r="A46" s="6" t="s">
        <v>455</v>
      </c>
      <c r="B46" s="6" t="s">
        <v>456</v>
      </c>
      <c r="C46" s="6" t="s">
        <v>343</v>
      </c>
      <c r="D46" s="6" t="s">
        <v>344</v>
      </c>
      <c r="E46" s="6" t="n">
        <v>0.3</v>
      </c>
      <c r="F46" s="15"/>
    </row>
    <row r="47" customFormat="false" ht="15" hidden="false" customHeight="false" outlineLevel="0" collapsed="false">
      <c r="A47" s="6" t="s">
        <v>459</v>
      </c>
      <c r="B47" s="6" t="s">
        <v>460</v>
      </c>
      <c r="C47" s="6" t="s">
        <v>414</v>
      </c>
      <c r="D47" s="6" t="s">
        <v>415</v>
      </c>
      <c r="E47" s="6" t="n">
        <v>0.8</v>
      </c>
      <c r="F47" s="15"/>
    </row>
    <row r="48" customFormat="false" ht="15" hidden="false" customHeight="false" outlineLevel="0" collapsed="false">
      <c r="A48" s="6" t="s">
        <v>459</v>
      </c>
      <c r="B48" s="6" t="s">
        <v>460</v>
      </c>
      <c r="C48" s="6" t="s">
        <v>264</v>
      </c>
      <c r="D48" s="6" t="s">
        <v>265</v>
      </c>
      <c r="E48" s="6" t="n">
        <v>0.6</v>
      </c>
      <c r="F48" s="15"/>
    </row>
    <row r="49" customFormat="false" ht="15" hidden="false" customHeight="false" outlineLevel="0" collapsed="false">
      <c r="A49" s="6" t="s">
        <v>459</v>
      </c>
      <c r="B49" s="6" t="s">
        <v>460</v>
      </c>
      <c r="C49" s="6" t="s">
        <v>274</v>
      </c>
      <c r="D49" s="6" t="s">
        <v>275</v>
      </c>
      <c r="E49" s="6" t="n">
        <v>0.6</v>
      </c>
      <c r="F49" s="15"/>
    </row>
    <row r="50" customFormat="false" ht="15" hidden="false" customHeight="false" outlineLevel="0" collapsed="false">
      <c r="A50" s="6" t="s">
        <v>459</v>
      </c>
      <c r="B50" s="6" t="s">
        <v>460</v>
      </c>
      <c r="C50" s="6" t="s">
        <v>436</v>
      </c>
      <c r="D50" s="6" t="s">
        <v>437</v>
      </c>
      <c r="E50" s="6" t="n">
        <v>0.6</v>
      </c>
      <c r="F50" s="15"/>
    </row>
    <row r="51" customFormat="false" ht="15" hidden="false" customHeight="false" outlineLevel="0" collapsed="false">
      <c r="A51" s="6" t="s">
        <v>459</v>
      </c>
      <c r="B51" s="6" t="s">
        <v>460</v>
      </c>
      <c r="C51" s="6" t="s">
        <v>372</v>
      </c>
      <c r="D51" s="6" t="s">
        <v>373</v>
      </c>
      <c r="E51" s="6" t="n">
        <v>0.5</v>
      </c>
      <c r="F51" s="15"/>
    </row>
    <row r="52" customFormat="false" ht="15" hidden="false" customHeight="false" outlineLevel="0" collapsed="false">
      <c r="A52" s="6" t="s">
        <v>459</v>
      </c>
      <c r="B52" s="6" t="s">
        <v>460</v>
      </c>
      <c r="C52" s="6" t="s">
        <v>282</v>
      </c>
      <c r="D52" s="6" t="s">
        <v>283</v>
      </c>
      <c r="E52" s="6" t="n">
        <v>0.5</v>
      </c>
      <c r="F52" s="15"/>
    </row>
    <row r="53" customFormat="false" ht="15" hidden="false" customHeight="false" outlineLevel="0" collapsed="false">
      <c r="A53" s="6" t="s">
        <v>459</v>
      </c>
      <c r="B53" s="6" t="s">
        <v>460</v>
      </c>
      <c r="C53" s="6" t="s">
        <v>304</v>
      </c>
      <c r="D53" s="6" t="s">
        <v>305</v>
      </c>
      <c r="E53" s="6" t="n">
        <v>0.5</v>
      </c>
      <c r="F53" s="15"/>
    </row>
    <row r="54" customFormat="false" ht="15" hidden="false" customHeight="false" outlineLevel="0" collapsed="false">
      <c r="A54" s="6" t="s">
        <v>459</v>
      </c>
      <c r="B54" s="6" t="s">
        <v>460</v>
      </c>
      <c r="C54" s="6" t="s">
        <v>312</v>
      </c>
      <c r="D54" s="6" t="s">
        <v>313</v>
      </c>
      <c r="E54" s="6" t="n">
        <v>0.4</v>
      </c>
      <c r="F54" s="15"/>
    </row>
    <row r="55" customFormat="false" ht="15" hidden="false" customHeight="false" outlineLevel="0" collapsed="false">
      <c r="A55" s="6" t="s">
        <v>459</v>
      </c>
      <c r="B55" s="6" t="s">
        <v>460</v>
      </c>
      <c r="C55" s="6" t="s">
        <v>420</v>
      </c>
      <c r="D55" s="6" t="s">
        <v>421</v>
      </c>
      <c r="E55" s="6" t="n">
        <v>0.3</v>
      </c>
      <c r="F55" s="15"/>
    </row>
    <row r="56" customFormat="false" ht="15" hidden="false" customHeight="false" outlineLevel="0" collapsed="false">
      <c r="A56" s="6" t="s">
        <v>463</v>
      </c>
      <c r="B56" s="6" t="s">
        <v>464</v>
      </c>
      <c r="C56" s="6" t="s">
        <v>274</v>
      </c>
      <c r="D56" s="6" t="s">
        <v>275</v>
      </c>
      <c r="E56" s="6" t="n">
        <v>0.4</v>
      </c>
      <c r="F56" s="15"/>
    </row>
    <row r="57" customFormat="false" ht="15" hidden="false" customHeight="false" outlineLevel="0" collapsed="false">
      <c r="A57" s="6" t="s">
        <v>463</v>
      </c>
      <c r="B57" s="6" t="s">
        <v>464</v>
      </c>
      <c r="C57" s="6" t="s">
        <v>384</v>
      </c>
      <c r="D57" s="6" t="s">
        <v>385</v>
      </c>
      <c r="E57" s="6" t="n">
        <v>0.4</v>
      </c>
      <c r="F57" s="15"/>
    </row>
    <row r="58" customFormat="false" ht="15" hidden="false" customHeight="false" outlineLevel="0" collapsed="false">
      <c r="A58" s="6" t="s">
        <v>463</v>
      </c>
      <c r="B58" s="6" t="s">
        <v>464</v>
      </c>
      <c r="C58" s="6" t="s">
        <v>296</v>
      </c>
      <c r="D58" s="6" t="s">
        <v>297</v>
      </c>
      <c r="E58" s="6" t="n">
        <v>0.3</v>
      </c>
      <c r="F58" s="15"/>
    </row>
    <row r="59" customFormat="false" ht="15" hidden="false" customHeight="false" outlineLevel="0" collapsed="false">
      <c r="A59" s="6" t="s">
        <v>463</v>
      </c>
      <c r="B59" s="6" t="s">
        <v>464</v>
      </c>
      <c r="C59" s="6" t="s">
        <v>322</v>
      </c>
      <c r="D59" s="6" t="s">
        <v>323</v>
      </c>
      <c r="E59" s="6" t="n">
        <v>0.3</v>
      </c>
      <c r="F59" s="15"/>
    </row>
    <row r="60" customFormat="false" ht="15" hidden="false" customHeight="false" outlineLevel="0" collapsed="false">
      <c r="A60" s="6" t="s">
        <v>463</v>
      </c>
      <c r="B60" s="6" t="s">
        <v>464</v>
      </c>
      <c r="C60" s="6" t="s">
        <v>312</v>
      </c>
      <c r="D60" s="6" t="s">
        <v>313</v>
      </c>
      <c r="E60" s="6" t="n">
        <v>0.3</v>
      </c>
      <c r="F60" s="15"/>
    </row>
    <row r="61" customFormat="false" ht="15" hidden="false" customHeight="false" outlineLevel="0" collapsed="false">
      <c r="A61" s="6" t="s">
        <v>463</v>
      </c>
      <c r="B61" s="6" t="s">
        <v>464</v>
      </c>
      <c r="C61" s="6" t="s">
        <v>347</v>
      </c>
      <c r="D61" s="6" t="s">
        <v>348</v>
      </c>
      <c r="E61" s="6" t="n">
        <v>0.3</v>
      </c>
      <c r="F61" s="15"/>
    </row>
    <row r="62" customFormat="false" ht="15" hidden="false" customHeight="false" outlineLevel="0" collapsed="false">
      <c r="A62" s="6" t="s">
        <v>467</v>
      </c>
      <c r="B62" s="6" t="s">
        <v>468</v>
      </c>
      <c r="C62" s="6" t="s">
        <v>312</v>
      </c>
      <c r="D62" s="6" t="s">
        <v>313</v>
      </c>
      <c r="E62" s="6" t="n">
        <v>0.8</v>
      </c>
      <c r="F62" s="15"/>
    </row>
    <row r="63" customFormat="false" ht="15" hidden="false" customHeight="false" outlineLevel="0" collapsed="false">
      <c r="A63" s="6" t="s">
        <v>467</v>
      </c>
      <c r="B63" s="6" t="s">
        <v>468</v>
      </c>
      <c r="C63" s="6" t="s">
        <v>282</v>
      </c>
      <c r="D63" s="6" t="s">
        <v>283</v>
      </c>
      <c r="E63" s="6" t="n">
        <v>0.7</v>
      </c>
      <c r="F63" s="15"/>
    </row>
    <row r="64" customFormat="false" ht="15" hidden="false" customHeight="false" outlineLevel="0" collapsed="false">
      <c r="A64" s="6" t="s">
        <v>467</v>
      </c>
      <c r="B64" s="6" t="s">
        <v>468</v>
      </c>
      <c r="C64" s="6" t="s">
        <v>264</v>
      </c>
      <c r="D64" s="6" t="s">
        <v>265</v>
      </c>
      <c r="E64" s="6" t="n">
        <v>0.6</v>
      </c>
      <c r="F64" s="15"/>
    </row>
    <row r="65" customFormat="false" ht="15" hidden="false" customHeight="false" outlineLevel="0" collapsed="false">
      <c r="A65" s="6" t="s">
        <v>467</v>
      </c>
      <c r="B65" s="6" t="s">
        <v>468</v>
      </c>
      <c r="C65" s="6" t="s">
        <v>304</v>
      </c>
      <c r="D65" s="6" t="s">
        <v>305</v>
      </c>
      <c r="E65" s="6" t="n">
        <v>0.6</v>
      </c>
      <c r="F65" s="15"/>
    </row>
    <row r="66" customFormat="false" ht="15" hidden="false" customHeight="false" outlineLevel="0" collapsed="false">
      <c r="A66" s="6" t="s">
        <v>467</v>
      </c>
      <c r="B66" s="6" t="s">
        <v>468</v>
      </c>
      <c r="C66" s="6" t="s">
        <v>432</v>
      </c>
      <c r="D66" s="6" t="s">
        <v>433</v>
      </c>
      <c r="E66" s="6" t="n">
        <v>0.5</v>
      </c>
      <c r="F66" s="15"/>
    </row>
    <row r="67" customFormat="false" ht="15" hidden="false" customHeight="false" outlineLevel="0" collapsed="false">
      <c r="A67" s="6" t="s">
        <v>467</v>
      </c>
      <c r="B67" s="6" t="s">
        <v>468</v>
      </c>
      <c r="C67" s="6" t="s">
        <v>274</v>
      </c>
      <c r="D67" s="6" t="s">
        <v>275</v>
      </c>
      <c r="E67" s="6" t="n">
        <v>0.5</v>
      </c>
      <c r="F67" s="15"/>
    </row>
    <row r="68" customFormat="false" ht="15" hidden="false" customHeight="false" outlineLevel="0" collapsed="false">
      <c r="A68" s="6" t="s">
        <v>467</v>
      </c>
      <c r="B68" s="6" t="s">
        <v>468</v>
      </c>
      <c r="C68" s="6" t="s">
        <v>388</v>
      </c>
      <c r="D68" s="6" t="s">
        <v>389</v>
      </c>
      <c r="E68" s="6" t="n">
        <v>0.5</v>
      </c>
      <c r="F68" s="15"/>
    </row>
    <row r="69" customFormat="false" ht="15" hidden="false" customHeight="false" outlineLevel="0" collapsed="false">
      <c r="A69" s="6" t="s">
        <v>467</v>
      </c>
      <c r="B69" s="6" t="s">
        <v>468</v>
      </c>
      <c r="C69" s="6" t="s">
        <v>296</v>
      </c>
      <c r="D69" s="6" t="s">
        <v>297</v>
      </c>
      <c r="E69" s="6" t="n">
        <v>0.4</v>
      </c>
      <c r="F69" s="15"/>
    </row>
    <row r="70" customFormat="false" ht="15" hidden="false" customHeight="false" outlineLevel="0" collapsed="false">
      <c r="A70" s="6" t="s">
        <v>467</v>
      </c>
      <c r="B70" s="6" t="s">
        <v>468</v>
      </c>
      <c r="C70" s="6" t="s">
        <v>395</v>
      </c>
      <c r="D70" s="6" t="s">
        <v>396</v>
      </c>
      <c r="E70" s="6" t="n">
        <v>0.2</v>
      </c>
      <c r="F70" s="15"/>
    </row>
    <row r="71" customFormat="false" ht="15" hidden="false" customHeight="false" outlineLevel="0" collapsed="false">
      <c r="A71" s="6" t="s">
        <v>471</v>
      </c>
      <c r="B71" s="6" t="s">
        <v>472</v>
      </c>
      <c r="C71" s="6" t="s">
        <v>384</v>
      </c>
      <c r="D71" s="6" t="s">
        <v>385</v>
      </c>
      <c r="E71" s="6" t="n">
        <v>0.8</v>
      </c>
      <c r="F71" s="15"/>
    </row>
    <row r="72" customFormat="false" ht="15" hidden="false" customHeight="false" outlineLevel="0" collapsed="false">
      <c r="A72" s="6" t="s">
        <v>471</v>
      </c>
      <c r="B72" s="6" t="s">
        <v>472</v>
      </c>
      <c r="C72" s="6" t="s">
        <v>432</v>
      </c>
      <c r="D72" s="6" t="s">
        <v>433</v>
      </c>
      <c r="E72" s="6" t="n">
        <v>0.8</v>
      </c>
      <c r="F72" s="15"/>
    </row>
    <row r="73" customFormat="false" ht="15" hidden="false" customHeight="false" outlineLevel="0" collapsed="false">
      <c r="A73" s="6" t="s">
        <v>471</v>
      </c>
      <c r="B73" s="6" t="s">
        <v>472</v>
      </c>
      <c r="C73" s="6" t="s">
        <v>264</v>
      </c>
      <c r="D73" s="6" t="s">
        <v>265</v>
      </c>
      <c r="E73" s="6" t="n">
        <v>0.7</v>
      </c>
      <c r="F73" s="15"/>
    </row>
    <row r="74" customFormat="false" ht="15" hidden="false" customHeight="false" outlineLevel="0" collapsed="false">
      <c r="A74" s="6" t="s">
        <v>471</v>
      </c>
      <c r="B74" s="6" t="s">
        <v>472</v>
      </c>
      <c r="C74" s="6" t="s">
        <v>274</v>
      </c>
      <c r="D74" s="6" t="s">
        <v>275</v>
      </c>
      <c r="E74" s="6" t="n">
        <v>0.6</v>
      </c>
      <c r="F74" s="15"/>
    </row>
    <row r="75" customFormat="false" ht="15" hidden="false" customHeight="false" outlineLevel="0" collapsed="false">
      <c r="A75" s="6" t="s">
        <v>471</v>
      </c>
      <c r="B75" s="6" t="s">
        <v>472</v>
      </c>
      <c r="C75" s="6" t="s">
        <v>304</v>
      </c>
      <c r="D75" s="6" t="s">
        <v>305</v>
      </c>
      <c r="E75" s="6" t="n">
        <v>0.6</v>
      </c>
      <c r="F75" s="15"/>
    </row>
    <row r="76" customFormat="false" ht="15" hidden="false" customHeight="false" outlineLevel="0" collapsed="false">
      <c r="A76" s="6" t="s">
        <v>471</v>
      </c>
      <c r="B76" s="6" t="s">
        <v>472</v>
      </c>
      <c r="C76" s="6" t="s">
        <v>296</v>
      </c>
      <c r="D76" s="6" t="s">
        <v>297</v>
      </c>
      <c r="E76" s="6" t="n">
        <v>0.4</v>
      </c>
      <c r="F76" s="15"/>
    </row>
    <row r="77" customFormat="false" ht="15" hidden="false" customHeight="false" outlineLevel="0" collapsed="false">
      <c r="A77" s="6" t="s">
        <v>471</v>
      </c>
      <c r="B77" s="6" t="s">
        <v>472</v>
      </c>
      <c r="C77" s="6" t="s">
        <v>347</v>
      </c>
      <c r="D77" s="6" t="s">
        <v>348</v>
      </c>
      <c r="E77" s="6" t="n">
        <v>0.3</v>
      </c>
      <c r="F77"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14"/>
    <col collapsed="false" customWidth="true" hidden="false" outlineLevel="0" max="4" min="4" style="0" width="28"/>
    <col collapsed="false" customWidth="true" hidden="false" outlineLevel="0" max="5" min="5" style="0" width="12"/>
    <col collapsed="false" customWidth="true" hidden="false" outlineLevel="0" max="6" min="6" style="0" width="26"/>
  </cols>
  <sheetData>
    <row r="1" customFormat="false" ht="17.35" hidden="false" customHeight="false" outlineLevel="0" collapsed="false">
      <c r="A1" s="1" t="s">
        <v>482</v>
      </c>
    </row>
    <row r="2" customFormat="false" ht="15" hidden="false" customHeight="false" outlineLevel="0" collapsed="false">
      <c r="A2" s="2" t="s">
        <v>483</v>
      </c>
    </row>
    <row r="4" customFormat="false" ht="15" hidden="false" customHeight="false" outlineLevel="0" collapsed="false">
      <c r="A4" s="5" t="s">
        <v>484</v>
      </c>
      <c r="B4" s="5" t="s">
        <v>485</v>
      </c>
      <c r="C4" s="5" t="s">
        <v>486</v>
      </c>
      <c r="D4" s="5" t="s">
        <v>487</v>
      </c>
      <c r="E4" s="5" t="s">
        <v>488</v>
      </c>
      <c r="F4" s="5" t="s">
        <v>263</v>
      </c>
    </row>
    <row r="5" customFormat="false" ht="15" hidden="false" customHeight="false" outlineLevel="0" collapsed="false">
      <c r="A5" s="6" t="s">
        <v>264</v>
      </c>
      <c r="B5" s="6" t="s">
        <v>265</v>
      </c>
      <c r="C5" s="6" t="s">
        <v>274</v>
      </c>
      <c r="D5" s="6" t="s">
        <v>275</v>
      </c>
      <c r="E5" s="6" t="n">
        <v>0.6</v>
      </c>
      <c r="F5" s="15"/>
    </row>
    <row r="6" customFormat="false" ht="15" hidden="false" customHeight="false" outlineLevel="0" collapsed="false">
      <c r="A6" s="6" t="s">
        <v>264</v>
      </c>
      <c r="B6" s="6" t="s">
        <v>265</v>
      </c>
      <c r="C6" s="6" t="s">
        <v>296</v>
      </c>
      <c r="D6" s="6" t="s">
        <v>297</v>
      </c>
      <c r="E6" s="6" t="n">
        <v>0.7</v>
      </c>
      <c r="F6" s="15"/>
    </row>
    <row r="7" customFormat="false" ht="15" hidden="false" customHeight="false" outlineLevel="0" collapsed="false">
      <c r="A7" s="6" t="s">
        <v>264</v>
      </c>
      <c r="B7" s="6" t="s">
        <v>265</v>
      </c>
      <c r="C7" s="6" t="s">
        <v>304</v>
      </c>
      <c r="D7" s="6" t="s">
        <v>305</v>
      </c>
      <c r="E7" s="6" t="n">
        <v>0.5</v>
      </c>
      <c r="F7" s="15"/>
    </row>
    <row r="8" customFormat="false" ht="15" hidden="false" customHeight="false" outlineLevel="0" collapsed="false">
      <c r="A8" s="6" t="s">
        <v>264</v>
      </c>
      <c r="B8" s="6" t="s">
        <v>265</v>
      </c>
      <c r="C8" s="6" t="s">
        <v>282</v>
      </c>
      <c r="D8" s="6" t="s">
        <v>283</v>
      </c>
      <c r="E8" s="6" t="n">
        <v>0.4</v>
      </c>
      <c r="F8" s="15"/>
    </row>
    <row r="9" customFormat="false" ht="15" hidden="false" customHeight="false" outlineLevel="0" collapsed="false">
      <c r="A9" s="6" t="s">
        <v>274</v>
      </c>
      <c r="B9" s="6" t="s">
        <v>275</v>
      </c>
      <c r="C9" s="6" t="s">
        <v>290</v>
      </c>
      <c r="D9" s="6" t="s">
        <v>291</v>
      </c>
      <c r="E9" s="6" t="n">
        <v>0.5</v>
      </c>
      <c r="F9" s="15"/>
    </row>
    <row r="10" customFormat="false" ht="15" hidden="false" customHeight="false" outlineLevel="0" collapsed="false">
      <c r="A10" s="6" t="s">
        <v>274</v>
      </c>
      <c r="B10" s="6" t="s">
        <v>275</v>
      </c>
      <c r="C10" s="6" t="s">
        <v>304</v>
      </c>
      <c r="D10" s="6" t="s">
        <v>305</v>
      </c>
      <c r="E10" s="6" t="n">
        <v>0.5</v>
      </c>
      <c r="F10" s="15"/>
    </row>
    <row r="11" customFormat="false" ht="15" hidden="false" customHeight="false" outlineLevel="0" collapsed="false">
      <c r="A11" s="6" t="s">
        <v>274</v>
      </c>
      <c r="B11" s="6" t="s">
        <v>275</v>
      </c>
      <c r="C11" s="6" t="s">
        <v>282</v>
      </c>
      <c r="D11" s="6" t="s">
        <v>283</v>
      </c>
      <c r="E11" s="6" t="n">
        <v>0.5</v>
      </c>
      <c r="F11" s="15"/>
    </row>
    <row r="12" customFormat="false" ht="15" hidden="false" customHeight="false" outlineLevel="0" collapsed="false">
      <c r="A12" s="6" t="s">
        <v>274</v>
      </c>
      <c r="B12" s="6" t="s">
        <v>275</v>
      </c>
      <c r="C12" s="6" t="s">
        <v>296</v>
      </c>
      <c r="D12" s="6" t="s">
        <v>297</v>
      </c>
      <c r="E12" s="6" t="n">
        <v>0.3</v>
      </c>
      <c r="F12" s="15"/>
    </row>
    <row r="13" customFormat="false" ht="15" hidden="false" customHeight="false" outlineLevel="0" collapsed="false">
      <c r="A13" s="6" t="s">
        <v>274</v>
      </c>
      <c r="B13" s="6" t="s">
        <v>275</v>
      </c>
      <c r="C13" s="6" t="s">
        <v>432</v>
      </c>
      <c r="D13" s="6" t="s">
        <v>433</v>
      </c>
      <c r="E13" s="6" t="n">
        <v>0.5</v>
      </c>
      <c r="F13" s="15"/>
    </row>
    <row r="14" customFormat="false" ht="15" hidden="false" customHeight="false" outlineLevel="0" collapsed="false">
      <c r="A14" s="6" t="s">
        <v>312</v>
      </c>
      <c r="B14" s="6" t="s">
        <v>313</v>
      </c>
      <c r="C14" s="6" t="s">
        <v>322</v>
      </c>
      <c r="D14" s="6" t="s">
        <v>323</v>
      </c>
      <c r="E14" s="6" t="n">
        <v>0.6</v>
      </c>
      <c r="F14" s="15"/>
    </row>
    <row r="15" customFormat="false" ht="15" hidden="false" customHeight="false" outlineLevel="0" collapsed="false">
      <c r="A15" s="6" t="s">
        <v>312</v>
      </c>
      <c r="B15" s="6" t="s">
        <v>313</v>
      </c>
      <c r="C15" s="6" t="s">
        <v>326</v>
      </c>
      <c r="D15" s="6" t="s">
        <v>327</v>
      </c>
      <c r="E15" s="6" t="n">
        <v>0.5</v>
      </c>
      <c r="F15" s="15"/>
    </row>
    <row r="16" customFormat="false" ht="15" hidden="false" customHeight="false" outlineLevel="0" collapsed="false">
      <c r="A16" s="6" t="s">
        <v>312</v>
      </c>
      <c r="B16" s="6" t="s">
        <v>313</v>
      </c>
      <c r="C16" s="6" t="s">
        <v>407</v>
      </c>
      <c r="D16" s="6" t="s">
        <v>408</v>
      </c>
      <c r="E16" s="6" t="n">
        <v>0.5</v>
      </c>
      <c r="F16" s="15"/>
    </row>
    <row r="17" customFormat="false" ht="15" hidden="false" customHeight="false" outlineLevel="0" collapsed="false">
      <c r="A17" s="6" t="s">
        <v>312</v>
      </c>
      <c r="B17" s="6" t="s">
        <v>313</v>
      </c>
      <c r="C17" s="6" t="s">
        <v>296</v>
      </c>
      <c r="D17" s="6" t="s">
        <v>297</v>
      </c>
      <c r="E17" s="6" t="n">
        <v>0.4</v>
      </c>
      <c r="F17" s="15"/>
    </row>
    <row r="18" customFormat="false" ht="15" hidden="false" customHeight="false" outlineLevel="0" collapsed="false">
      <c r="A18" s="6" t="s">
        <v>312</v>
      </c>
      <c r="B18" s="6" t="s">
        <v>313</v>
      </c>
      <c r="C18" s="6" t="s">
        <v>282</v>
      </c>
      <c r="D18" s="6" t="s">
        <v>283</v>
      </c>
      <c r="E18" s="6" t="n">
        <v>0.3</v>
      </c>
      <c r="F18" s="15"/>
    </row>
    <row r="19" customFormat="false" ht="15" hidden="false" customHeight="false" outlineLevel="0" collapsed="false">
      <c r="A19" s="6" t="s">
        <v>312</v>
      </c>
      <c r="B19" s="6" t="s">
        <v>313</v>
      </c>
      <c r="C19" s="6" t="s">
        <v>388</v>
      </c>
      <c r="D19" s="6" t="s">
        <v>389</v>
      </c>
      <c r="E19" s="6" t="n">
        <v>0.5</v>
      </c>
      <c r="F19" s="15"/>
    </row>
    <row r="20" customFormat="false" ht="15" hidden="false" customHeight="false" outlineLevel="0" collapsed="false">
      <c r="A20" s="6" t="s">
        <v>326</v>
      </c>
      <c r="B20" s="6" t="s">
        <v>327</v>
      </c>
      <c r="C20" s="6" t="s">
        <v>331</v>
      </c>
      <c r="D20" s="6" t="s">
        <v>332</v>
      </c>
      <c r="E20" s="6" t="n">
        <v>1</v>
      </c>
      <c r="F20" s="15"/>
    </row>
    <row r="21" customFormat="false" ht="15" hidden="false" customHeight="false" outlineLevel="0" collapsed="false">
      <c r="A21" s="6" t="s">
        <v>326</v>
      </c>
      <c r="B21" s="6" t="s">
        <v>327</v>
      </c>
      <c r="C21" s="6" t="s">
        <v>335</v>
      </c>
      <c r="D21" s="6" t="s">
        <v>336</v>
      </c>
      <c r="E21" s="6" t="n">
        <v>0.5</v>
      </c>
      <c r="F21" s="15"/>
    </row>
    <row r="22" customFormat="false" ht="15" hidden="false" customHeight="false" outlineLevel="0" collapsed="false">
      <c r="A22" s="6" t="s">
        <v>326</v>
      </c>
      <c r="B22" s="6" t="s">
        <v>327</v>
      </c>
      <c r="C22" s="6" t="s">
        <v>339</v>
      </c>
      <c r="D22" s="6" t="s">
        <v>340</v>
      </c>
      <c r="E22" s="6" t="n">
        <v>0.4</v>
      </c>
      <c r="F22" s="15"/>
    </row>
    <row r="23" customFormat="false" ht="15" hidden="false" customHeight="false" outlineLevel="0" collapsed="false">
      <c r="A23" s="6" t="s">
        <v>326</v>
      </c>
      <c r="B23" s="6" t="s">
        <v>327</v>
      </c>
      <c r="C23" s="6" t="s">
        <v>322</v>
      </c>
      <c r="D23" s="6" t="s">
        <v>323</v>
      </c>
      <c r="E23" s="6" t="n">
        <v>0.3</v>
      </c>
      <c r="F23" s="15"/>
    </row>
    <row r="24" customFormat="false" ht="15" hidden="false" customHeight="false" outlineLevel="0" collapsed="false">
      <c r="A24" s="6" t="s">
        <v>331</v>
      </c>
      <c r="B24" s="6" t="s">
        <v>332</v>
      </c>
      <c r="C24" s="6" t="s">
        <v>335</v>
      </c>
      <c r="D24" s="6" t="s">
        <v>336</v>
      </c>
      <c r="E24" s="6" t="n">
        <v>0.6</v>
      </c>
      <c r="F24" s="15"/>
    </row>
    <row r="25" customFormat="false" ht="15" hidden="false" customHeight="false" outlineLevel="0" collapsed="false">
      <c r="A25" s="6" t="s">
        <v>331</v>
      </c>
      <c r="B25" s="6" t="s">
        <v>332</v>
      </c>
      <c r="C25" s="6" t="s">
        <v>339</v>
      </c>
      <c r="D25" s="6" t="s">
        <v>340</v>
      </c>
      <c r="E25" s="6" t="n">
        <v>0.5</v>
      </c>
      <c r="F25" s="15"/>
    </row>
    <row r="26" customFormat="false" ht="15" hidden="false" customHeight="false" outlineLevel="0" collapsed="false">
      <c r="A26" s="6" t="s">
        <v>343</v>
      </c>
      <c r="B26" s="6" t="s">
        <v>344</v>
      </c>
      <c r="C26" s="6" t="s">
        <v>304</v>
      </c>
      <c r="D26" s="6" t="s">
        <v>305</v>
      </c>
      <c r="E26" s="6" t="n">
        <v>0.5</v>
      </c>
      <c r="F26" s="15"/>
    </row>
    <row r="27" customFormat="false" ht="15" hidden="false" customHeight="false" outlineLevel="0" collapsed="false">
      <c r="A27" s="6" t="s">
        <v>343</v>
      </c>
      <c r="B27" s="6" t="s">
        <v>344</v>
      </c>
      <c r="C27" s="6" t="s">
        <v>264</v>
      </c>
      <c r="D27" s="6" t="s">
        <v>265</v>
      </c>
      <c r="E27" s="6" t="n">
        <v>0.5</v>
      </c>
      <c r="F27" s="15"/>
    </row>
    <row r="28" customFormat="false" ht="15" hidden="false" customHeight="false" outlineLevel="0" collapsed="false">
      <c r="A28" s="6" t="s">
        <v>343</v>
      </c>
      <c r="B28" s="6" t="s">
        <v>344</v>
      </c>
      <c r="C28" s="6" t="s">
        <v>399</v>
      </c>
      <c r="D28" s="6" t="s">
        <v>400</v>
      </c>
      <c r="E28" s="6" t="n">
        <v>0.3</v>
      </c>
      <c r="F28" s="15"/>
    </row>
    <row r="29" customFormat="false" ht="15" hidden="false" customHeight="false" outlineLevel="0" collapsed="false">
      <c r="A29" s="6" t="s">
        <v>347</v>
      </c>
      <c r="B29" s="6" t="s">
        <v>348</v>
      </c>
      <c r="C29" s="6" t="s">
        <v>399</v>
      </c>
      <c r="D29" s="6" t="s">
        <v>400</v>
      </c>
      <c r="E29" s="6" t="n">
        <v>0.5</v>
      </c>
      <c r="F29" s="15"/>
    </row>
    <row r="30" customFormat="false" ht="15" hidden="false" customHeight="false" outlineLevel="0" collapsed="false">
      <c r="A30" s="6" t="s">
        <v>347</v>
      </c>
      <c r="B30" s="6" t="s">
        <v>348</v>
      </c>
      <c r="C30" s="6" t="s">
        <v>264</v>
      </c>
      <c r="D30" s="6" t="s">
        <v>265</v>
      </c>
      <c r="E30" s="6" t="n">
        <v>0.4</v>
      </c>
      <c r="F30" s="15"/>
    </row>
    <row r="31" customFormat="false" ht="15" hidden="false" customHeight="false" outlineLevel="0" collapsed="false">
      <c r="A31" s="6" t="s">
        <v>347</v>
      </c>
      <c r="B31" s="6" t="s">
        <v>348</v>
      </c>
      <c r="C31" s="6" t="s">
        <v>356</v>
      </c>
      <c r="D31" s="6" t="s">
        <v>357</v>
      </c>
      <c r="E31" s="6" t="n">
        <v>0.3</v>
      </c>
      <c r="F31" s="15"/>
    </row>
    <row r="32" customFormat="false" ht="15" hidden="false" customHeight="false" outlineLevel="0" collapsed="false">
      <c r="A32" s="6" t="s">
        <v>347</v>
      </c>
      <c r="B32" s="6" t="s">
        <v>348</v>
      </c>
      <c r="C32" s="6" t="s">
        <v>420</v>
      </c>
      <c r="D32" s="6" t="s">
        <v>421</v>
      </c>
      <c r="E32" s="6" t="n">
        <v>0.6</v>
      </c>
      <c r="F32" s="15"/>
    </row>
    <row r="33" customFormat="false" ht="15" hidden="false" customHeight="false" outlineLevel="0" collapsed="false">
      <c r="A33" s="6" t="s">
        <v>347</v>
      </c>
      <c r="B33" s="6" t="s">
        <v>348</v>
      </c>
      <c r="C33" s="6" t="s">
        <v>384</v>
      </c>
      <c r="D33" s="6" t="s">
        <v>385</v>
      </c>
      <c r="E33" s="6" t="n">
        <v>0.3</v>
      </c>
      <c r="F33" s="15"/>
    </row>
    <row r="34" customFormat="false" ht="15" hidden="false" customHeight="false" outlineLevel="0" collapsed="false">
      <c r="A34" s="6" t="s">
        <v>360</v>
      </c>
      <c r="B34" s="6" t="s">
        <v>361</v>
      </c>
      <c r="C34" s="6" t="s">
        <v>368</v>
      </c>
      <c r="D34" s="6" t="s">
        <v>369</v>
      </c>
      <c r="E34" s="6" t="n">
        <v>0.7</v>
      </c>
      <c r="F34" s="15"/>
    </row>
    <row r="35" customFormat="false" ht="15" hidden="false" customHeight="false" outlineLevel="0" collapsed="false">
      <c r="A35" s="6" t="s">
        <v>360</v>
      </c>
      <c r="B35" s="6" t="s">
        <v>361</v>
      </c>
      <c r="C35" s="6" t="s">
        <v>395</v>
      </c>
      <c r="D35" s="6" t="s">
        <v>396</v>
      </c>
      <c r="E35" s="6" t="n">
        <v>0.5</v>
      </c>
      <c r="F35" s="15"/>
    </row>
    <row r="36" customFormat="false" ht="15" hidden="false" customHeight="false" outlineLevel="0" collapsed="false">
      <c r="A36" s="6" t="s">
        <v>360</v>
      </c>
      <c r="B36" s="6" t="s">
        <v>361</v>
      </c>
      <c r="C36" s="6" t="s">
        <v>356</v>
      </c>
      <c r="D36" s="6" t="s">
        <v>357</v>
      </c>
      <c r="E36" s="6" t="n">
        <v>0.3</v>
      </c>
      <c r="F36" s="15"/>
    </row>
    <row r="37" customFormat="false" ht="15" hidden="false" customHeight="false" outlineLevel="0" collapsed="false">
      <c r="A37" s="6" t="s">
        <v>395</v>
      </c>
      <c r="B37" s="6" t="s">
        <v>396</v>
      </c>
      <c r="C37" s="6" t="s">
        <v>388</v>
      </c>
      <c r="D37" s="6" t="s">
        <v>389</v>
      </c>
      <c r="E37" s="6" t="n">
        <v>0.6</v>
      </c>
      <c r="F37" s="15"/>
    </row>
    <row r="38" customFormat="false" ht="15" hidden="false" customHeight="false" outlineLevel="0" collapsed="false">
      <c r="A38" s="6" t="s">
        <v>395</v>
      </c>
      <c r="B38" s="6" t="s">
        <v>396</v>
      </c>
      <c r="C38" s="6" t="s">
        <v>312</v>
      </c>
      <c r="D38" s="6" t="s">
        <v>313</v>
      </c>
      <c r="E38" s="6" t="n">
        <v>0.3</v>
      </c>
      <c r="F38" s="15"/>
    </row>
    <row r="39" customFormat="false" ht="15" hidden="false" customHeight="false" outlineLevel="0" collapsed="false">
      <c r="A39" s="6" t="s">
        <v>388</v>
      </c>
      <c r="B39" s="6" t="s">
        <v>389</v>
      </c>
      <c r="C39" s="6" t="s">
        <v>282</v>
      </c>
      <c r="D39" s="6" t="s">
        <v>283</v>
      </c>
      <c r="E39" s="6" t="n">
        <v>0.4</v>
      </c>
      <c r="F39" s="15"/>
    </row>
    <row r="40" customFormat="false" ht="15" hidden="false" customHeight="false" outlineLevel="0" collapsed="false">
      <c r="A40" s="6" t="s">
        <v>388</v>
      </c>
      <c r="B40" s="6" t="s">
        <v>389</v>
      </c>
      <c r="C40" s="6" t="s">
        <v>304</v>
      </c>
      <c r="D40" s="6" t="s">
        <v>305</v>
      </c>
      <c r="E40" s="6" t="n">
        <v>0.3</v>
      </c>
      <c r="F40" s="15"/>
    </row>
    <row r="41" customFormat="false" ht="15" hidden="false" customHeight="false" outlineLevel="0" collapsed="false">
      <c r="A41" s="6" t="s">
        <v>399</v>
      </c>
      <c r="B41" s="6" t="s">
        <v>400</v>
      </c>
      <c r="C41" s="6" t="s">
        <v>407</v>
      </c>
      <c r="D41" s="6" t="s">
        <v>408</v>
      </c>
      <c r="E41" s="6" t="n">
        <v>0.3</v>
      </c>
      <c r="F41" s="15"/>
    </row>
    <row r="42" customFormat="false" ht="15" hidden="false" customHeight="false" outlineLevel="0" collapsed="false">
      <c r="A42" s="6" t="s">
        <v>399</v>
      </c>
      <c r="B42" s="6" t="s">
        <v>400</v>
      </c>
      <c r="C42" s="6" t="s">
        <v>264</v>
      </c>
      <c r="D42" s="6" t="s">
        <v>265</v>
      </c>
      <c r="E42" s="6" t="n">
        <v>0.3</v>
      </c>
      <c r="F42" s="15"/>
    </row>
    <row r="43" customFormat="false" ht="15" hidden="false" customHeight="false" outlineLevel="0" collapsed="false">
      <c r="A43" s="6" t="s">
        <v>414</v>
      </c>
      <c r="B43" s="6" t="s">
        <v>415</v>
      </c>
      <c r="C43" s="6" t="s">
        <v>372</v>
      </c>
      <c r="D43" s="6" t="s">
        <v>373</v>
      </c>
      <c r="E43" s="6" t="n">
        <v>0.8</v>
      </c>
      <c r="F43" s="15"/>
    </row>
    <row r="44" customFormat="false" ht="15" hidden="false" customHeight="false" outlineLevel="0" collapsed="false">
      <c r="A44" s="6" t="s">
        <v>414</v>
      </c>
      <c r="B44" s="6" t="s">
        <v>415</v>
      </c>
      <c r="C44" s="6" t="s">
        <v>428</v>
      </c>
      <c r="D44" s="6" t="s">
        <v>429</v>
      </c>
      <c r="E44" s="6" t="n">
        <v>0.4</v>
      </c>
      <c r="F44" s="15"/>
    </row>
    <row r="45" customFormat="false" ht="15" hidden="false" customHeight="false" outlineLevel="0" collapsed="false">
      <c r="A45" s="6" t="s">
        <v>414</v>
      </c>
      <c r="B45" s="6" t="s">
        <v>415</v>
      </c>
      <c r="C45" s="6" t="s">
        <v>356</v>
      </c>
      <c r="D45" s="6" t="s">
        <v>357</v>
      </c>
      <c r="E45" s="6" t="n">
        <v>0.3</v>
      </c>
      <c r="F45" s="15"/>
    </row>
    <row r="46" customFormat="false" ht="15" hidden="false" customHeight="false" outlineLevel="0" collapsed="false">
      <c r="A46" s="6" t="s">
        <v>424</v>
      </c>
      <c r="B46" s="6" t="s">
        <v>425</v>
      </c>
      <c r="C46" s="6" t="s">
        <v>428</v>
      </c>
      <c r="D46" s="6" t="s">
        <v>429</v>
      </c>
      <c r="E46" s="6" t="n">
        <v>0.6</v>
      </c>
      <c r="F46" s="15"/>
    </row>
    <row r="47" customFormat="false" ht="15" hidden="false" customHeight="false" outlineLevel="0" collapsed="false">
      <c r="A47" s="6" t="s">
        <v>424</v>
      </c>
      <c r="B47" s="6" t="s">
        <v>425</v>
      </c>
      <c r="C47" s="6" t="s">
        <v>380</v>
      </c>
      <c r="D47" s="6" t="s">
        <v>381</v>
      </c>
      <c r="E47" s="6" t="n">
        <v>0.5</v>
      </c>
      <c r="F47" s="15"/>
    </row>
    <row r="48" customFormat="false" ht="15" hidden="false" customHeight="false" outlineLevel="0" collapsed="false">
      <c r="A48" s="6" t="s">
        <v>424</v>
      </c>
      <c r="B48" s="6" t="s">
        <v>425</v>
      </c>
      <c r="C48" s="6" t="s">
        <v>312</v>
      </c>
      <c r="D48" s="6" t="s">
        <v>313</v>
      </c>
      <c r="E48" s="6" t="n">
        <v>0.3</v>
      </c>
      <c r="F48" s="15"/>
    </row>
    <row r="49" customFormat="false" ht="15" hidden="false" customHeight="false" outlineLevel="0" collapsed="false">
      <c r="A49" s="6" t="s">
        <v>424</v>
      </c>
      <c r="B49" s="6" t="s">
        <v>425</v>
      </c>
      <c r="C49" s="6" t="s">
        <v>326</v>
      </c>
      <c r="D49" s="6" t="s">
        <v>327</v>
      </c>
      <c r="E49" s="6" t="n">
        <v>0.3</v>
      </c>
      <c r="F49" s="15"/>
    </row>
    <row r="50" customFormat="false" ht="15" hidden="false" customHeight="false" outlineLevel="0" collapsed="false">
      <c r="A50" s="6" t="s">
        <v>432</v>
      </c>
      <c r="B50" s="6" t="s">
        <v>433</v>
      </c>
      <c r="C50" s="6" t="s">
        <v>264</v>
      </c>
      <c r="D50" s="6" t="s">
        <v>265</v>
      </c>
      <c r="E50" s="6" t="n">
        <v>0.5</v>
      </c>
      <c r="F50" s="15"/>
    </row>
    <row r="51" customFormat="false" ht="15" hidden="false" customHeight="false" outlineLevel="0" collapsed="false">
      <c r="A51" s="6" t="s">
        <v>432</v>
      </c>
      <c r="B51" s="6" t="s">
        <v>433</v>
      </c>
      <c r="C51" s="6" t="s">
        <v>384</v>
      </c>
      <c r="D51" s="6" t="s">
        <v>385</v>
      </c>
      <c r="E51" s="6" t="n">
        <v>0.5</v>
      </c>
      <c r="F51" s="15"/>
    </row>
    <row r="52" customFormat="false" ht="15" hidden="false" customHeight="false" outlineLevel="0" collapsed="false">
      <c r="A52" s="6" t="s">
        <v>436</v>
      </c>
      <c r="B52" s="6" t="s">
        <v>437</v>
      </c>
      <c r="C52" s="6" t="s">
        <v>264</v>
      </c>
      <c r="D52" s="6" t="s">
        <v>265</v>
      </c>
      <c r="E52" s="6" t="n">
        <v>0.3</v>
      </c>
      <c r="F52" s="15"/>
    </row>
    <row r="53" customFormat="false" ht="15" hidden="false" customHeight="false" outlineLevel="0" collapsed="false">
      <c r="A53" s="6" t="s">
        <v>436</v>
      </c>
      <c r="B53" s="6" t="s">
        <v>437</v>
      </c>
      <c r="C53" s="6" t="s">
        <v>282</v>
      </c>
      <c r="D53" s="6" t="s">
        <v>283</v>
      </c>
      <c r="E53" s="6" t="n">
        <v>0.3</v>
      </c>
      <c r="F53" s="15"/>
    </row>
    <row r="54" customFormat="false" ht="15" hidden="false" customHeight="false" outlineLevel="0" collapsed="false">
      <c r="A54" s="6" t="s">
        <v>436</v>
      </c>
      <c r="B54" s="6" t="s">
        <v>437</v>
      </c>
      <c r="C54" s="6" t="s">
        <v>312</v>
      </c>
      <c r="D54" s="6" t="s">
        <v>313</v>
      </c>
      <c r="E54" s="6" t="n">
        <v>0.3</v>
      </c>
      <c r="F54" s="15"/>
    </row>
    <row r="55" customFormat="false" ht="15" hidden="false" customHeight="false" outlineLevel="0" collapsed="false">
      <c r="A55" s="6" t="s">
        <v>436</v>
      </c>
      <c r="B55" s="6" t="s">
        <v>437</v>
      </c>
      <c r="C55" s="6" t="s">
        <v>274</v>
      </c>
      <c r="D55" s="6" t="s">
        <v>275</v>
      </c>
      <c r="E55" s="6" t="n">
        <v>0.3</v>
      </c>
      <c r="F55" s="15"/>
    </row>
    <row r="56" customFormat="false" ht="15" hidden="false" customHeight="false" outlineLevel="0" collapsed="false">
      <c r="A56" s="6" t="s">
        <v>436</v>
      </c>
      <c r="B56" s="6" t="s">
        <v>437</v>
      </c>
      <c r="C56" s="6" t="s">
        <v>414</v>
      </c>
      <c r="D56" s="6" t="s">
        <v>415</v>
      </c>
      <c r="E56" s="6" t="n">
        <v>0.4</v>
      </c>
      <c r="F56"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70"/>
    <col collapsed="false" customWidth="true" hidden="false" outlineLevel="0" max="4" min="4" style="0" width="26"/>
  </cols>
  <sheetData>
    <row r="1" customFormat="false" ht="17.35" hidden="false" customHeight="false" outlineLevel="0" collapsed="false">
      <c r="A1" s="1" t="s">
        <v>489</v>
      </c>
    </row>
    <row r="2" customFormat="false" ht="15" hidden="false" customHeight="false" outlineLevel="0" collapsed="false">
      <c r="A2" s="2" t="s">
        <v>490</v>
      </c>
    </row>
    <row r="4" customFormat="false" ht="15" hidden="false" customHeight="false" outlineLevel="0" collapsed="false">
      <c r="A4" s="5" t="s">
        <v>249</v>
      </c>
      <c r="B4" s="5" t="s">
        <v>442</v>
      </c>
      <c r="C4" s="5" t="s">
        <v>491</v>
      </c>
      <c r="D4" s="5" t="s">
        <v>263</v>
      </c>
    </row>
    <row r="5" customFormat="false" ht="15" hidden="false" customHeight="false" outlineLevel="0" collapsed="false">
      <c r="A5" s="6" t="s">
        <v>492</v>
      </c>
      <c r="B5" s="6" t="s">
        <v>493</v>
      </c>
      <c r="C5" s="6" t="s">
        <v>494</v>
      </c>
      <c r="D5" s="15"/>
    </row>
    <row r="6" customFormat="false" ht="15" hidden="false" customHeight="false" outlineLevel="0" collapsed="false">
      <c r="A6" s="6" t="s">
        <v>495</v>
      </c>
      <c r="B6" s="6" t="s">
        <v>496</v>
      </c>
      <c r="C6" s="6" t="s">
        <v>497</v>
      </c>
      <c r="D6" s="15"/>
    </row>
    <row r="7" customFormat="false" ht="15" hidden="false" customHeight="false" outlineLevel="0" collapsed="false">
      <c r="A7" s="6" t="s">
        <v>498</v>
      </c>
      <c r="B7" s="6" t="s">
        <v>499</v>
      </c>
      <c r="C7" s="6" t="s">
        <v>500</v>
      </c>
      <c r="D7" s="15"/>
    </row>
    <row r="8" customFormat="false" ht="23.85" hidden="false" customHeight="false" outlineLevel="0" collapsed="false">
      <c r="A8" s="6" t="s">
        <v>501</v>
      </c>
      <c r="B8" s="6" t="s">
        <v>502</v>
      </c>
      <c r="C8" s="6" t="s">
        <v>503</v>
      </c>
      <c r="D8" s="15"/>
    </row>
    <row r="9" customFormat="false" ht="15" hidden="false" customHeight="false" outlineLevel="0" collapsed="false">
      <c r="A9" s="6" t="s">
        <v>504</v>
      </c>
      <c r="B9" s="6" t="s">
        <v>505</v>
      </c>
      <c r="C9" s="6" t="s">
        <v>506</v>
      </c>
      <c r="D9" s="15"/>
    </row>
    <row r="10" customFormat="false" ht="15" hidden="false" customHeight="false" outlineLevel="0" collapsed="false">
      <c r="A10" s="6" t="s">
        <v>507</v>
      </c>
      <c r="B10" s="6" t="s">
        <v>508</v>
      </c>
      <c r="C10" s="6" t="s">
        <v>507</v>
      </c>
      <c r="D10" s="15"/>
    </row>
    <row r="11" customFormat="false" ht="15" hidden="false" customHeight="false" outlineLevel="0" collapsed="false">
      <c r="A11" s="6" t="s">
        <v>509</v>
      </c>
      <c r="B11" s="6" t="s">
        <v>510</v>
      </c>
      <c r="C11" s="6" t="s">
        <v>509</v>
      </c>
      <c r="D11" s="15"/>
    </row>
    <row r="12" customFormat="false" ht="15" hidden="false" customHeight="false" outlineLevel="0" collapsed="false">
      <c r="A12" s="6" t="s">
        <v>511</v>
      </c>
      <c r="B12" s="6" t="s">
        <v>512</v>
      </c>
      <c r="C12" s="6" t="s">
        <v>511</v>
      </c>
      <c r="D12" s="15"/>
    </row>
    <row r="13" customFormat="false" ht="15" hidden="false" customHeight="false" outlineLevel="0" collapsed="false">
      <c r="A13" s="6" t="s">
        <v>513</v>
      </c>
      <c r="B13" s="6" t="s">
        <v>514</v>
      </c>
      <c r="C13" s="6" t="s">
        <v>515</v>
      </c>
      <c r="D13" s="15"/>
    </row>
    <row r="14" customFormat="false" ht="15" hidden="false" customHeight="false" outlineLevel="0" collapsed="false">
      <c r="A14" s="6" t="s">
        <v>516</v>
      </c>
      <c r="B14" s="6" t="s">
        <v>517</v>
      </c>
      <c r="C14" s="6" t="s">
        <v>518</v>
      </c>
      <c r="D14" s="15"/>
    </row>
    <row r="16" customFormat="false" ht="15" hidden="false" customHeight="false" outlineLevel="0" collapsed="false">
      <c r="A16" s="3" t="s">
        <v>519</v>
      </c>
    </row>
    <row r="17" customFormat="false" ht="15" hidden="false" customHeight="false" outlineLevel="0" collapsed="false">
      <c r="A17" s="7" t="s">
        <v>520</v>
      </c>
      <c r="B17" s="7" t="s">
        <v>521</v>
      </c>
      <c r="C17" s="7" t="s">
        <v>522</v>
      </c>
    </row>
    <row r="18" customFormat="false" ht="15" hidden="false" customHeight="false" outlineLevel="0" collapsed="false">
      <c r="A18" s="16" t="n">
        <v>1</v>
      </c>
      <c r="B18" s="16" t="s">
        <v>523</v>
      </c>
      <c r="C18" s="17"/>
    </row>
    <row r="19" customFormat="false" ht="15" hidden="false" customHeight="false" outlineLevel="0" collapsed="false">
      <c r="A19" s="16" t="n">
        <v>2</v>
      </c>
      <c r="B19" s="16" t="s">
        <v>524</v>
      </c>
      <c r="C19" s="17"/>
    </row>
    <row r="20" customFormat="false" ht="15" hidden="false" customHeight="false" outlineLevel="0" collapsed="false">
      <c r="A20" s="16" t="n">
        <v>3</v>
      </c>
      <c r="B20" s="16" t="s">
        <v>525</v>
      </c>
      <c r="C20" s="17"/>
    </row>
    <row r="21" customFormat="false" ht="15" hidden="false" customHeight="false" outlineLevel="0" collapsed="false">
      <c r="A21" s="16" t="n">
        <v>4</v>
      </c>
      <c r="B21" s="16" t="s">
        <v>526</v>
      </c>
      <c r="C21" s="17"/>
    </row>
    <row r="22" customFormat="false" ht="15" hidden="false" customHeight="false" outlineLevel="0" collapsed="false">
      <c r="A22" s="16" t="n">
        <v>5</v>
      </c>
      <c r="B22" s="16" t="s">
        <v>527</v>
      </c>
      <c r="C22" s="17"/>
    </row>
    <row r="23" customFormat="false" ht="15" hidden="false" customHeight="false" outlineLevel="0" collapsed="false">
      <c r="A23" s="16" t="n">
        <v>6</v>
      </c>
      <c r="B23" s="16" t="s">
        <v>528</v>
      </c>
      <c r="C23" s="17"/>
    </row>
    <row r="24" customFormat="false" ht="15" hidden="false" customHeight="false" outlineLevel="0" collapsed="false">
      <c r="A24" s="16" t="n">
        <v>7</v>
      </c>
      <c r="B24" s="16" t="s">
        <v>529</v>
      </c>
      <c r="C24" s="17"/>
    </row>
    <row r="25" customFormat="false" ht="15" hidden="false" customHeight="false" outlineLevel="0" collapsed="false">
      <c r="A25" s="16" t="n">
        <v>8</v>
      </c>
      <c r="B25" s="16" t="s">
        <v>530</v>
      </c>
      <c r="C25" s="17"/>
    </row>
    <row r="26" customFormat="false" ht="15" hidden="false" customHeight="false" outlineLevel="0" collapsed="false">
      <c r="A26" s="16" t="n">
        <v>9</v>
      </c>
      <c r="B26" s="16" t="s">
        <v>531</v>
      </c>
      <c r="C26" s="17"/>
    </row>
    <row r="27" customFormat="false" ht="15" hidden="false" customHeight="false" outlineLevel="0" collapsed="false">
      <c r="A27" s="16" t="n">
        <v>10</v>
      </c>
      <c r="B27" s="16" t="s">
        <v>532</v>
      </c>
      <c r="C27" s="17"/>
    </row>
    <row r="28" customFormat="false" ht="15" hidden="false" customHeight="false" outlineLevel="0" collapsed="false">
      <c r="A28" s="16" t="n">
        <v>11</v>
      </c>
      <c r="B28" s="16" t="s">
        <v>533</v>
      </c>
      <c r="C28" s="17"/>
    </row>
    <row r="29" customFormat="false" ht="15" hidden="false" customHeight="false" outlineLevel="0" collapsed="false">
      <c r="A29" s="16" t="n">
        <v>12</v>
      </c>
      <c r="B29" s="16" t="s">
        <v>534</v>
      </c>
      <c r="C29" s="17"/>
    </row>
    <row r="30" customFormat="false" ht="15" hidden="false" customHeight="false" outlineLevel="0" collapsed="false">
      <c r="A30" s="16" t="n">
        <v>13</v>
      </c>
      <c r="B30" s="16" t="s">
        <v>535</v>
      </c>
      <c r="C30" s="17"/>
    </row>
    <row r="31" customFormat="false" ht="15" hidden="false" customHeight="false" outlineLevel="0" collapsed="false">
      <c r="A31" s="16" t="n">
        <v>14</v>
      </c>
      <c r="B31" s="16" t="s">
        <v>536</v>
      </c>
      <c r="C31" s="17"/>
    </row>
    <row r="32" customFormat="false" ht="15" hidden="false" customHeight="false" outlineLevel="0" collapsed="false">
      <c r="A32" s="16" t="n">
        <v>15</v>
      </c>
      <c r="B32" s="16" t="s">
        <v>537</v>
      </c>
      <c r="C32" s="17"/>
    </row>
    <row r="33" customFormat="false" ht="15" hidden="false" customHeight="false" outlineLevel="0" collapsed="false">
      <c r="A33" s="16" t="n">
        <v>16</v>
      </c>
      <c r="B33" s="16" t="s">
        <v>538</v>
      </c>
      <c r="C33" s="17"/>
    </row>
    <row r="34" customFormat="false" ht="15" hidden="false" customHeight="false" outlineLevel="0" collapsed="false">
      <c r="A34" s="16" t="n">
        <v>17</v>
      </c>
      <c r="B34" s="16" t="s">
        <v>539</v>
      </c>
      <c r="C34" s="17"/>
    </row>
    <row r="35" customFormat="false" ht="15" hidden="false" customHeight="false" outlineLevel="0" collapsed="false">
      <c r="A35" s="16" t="n">
        <v>18</v>
      </c>
      <c r="B35" s="16" t="s">
        <v>540</v>
      </c>
      <c r="C35" s="17"/>
    </row>
    <row r="36" customFormat="false" ht="15" hidden="false" customHeight="false" outlineLevel="0" collapsed="false">
      <c r="A36" s="16" t="n">
        <v>19</v>
      </c>
      <c r="B36" s="16" t="s">
        <v>541</v>
      </c>
      <c r="C36"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24"/>
    <col collapsed="false" customWidth="true" hidden="false" outlineLevel="0" max="4" min="4" style="0" width="16"/>
    <col collapsed="false" customWidth="true" hidden="false" outlineLevel="0" max="6" min="5" style="0" width="22"/>
  </cols>
  <sheetData>
    <row r="1" customFormat="false" ht="17.35" hidden="false" customHeight="false" outlineLevel="0" collapsed="false">
      <c r="A1" s="1" t="s">
        <v>542</v>
      </c>
    </row>
    <row r="2" customFormat="false" ht="15" hidden="false" customHeight="false" outlineLevel="0" collapsed="false">
      <c r="A2" s="2" t="s">
        <v>543</v>
      </c>
    </row>
    <row r="4" customFormat="false" ht="23.85" hidden="false" customHeight="false" outlineLevel="0" collapsed="false">
      <c r="A4" s="5" t="s">
        <v>544</v>
      </c>
      <c r="B4" s="5" t="s">
        <v>442</v>
      </c>
      <c r="C4" s="5" t="s">
        <v>545</v>
      </c>
      <c r="D4" s="5" t="s">
        <v>546</v>
      </c>
      <c r="E4" s="5" t="s">
        <v>547</v>
      </c>
      <c r="F4" s="5" t="s">
        <v>548</v>
      </c>
    </row>
    <row r="5" customFormat="false" ht="15" hidden="false" customHeight="false" outlineLevel="0" collapsed="false">
      <c r="A5" s="6" t="s">
        <v>549</v>
      </c>
      <c r="B5" s="6" t="s">
        <v>550</v>
      </c>
      <c r="C5" s="6" t="s">
        <v>551</v>
      </c>
      <c r="D5" s="6" t="n">
        <v>300</v>
      </c>
      <c r="E5" s="6" t="n">
        <v>400</v>
      </c>
      <c r="F5" s="15"/>
    </row>
    <row r="6" customFormat="false" ht="15" hidden="false" customHeight="false" outlineLevel="0" collapsed="false">
      <c r="A6" s="6" t="s">
        <v>552</v>
      </c>
      <c r="B6" s="6" t="s">
        <v>553</v>
      </c>
      <c r="C6" s="6" t="s">
        <v>551</v>
      </c>
      <c r="D6" s="6" t="n">
        <v>600</v>
      </c>
      <c r="E6" s="6" t="n">
        <v>800</v>
      </c>
      <c r="F6" s="15"/>
    </row>
    <row r="7" customFormat="false" ht="15" hidden="false" customHeight="false" outlineLevel="0" collapsed="false">
      <c r="A7" s="6" t="s">
        <v>554</v>
      </c>
      <c r="B7" s="6" t="s">
        <v>555</v>
      </c>
      <c r="C7" s="6" t="s">
        <v>551</v>
      </c>
      <c r="D7" s="6" t="n">
        <v>900</v>
      </c>
      <c r="E7" s="6" t="n">
        <v>1200</v>
      </c>
      <c r="F7" s="15"/>
    </row>
    <row r="8" customFormat="false" ht="15" hidden="false" customHeight="false" outlineLevel="0" collapsed="false">
      <c r="A8" s="6" t="s">
        <v>556</v>
      </c>
      <c r="B8" s="6" t="s">
        <v>557</v>
      </c>
      <c r="C8" s="6" t="s">
        <v>558</v>
      </c>
      <c r="D8" s="6" t="n">
        <v>300</v>
      </c>
      <c r="E8" s="6" t="n">
        <v>2500</v>
      </c>
      <c r="F8" s="15"/>
    </row>
    <row r="9" customFormat="false" ht="15" hidden="false" customHeight="false" outlineLevel="0" collapsed="false">
      <c r="A9" s="6" t="s">
        <v>559</v>
      </c>
      <c r="B9" s="6" t="s">
        <v>560</v>
      </c>
      <c r="C9" s="6" t="s">
        <v>558</v>
      </c>
      <c r="D9" s="6" t="n">
        <v>600</v>
      </c>
      <c r="E9" s="6" t="n">
        <v>5000</v>
      </c>
      <c r="F9" s="15"/>
    </row>
    <row r="10" customFormat="false" ht="15" hidden="false" customHeight="false" outlineLevel="0" collapsed="false">
      <c r="A10" s="6" t="s">
        <v>561</v>
      </c>
      <c r="B10" s="6" t="s">
        <v>562</v>
      </c>
      <c r="C10" s="6" t="s">
        <v>558</v>
      </c>
      <c r="D10" s="6" t="n">
        <v>900</v>
      </c>
      <c r="E10" s="6" t="n">
        <v>8000</v>
      </c>
      <c r="F10"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4" min="3" style="0" width="12"/>
    <col collapsed="false" customWidth="true" hidden="false" outlineLevel="0" max="5" min="5" style="0" width="24"/>
    <col collapsed="false" customWidth="true" hidden="false" outlineLevel="0" max="6" min="6" style="0" width="26"/>
    <col collapsed="false" customWidth="true" hidden="false" outlineLevel="0" max="7" min="7" style="0" width="46"/>
    <col collapsed="false" customWidth="true" hidden="false" outlineLevel="0" max="8" min="8" style="0" width="24"/>
  </cols>
  <sheetData>
    <row r="1" customFormat="false" ht="17.35" hidden="false" customHeight="false" outlineLevel="0" collapsed="false">
      <c r="A1" s="1" t="s">
        <v>563</v>
      </c>
    </row>
    <row r="2" customFormat="false" ht="15" hidden="false" customHeight="false" outlineLevel="0" collapsed="false">
      <c r="A2" s="2" t="s">
        <v>564</v>
      </c>
    </row>
    <row r="4" customFormat="false" ht="23.85" hidden="false" customHeight="false" outlineLevel="0" collapsed="false">
      <c r="A4" s="5" t="s">
        <v>249</v>
      </c>
      <c r="B4" s="5" t="s">
        <v>565</v>
      </c>
      <c r="C4" s="5" t="s">
        <v>566</v>
      </c>
      <c r="D4" s="5" t="s">
        <v>567</v>
      </c>
      <c r="E4" s="5" t="s">
        <v>568</v>
      </c>
      <c r="F4" s="5" t="s">
        <v>569</v>
      </c>
      <c r="G4" s="5" t="s">
        <v>570</v>
      </c>
      <c r="H4" s="5" t="s">
        <v>263</v>
      </c>
    </row>
    <row r="5" customFormat="false" ht="15" hidden="false" customHeight="false" outlineLevel="0" collapsed="false">
      <c r="A5" s="6" t="s">
        <v>571</v>
      </c>
      <c r="B5" s="6" t="s">
        <v>572</v>
      </c>
      <c r="C5" s="6" t="n">
        <v>4.4148</v>
      </c>
      <c r="D5" s="6" t="n">
        <v>113.9917</v>
      </c>
      <c r="E5" s="6" t="s">
        <v>572</v>
      </c>
      <c r="F5" s="6" t="n">
        <v>255100</v>
      </c>
      <c r="G5" s="6" t="s">
        <v>573</v>
      </c>
      <c r="H5" s="15"/>
    </row>
    <row r="6" customFormat="false" ht="15" hidden="false" customHeight="false" outlineLevel="0" collapsed="false">
      <c r="A6" s="6" t="s">
        <v>574</v>
      </c>
      <c r="B6" s="6" t="s">
        <v>575</v>
      </c>
      <c r="C6" s="6" t="n">
        <v>1.5535</v>
      </c>
      <c r="D6" s="6" t="n">
        <v>110.3593</v>
      </c>
      <c r="E6" s="6" t="s">
        <v>575</v>
      </c>
      <c r="F6" s="6" t="n">
        <v>621700</v>
      </c>
      <c r="G6" s="6" t="s">
        <v>576</v>
      </c>
      <c r="H6" s="15"/>
    </row>
    <row r="7" customFormat="false" ht="15" hidden="false" customHeight="false" outlineLevel="0" collapsed="false">
      <c r="A7" s="6" t="s">
        <v>577</v>
      </c>
      <c r="B7" s="6" t="s">
        <v>578</v>
      </c>
      <c r="C7" s="6" t="n">
        <v>2.287</v>
      </c>
      <c r="D7" s="6" t="n">
        <v>111.8305</v>
      </c>
      <c r="E7" s="6" t="s">
        <v>578</v>
      </c>
      <c r="F7" s="6" t="n">
        <v>254000</v>
      </c>
      <c r="G7" s="6" t="s">
        <v>579</v>
      </c>
      <c r="H7" s="15"/>
    </row>
    <row r="8" customFormat="false" ht="15" hidden="false" customHeight="false" outlineLevel="0" collapsed="false">
      <c r="A8" s="6" t="s">
        <v>580</v>
      </c>
      <c r="B8" s="6" t="s">
        <v>581</v>
      </c>
      <c r="C8" s="6" t="n">
        <v>3.1668</v>
      </c>
      <c r="D8" s="6" t="n">
        <v>113.0413</v>
      </c>
      <c r="E8" s="6" t="s">
        <v>581</v>
      </c>
      <c r="F8" s="6" t="n">
        <v>186600</v>
      </c>
      <c r="G8" s="6" t="s">
        <v>582</v>
      </c>
      <c r="H8" s="15"/>
    </row>
    <row r="10" customFormat="false" ht="15" hidden="false" customHeight="false" outlineLevel="0" collapsed="false">
      <c r="A10" s="18" t="s">
        <v>583</v>
      </c>
    </row>
    <row r="11" customFormat="false" ht="15" hidden="false" customHeight="false" outlineLevel="0" collapsed="false">
      <c r="A11" s="18"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44"/>
    <col collapsed="false" customWidth="true" hidden="false" outlineLevel="0" max="4" min="4" style="0" width="46"/>
    <col collapsed="false" customWidth="true" hidden="false" outlineLevel="0" max="5" min="5" style="0" width="50"/>
    <col collapsed="false" customWidth="true" hidden="false" outlineLevel="0" max="6" min="6" style="0" width="22"/>
  </cols>
  <sheetData>
    <row r="1" customFormat="false" ht="17.35" hidden="false" customHeight="false" outlineLevel="0" collapsed="false">
      <c r="A1" s="1" t="s">
        <v>585</v>
      </c>
    </row>
    <row r="2" customFormat="false" ht="15" hidden="false" customHeight="false" outlineLevel="0" collapsed="false">
      <c r="A2" s="2" t="s">
        <v>586</v>
      </c>
    </row>
    <row r="4" customFormat="false" ht="23.85" hidden="false" customHeight="false" outlineLevel="0" collapsed="false">
      <c r="A4" s="5" t="s">
        <v>587</v>
      </c>
      <c r="B4" s="5" t="s">
        <v>588</v>
      </c>
      <c r="C4" s="5" t="s">
        <v>589</v>
      </c>
      <c r="D4" s="5" t="s">
        <v>590</v>
      </c>
      <c r="E4" s="5" t="s">
        <v>591</v>
      </c>
      <c r="F4" s="5" t="s">
        <v>592</v>
      </c>
    </row>
    <row r="5" customFormat="false" ht="23.85" hidden="false" customHeight="false" outlineLevel="0" collapsed="false">
      <c r="A5" s="6" t="s">
        <v>593</v>
      </c>
      <c r="B5" s="6" t="s">
        <v>594</v>
      </c>
      <c r="C5" s="6" t="s">
        <v>595</v>
      </c>
      <c r="D5" s="6" t="s">
        <v>596</v>
      </c>
      <c r="E5" s="6" t="s">
        <v>597</v>
      </c>
      <c r="F5" s="15"/>
    </row>
    <row r="6" customFormat="false" ht="23.85" hidden="false" customHeight="false" outlineLevel="0" collapsed="false">
      <c r="A6" s="6" t="s">
        <v>598</v>
      </c>
      <c r="B6" s="6" t="s">
        <v>599</v>
      </c>
      <c r="C6" s="6" t="s">
        <v>600</v>
      </c>
      <c r="D6" s="6" t="s">
        <v>601</v>
      </c>
      <c r="E6" s="6" t="s">
        <v>602</v>
      </c>
      <c r="F6" s="15"/>
    </row>
    <row r="7" customFormat="false" ht="23.85" hidden="false" customHeight="false" outlineLevel="0" collapsed="false">
      <c r="A7" s="6" t="s">
        <v>603</v>
      </c>
      <c r="B7" s="6" t="s">
        <v>599</v>
      </c>
      <c r="C7" s="6" t="s">
        <v>604</v>
      </c>
      <c r="D7" s="6" t="s">
        <v>605</v>
      </c>
      <c r="E7" s="6" t="s">
        <v>606</v>
      </c>
      <c r="F7" s="15"/>
    </row>
    <row r="8" customFormat="false" ht="15" hidden="false" customHeight="false" outlineLevel="0" collapsed="false">
      <c r="A8" s="6" t="s">
        <v>607</v>
      </c>
      <c r="B8" s="6" t="s">
        <v>599</v>
      </c>
      <c r="C8" s="6" t="s">
        <v>608</v>
      </c>
      <c r="D8" s="6" t="s">
        <v>609</v>
      </c>
      <c r="E8" s="6" t="s">
        <v>610</v>
      </c>
      <c r="F8" s="15"/>
    </row>
    <row r="9" customFormat="false" ht="23.85" hidden="false" customHeight="false" outlineLevel="0" collapsed="false">
      <c r="A9" s="6" t="s">
        <v>611</v>
      </c>
      <c r="B9" s="6" t="s">
        <v>612</v>
      </c>
      <c r="C9" s="6" t="s">
        <v>613</v>
      </c>
      <c r="D9" s="6" t="s">
        <v>614</v>
      </c>
      <c r="E9" s="6" t="s">
        <v>614</v>
      </c>
      <c r="F9"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2026-10-20T06:52:46Z</dcterms:created>
  <dc:creator>openpyxl</dc:creator>
  <dc:description/>
  <dc:language>en-US</dc:language>
  <cp:lastModifiedBy/>
  <dcterms:modified xsi:type="dcterms:W3CDTF">2026-10-20T06:52:46Z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